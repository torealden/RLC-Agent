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9FB4AE4A-BD02-4826-9FB7-E2D41CC402AC}" xr6:coauthVersionLast="47" xr6:coauthVersionMax="47" xr10:uidLastSave="{00000000-0000-0000-0000-000000000000}"/>
  <bookViews>
    <workbookView xWindow="1035" yWindow="270" windowWidth="27465" windowHeight="14940" activeTab="3" xr2:uid="{043FFF38-B651-4CDF-9D75-94F2FBB7D726}"/>
  </bookViews>
  <sheets>
    <sheet name="Futures Price Forecasts" sheetId="1" r:id="rId1"/>
    <sheet name="Forecasts" sheetId="2" r:id="rId2"/>
    <sheet name="Sheet1" sheetId="3" r:id="rId3"/>
    <sheet name="Prices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Print_Area" localSheetId="1">Forecasts!$A$1:$S$41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64" i="4" l="1"/>
  <c r="K664" i="4"/>
  <c r="J664" i="4"/>
  <c r="L663" i="4"/>
  <c r="K663" i="4"/>
  <c r="P663" i="4" s="1"/>
  <c r="J663" i="4"/>
  <c r="L662" i="4"/>
  <c r="K662" i="4"/>
  <c r="J662" i="4"/>
  <c r="L661" i="4"/>
  <c r="K661" i="4"/>
  <c r="J661" i="4"/>
  <c r="L660" i="4"/>
  <c r="K660" i="4"/>
  <c r="J660" i="4"/>
  <c r="L659" i="4"/>
  <c r="Q659" i="4" s="1"/>
  <c r="K659" i="4"/>
  <c r="P659" i="4" s="1"/>
  <c r="J659" i="4"/>
  <c r="L658" i="4"/>
  <c r="Q658" i="4" s="1"/>
  <c r="K658" i="4"/>
  <c r="P658" i="4" s="1"/>
  <c r="J658" i="4"/>
  <c r="O658" i="4" s="1"/>
  <c r="L657" i="4"/>
  <c r="I657" i="4" s="1"/>
  <c r="K657" i="4"/>
  <c r="J657" i="4"/>
  <c r="L656" i="4"/>
  <c r="K656" i="4"/>
  <c r="J656" i="4"/>
  <c r="L655" i="4"/>
  <c r="K655" i="4"/>
  <c r="J655" i="4"/>
  <c r="L654" i="4"/>
  <c r="K654" i="4"/>
  <c r="J654" i="4"/>
  <c r="L653" i="4"/>
  <c r="K653" i="4"/>
  <c r="P653" i="4" s="1"/>
  <c r="J653" i="4"/>
  <c r="L652" i="4"/>
  <c r="K652" i="4"/>
  <c r="J652" i="4"/>
  <c r="O652" i="4" s="1"/>
  <c r="L651" i="4"/>
  <c r="Q651" i="4" s="1"/>
  <c r="K651" i="4"/>
  <c r="J651" i="4"/>
  <c r="L650" i="4"/>
  <c r="Q650" i="4" s="1"/>
  <c r="K650" i="4"/>
  <c r="J650" i="4"/>
  <c r="L649" i="4"/>
  <c r="K649" i="4"/>
  <c r="J649" i="4"/>
  <c r="L648" i="4"/>
  <c r="K648" i="4"/>
  <c r="J648" i="4"/>
  <c r="J647" i="4"/>
  <c r="AB654" i="4"/>
  <c r="AB653" i="4"/>
  <c r="AB652" i="4"/>
  <c r="AB651" i="4"/>
  <c r="AB650" i="4"/>
  <c r="AC650" i="4" s="1"/>
  <c r="AB649" i="4"/>
  <c r="AB648" i="4"/>
  <c r="AB647" i="4"/>
  <c r="AB646" i="4"/>
  <c r="AC646" i="4" s="1"/>
  <c r="AB645" i="4"/>
  <c r="AC645" i="4" s="1"/>
  <c r="AB644" i="4"/>
  <c r="AB643" i="4"/>
  <c r="AA643" i="4" s="1"/>
  <c r="AB642" i="4"/>
  <c r="AC642" i="4" s="1"/>
  <c r="AB641" i="4"/>
  <c r="AB640" i="4"/>
  <c r="AB639" i="4"/>
  <c r="AB638" i="4"/>
  <c r="AC638" i="4" s="1"/>
  <c r="AB637" i="4"/>
  <c r="AB636" i="4"/>
  <c r="Z671" i="4"/>
  <c r="Z670" i="4"/>
  <c r="Z669" i="4"/>
  <c r="Z668" i="4"/>
  <c r="Z667" i="4"/>
  <c r="Z666" i="4"/>
  <c r="Z665" i="4"/>
  <c r="Z664" i="4"/>
  <c r="Z663" i="4"/>
  <c r="Z662" i="4"/>
  <c r="Z661" i="4"/>
  <c r="Z660" i="4"/>
  <c r="Z659" i="4"/>
  <c r="Z658" i="4"/>
  <c r="Z657" i="4"/>
  <c r="Z656" i="4"/>
  <c r="Z655" i="4"/>
  <c r="Z654" i="4"/>
  <c r="Z653" i="4"/>
  <c r="Z652" i="4"/>
  <c r="Z651" i="4"/>
  <c r="Z650" i="4"/>
  <c r="AA650" i="4" s="1"/>
  <c r="Z649" i="4"/>
  <c r="Z648" i="4"/>
  <c r="Z647" i="4"/>
  <c r="Z646" i="4"/>
  <c r="Z645" i="4"/>
  <c r="Z644" i="4"/>
  <c r="Z643" i="4"/>
  <c r="Z642" i="4"/>
  <c r="Z641" i="4"/>
  <c r="Z640" i="4"/>
  <c r="Z639" i="4"/>
  <c r="Z638" i="4"/>
  <c r="Z637" i="4"/>
  <c r="Z636" i="4"/>
  <c r="Z635" i="4"/>
  <c r="AA635" i="4" s="1"/>
  <c r="Z634" i="4"/>
  <c r="Z633" i="4"/>
  <c r="AA633" i="4" s="1"/>
  <c r="W1013" i="4"/>
  <c r="V1013" i="4"/>
  <c r="U1001" i="4" s="1"/>
  <c r="U1013" i="4"/>
  <c r="T1013" i="4"/>
  <c r="S1001" i="4" s="1"/>
  <c r="S1013" i="4"/>
  <c r="R1001" i="4" s="1"/>
  <c r="V718" i="4" s="1"/>
  <c r="R1013" i="4"/>
  <c r="Q1013" i="4"/>
  <c r="P1013" i="4"/>
  <c r="O1013" i="4"/>
  <c r="N1013" i="4"/>
  <c r="M1013" i="4"/>
  <c r="L1013" i="4"/>
  <c r="K1013" i="4"/>
  <c r="J1013" i="4"/>
  <c r="I1013" i="4"/>
  <c r="H1013" i="4"/>
  <c r="G1014" i="4" s="1"/>
  <c r="G1013" i="4"/>
  <c r="F1013" i="4"/>
  <c r="E1014" i="4" s="1"/>
  <c r="E1013" i="4"/>
  <c r="D1014" i="4" s="1"/>
  <c r="D1013" i="4"/>
  <c r="C1014" i="4" s="1"/>
  <c r="C1013" i="4"/>
  <c r="Y1006" i="4"/>
  <c r="Y1010" i="4" s="1"/>
  <c r="X1006" i="4"/>
  <c r="X1010" i="4" s="1"/>
  <c r="W1006" i="4"/>
  <c r="W1010" i="4" s="1"/>
  <c r="V1006" i="4"/>
  <c r="V1010" i="4" s="1"/>
  <c r="U1006" i="4"/>
  <c r="T1006" i="4"/>
  <c r="T1010" i="4" s="1"/>
  <c r="S1006" i="4"/>
  <c r="R1006" i="4"/>
  <c r="Q1006" i="4"/>
  <c r="P1006" i="4"/>
  <c r="O1006" i="4"/>
  <c r="N1006" i="4"/>
  <c r="Y1005" i="4"/>
  <c r="Y1002" i="4" s="1"/>
  <c r="X1005" i="4"/>
  <c r="X1002" i="4" s="1"/>
  <c r="W1005" i="4"/>
  <c r="W1002" i="4" s="1"/>
  <c r="V1005" i="4"/>
  <c r="U1005" i="4"/>
  <c r="T1005" i="4"/>
  <c r="S1005" i="4"/>
  <c r="R1005" i="4"/>
  <c r="Q1005" i="4"/>
  <c r="Z38" i="2"/>
  <c r="Z37" i="2"/>
  <c r="Z36" i="2"/>
  <c r="Z35" i="2"/>
  <c r="Z34" i="2"/>
  <c r="Z33" i="2"/>
  <c r="Z32" i="2"/>
  <c r="Z31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AH638" i="4"/>
  <c r="AG638" i="4"/>
  <c r="AH637" i="4"/>
  <c r="AG637" i="4"/>
  <c r="AH636" i="4"/>
  <c r="AG636" i="4"/>
  <c r="AH635" i="4"/>
  <c r="AG635" i="4"/>
  <c r="AH634" i="4"/>
  <c r="AI634" i="4" s="1"/>
  <c r="AG634" i="4"/>
  <c r="AH633" i="4"/>
  <c r="AG633" i="4"/>
  <c r="AH632" i="4"/>
  <c r="AG632" i="4"/>
  <c r="AH631" i="4"/>
  <c r="AI631" i="4" s="1"/>
  <c r="AG631" i="4"/>
  <c r="AH630" i="4"/>
  <c r="AI630" i="4" s="1"/>
  <c r="AG630" i="4"/>
  <c r="AH629" i="4"/>
  <c r="AG629" i="4"/>
  <c r="AH628" i="4"/>
  <c r="AG628" i="4"/>
  <c r="AH627" i="4"/>
  <c r="AG627" i="4"/>
  <c r="AH626" i="4"/>
  <c r="AG626" i="4"/>
  <c r="AH625" i="4"/>
  <c r="AG625" i="4"/>
  <c r="AH624" i="4"/>
  <c r="AG624" i="4"/>
  <c r="AH623" i="4"/>
  <c r="AI623" i="4" s="1"/>
  <c r="AG623" i="4"/>
  <c r="AH622" i="4"/>
  <c r="AG622" i="4"/>
  <c r="AH621" i="4"/>
  <c r="AI621" i="4" s="1"/>
  <c r="AG621" i="4"/>
  <c r="AH620" i="4"/>
  <c r="AG620" i="4"/>
  <c r="AH619" i="4"/>
  <c r="AI619" i="4" s="1"/>
  <c r="AG619" i="4"/>
  <c r="AH618" i="4"/>
  <c r="AG618" i="4"/>
  <c r="AH617" i="4"/>
  <c r="AG617" i="4"/>
  <c r="AH616" i="4"/>
  <c r="AG616" i="4"/>
  <c r="AH615" i="4"/>
  <c r="AG615" i="4"/>
  <c r="AH614" i="4"/>
  <c r="AG614" i="4"/>
  <c r="AH613" i="4"/>
  <c r="AG613" i="4"/>
  <c r="AH612" i="4"/>
  <c r="AG612" i="4"/>
  <c r="AH611" i="4"/>
  <c r="AG611" i="4"/>
  <c r="AH610" i="4"/>
  <c r="AG610" i="4"/>
  <c r="AH609" i="4"/>
  <c r="AI609" i="4" s="1"/>
  <c r="AG609" i="4"/>
  <c r="AH608" i="4"/>
  <c r="AI608" i="4" s="1"/>
  <c r="AG608" i="4"/>
  <c r="AH607" i="4"/>
  <c r="AG607" i="4"/>
  <c r="AH606" i="4"/>
  <c r="AG606" i="4"/>
  <c r="AH605" i="4"/>
  <c r="AG605" i="4"/>
  <c r="AH604" i="4"/>
  <c r="AG604" i="4"/>
  <c r="AH603" i="4"/>
  <c r="AG603" i="4"/>
  <c r="AH602" i="4"/>
  <c r="AG602" i="4"/>
  <c r="AH601" i="4"/>
  <c r="AI601" i="4" s="1"/>
  <c r="AG601" i="4"/>
  <c r="AH600" i="4"/>
  <c r="AG600" i="4"/>
  <c r="AH599" i="4"/>
  <c r="AI599" i="4" s="1"/>
  <c r="AG599" i="4"/>
  <c r="AH598" i="4"/>
  <c r="AI598" i="4" s="1"/>
  <c r="AG598" i="4"/>
  <c r="AH597" i="4"/>
  <c r="AI597" i="4" s="1"/>
  <c r="AG597" i="4"/>
  <c r="AH596" i="4"/>
  <c r="AG596" i="4"/>
  <c r="AH595" i="4"/>
  <c r="AG595" i="4"/>
  <c r="AH594" i="4"/>
  <c r="AG594" i="4"/>
  <c r="AH593" i="4"/>
  <c r="AG593" i="4"/>
  <c r="AH592" i="4"/>
  <c r="AG592" i="4"/>
  <c r="AH591" i="4"/>
  <c r="AG591" i="4"/>
  <c r="AH590" i="4"/>
  <c r="AG590" i="4"/>
  <c r="AH589" i="4"/>
  <c r="AG589" i="4"/>
  <c r="AH588" i="4"/>
  <c r="AG588" i="4"/>
  <c r="AH587" i="4"/>
  <c r="AI587" i="4" s="1"/>
  <c r="AG587" i="4"/>
  <c r="AH586" i="4"/>
  <c r="AI586" i="4" s="1"/>
  <c r="AG586" i="4"/>
  <c r="AH585" i="4"/>
  <c r="AG585" i="4"/>
  <c r="AH584" i="4"/>
  <c r="AG584" i="4"/>
  <c r="AH583" i="4"/>
  <c r="AG583" i="4"/>
  <c r="AH582" i="4"/>
  <c r="AG582" i="4"/>
  <c r="AH581" i="4"/>
  <c r="AG581" i="4"/>
  <c r="AH580" i="4"/>
  <c r="AG580" i="4"/>
  <c r="AH579" i="4"/>
  <c r="AI579" i="4" s="1"/>
  <c r="AG579" i="4"/>
  <c r="AH578" i="4"/>
  <c r="AG578" i="4"/>
  <c r="AH577" i="4"/>
  <c r="AI577" i="4" s="1"/>
  <c r="AG577" i="4"/>
  <c r="AH576" i="4"/>
  <c r="AI576" i="4" s="1"/>
  <c r="AG576" i="4"/>
  <c r="AH575" i="4"/>
  <c r="AI575" i="4" s="1"/>
  <c r="AG575" i="4"/>
  <c r="AH574" i="4"/>
  <c r="AG574" i="4"/>
  <c r="AH573" i="4"/>
  <c r="AG573" i="4"/>
  <c r="AH572" i="4"/>
  <c r="AG572" i="4"/>
  <c r="AH571" i="4"/>
  <c r="AG571" i="4"/>
  <c r="AH570" i="4"/>
  <c r="AG570" i="4"/>
  <c r="AH569" i="4"/>
  <c r="AG569" i="4"/>
  <c r="AH568" i="4"/>
  <c r="AG568" i="4"/>
  <c r="AH567" i="4"/>
  <c r="AG567" i="4"/>
  <c r="AH566" i="4"/>
  <c r="AI566" i="4" s="1"/>
  <c r="AG566" i="4"/>
  <c r="AH565" i="4"/>
  <c r="AI565" i="4" s="1"/>
  <c r="AG565" i="4"/>
  <c r="AH564" i="4"/>
  <c r="AI564" i="4" s="1"/>
  <c r="AG564" i="4"/>
  <c r="AH563" i="4"/>
  <c r="AG563" i="4"/>
  <c r="AH562" i="4"/>
  <c r="AG562" i="4"/>
  <c r="AH561" i="4"/>
  <c r="AG561" i="4"/>
  <c r="AH560" i="4"/>
  <c r="AG560" i="4"/>
  <c r="AH559" i="4"/>
  <c r="AG559" i="4"/>
  <c r="AH558" i="4"/>
  <c r="AG558" i="4"/>
  <c r="AH557" i="4"/>
  <c r="AI557" i="4" s="1"/>
  <c r="AG557" i="4"/>
  <c r="AH556" i="4"/>
  <c r="AG556" i="4"/>
  <c r="AH555" i="4"/>
  <c r="AG555" i="4"/>
  <c r="AH554" i="4"/>
  <c r="AI554" i="4" s="1"/>
  <c r="AG554" i="4"/>
  <c r="AH553" i="4"/>
  <c r="AI553" i="4" s="1"/>
  <c r="AG553" i="4"/>
  <c r="AH552" i="4"/>
  <c r="AG552" i="4"/>
  <c r="AH551" i="4"/>
  <c r="AG551" i="4"/>
  <c r="AH550" i="4"/>
  <c r="AG550" i="4"/>
  <c r="AH549" i="4"/>
  <c r="AG549" i="4"/>
  <c r="AH548" i="4"/>
  <c r="AG548" i="4"/>
  <c r="AH547" i="4"/>
  <c r="AG547" i="4"/>
  <c r="AH546" i="4"/>
  <c r="AI546" i="4" s="1"/>
  <c r="AG546" i="4"/>
  <c r="AH545" i="4"/>
  <c r="AG545" i="4"/>
  <c r="AH544" i="4"/>
  <c r="AI544" i="4" s="1"/>
  <c r="AG544" i="4"/>
  <c r="AH543" i="4"/>
  <c r="AG543" i="4"/>
  <c r="AH542" i="4"/>
  <c r="AI542" i="4" s="1"/>
  <c r="AG542" i="4"/>
  <c r="AH541" i="4"/>
  <c r="AG541" i="4"/>
  <c r="AH540" i="4"/>
  <c r="AG540" i="4"/>
  <c r="AH539" i="4"/>
  <c r="AG539" i="4"/>
  <c r="AH538" i="4"/>
  <c r="AG538" i="4"/>
  <c r="AH537" i="4"/>
  <c r="AG537" i="4"/>
  <c r="AH536" i="4"/>
  <c r="AG536" i="4"/>
  <c r="AH535" i="4"/>
  <c r="AG535" i="4"/>
  <c r="AH534" i="4"/>
  <c r="AG534" i="4"/>
  <c r="AH533" i="4"/>
  <c r="AG533" i="4"/>
  <c r="AH532" i="4"/>
  <c r="AI532" i="4" s="1"/>
  <c r="AG532" i="4"/>
  <c r="AH531" i="4"/>
  <c r="AI531" i="4" s="1"/>
  <c r="AG531" i="4"/>
  <c r="AH530" i="4"/>
  <c r="AG530" i="4"/>
  <c r="AH529" i="4"/>
  <c r="AG529" i="4"/>
  <c r="AH528" i="4"/>
  <c r="AG528" i="4"/>
  <c r="AH527" i="4"/>
  <c r="AG527" i="4"/>
  <c r="AH526" i="4"/>
  <c r="AG526" i="4"/>
  <c r="AH525" i="4"/>
  <c r="AG525" i="4"/>
  <c r="AH524" i="4"/>
  <c r="AG524" i="4"/>
  <c r="AH523" i="4"/>
  <c r="AG523" i="4"/>
  <c r="AH522" i="4"/>
  <c r="AI522" i="4" s="1"/>
  <c r="AG522" i="4"/>
  <c r="AH521" i="4"/>
  <c r="AG521" i="4"/>
  <c r="AH520" i="4"/>
  <c r="AI520" i="4" s="1"/>
  <c r="AG520" i="4"/>
  <c r="AH519" i="4"/>
  <c r="AG519" i="4"/>
  <c r="AH518" i="4"/>
  <c r="AG518" i="4"/>
  <c r="AH517" i="4"/>
  <c r="AG517" i="4"/>
  <c r="AH516" i="4"/>
  <c r="AG516" i="4"/>
  <c r="AH515" i="4"/>
  <c r="AG515" i="4"/>
  <c r="AH514" i="4"/>
  <c r="AG514" i="4"/>
  <c r="AH513" i="4"/>
  <c r="AI513" i="4" s="1"/>
  <c r="AG513" i="4"/>
  <c r="AH512" i="4"/>
  <c r="AG512" i="4"/>
  <c r="AH511" i="4"/>
  <c r="AG511" i="4"/>
  <c r="AH510" i="4"/>
  <c r="AI510" i="4" s="1"/>
  <c r="AG510" i="4"/>
  <c r="AH509" i="4"/>
  <c r="AI509" i="4" s="1"/>
  <c r="AG509" i="4"/>
  <c r="AH508" i="4"/>
  <c r="AG508" i="4"/>
  <c r="AH507" i="4"/>
  <c r="AG507" i="4"/>
  <c r="AH506" i="4"/>
  <c r="AG506" i="4"/>
  <c r="AH505" i="4"/>
  <c r="AG505" i="4"/>
  <c r="AH504" i="4"/>
  <c r="AG504" i="4"/>
  <c r="AH503" i="4"/>
  <c r="AG503" i="4"/>
  <c r="AH502" i="4"/>
  <c r="AI502" i="4" s="1"/>
  <c r="AG502" i="4"/>
  <c r="AH501" i="4"/>
  <c r="AG501" i="4"/>
  <c r="AH500" i="4"/>
  <c r="AI500" i="4" s="1"/>
  <c r="AG500" i="4"/>
  <c r="AH499" i="4"/>
  <c r="AI499" i="4" s="1"/>
  <c r="AG499" i="4"/>
  <c r="AH498" i="4"/>
  <c r="AI498" i="4" s="1"/>
  <c r="AG498" i="4"/>
  <c r="AH497" i="4"/>
  <c r="AG497" i="4"/>
  <c r="AH496" i="4"/>
  <c r="AG496" i="4"/>
  <c r="AH495" i="4"/>
  <c r="AG495" i="4"/>
  <c r="AH494" i="4"/>
  <c r="AG494" i="4"/>
  <c r="AH493" i="4"/>
  <c r="AG493" i="4"/>
  <c r="AH492" i="4"/>
  <c r="AG492" i="4"/>
  <c r="AH491" i="4"/>
  <c r="AG491" i="4"/>
  <c r="AH490" i="4"/>
  <c r="AG490" i="4"/>
  <c r="AH489" i="4"/>
  <c r="AG489" i="4"/>
  <c r="AH488" i="4"/>
  <c r="AI488" i="4" s="1"/>
  <c r="AG488" i="4"/>
  <c r="AH487" i="4"/>
  <c r="AI487" i="4" s="1"/>
  <c r="AG487" i="4"/>
  <c r="AH486" i="4"/>
  <c r="AG486" i="4"/>
  <c r="AH485" i="4"/>
  <c r="AG485" i="4"/>
  <c r="AH484" i="4"/>
  <c r="AG484" i="4"/>
  <c r="AH483" i="4"/>
  <c r="AG483" i="4"/>
  <c r="AH482" i="4"/>
  <c r="AG482" i="4"/>
  <c r="AH481" i="4"/>
  <c r="AG481" i="4"/>
  <c r="AH480" i="4"/>
  <c r="AG480" i="4"/>
  <c r="AH479" i="4"/>
  <c r="AG479" i="4"/>
  <c r="AH478" i="4"/>
  <c r="AI478" i="4" s="1"/>
  <c r="AG478" i="4"/>
  <c r="AH477" i="4"/>
  <c r="AG477" i="4"/>
  <c r="AH476" i="4"/>
  <c r="AI476" i="4" s="1"/>
  <c r="AG476" i="4"/>
  <c r="AH475" i="4"/>
  <c r="AG475" i="4"/>
  <c r="AH474" i="4"/>
  <c r="AG474" i="4"/>
  <c r="AH473" i="4"/>
  <c r="AG473" i="4"/>
  <c r="AH472" i="4"/>
  <c r="AG472" i="4"/>
  <c r="AH471" i="4"/>
  <c r="AG471" i="4"/>
  <c r="AH470" i="4"/>
  <c r="AG470" i="4"/>
  <c r="AH469" i="4"/>
  <c r="AI469" i="4" s="1"/>
  <c r="AG469" i="4"/>
  <c r="AH468" i="4"/>
  <c r="AG468" i="4"/>
  <c r="AH467" i="4"/>
  <c r="AG467" i="4"/>
  <c r="AH466" i="4"/>
  <c r="AI466" i="4" s="1"/>
  <c r="AG466" i="4"/>
  <c r="AH465" i="4"/>
  <c r="AI465" i="4" s="1"/>
  <c r="AG465" i="4"/>
  <c r="AH464" i="4"/>
  <c r="AG464" i="4"/>
  <c r="AH463" i="4"/>
  <c r="AG463" i="4"/>
  <c r="AH462" i="4"/>
  <c r="AG462" i="4"/>
  <c r="AH461" i="4"/>
  <c r="AG461" i="4"/>
  <c r="AH460" i="4"/>
  <c r="AG460" i="4"/>
  <c r="AH459" i="4"/>
  <c r="AG459" i="4"/>
  <c r="AH458" i="4"/>
  <c r="AG458" i="4"/>
  <c r="AH457" i="4"/>
  <c r="AG457" i="4"/>
  <c r="AH456" i="4"/>
  <c r="AI456" i="4" s="1"/>
  <c r="AG456" i="4"/>
  <c r="AH455" i="4"/>
  <c r="AG455" i="4"/>
  <c r="AH454" i="4"/>
  <c r="AI454" i="4" s="1"/>
  <c r="AG454" i="4"/>
  <c r="AH453" i="4"/>
  <c r="AG453" i="4"/>
  <c r="AH452" i="4"/>
  <c r="AG452" i="4"/>
  <c r="AH451" i="4"/>
  <c r="AG451" i="4"/>
  <c r="AH450" i="4"/>
  <c r="AG450" i="4"/>
  <c r="AH449" i="4"/>
  <c r="AG449" i="4"/>
  <c r="AH448" i="4"/>
  <c r="AG448" i="4"/>
  <c r="AH447" i="4"/>
  <c r="AI447" i="4" s="1"/>
  <c r="AG447" i="4"/>
  <c r="AH446" i="4"/>
  <c r="AG446" i="4"/>
  <c r="AH445" i="4"/>
  <c r="AG445" i="4"/>
  <c r="AH444" i="4"/>
  <c r="AI444" i="4" s="1"/>
  <c r="AG444" i="4"/>
  <c r="AH443" i="4"/>
  <c r="AI443" i="4" s="1"/>
  <c r="AG443" i="4"/>
  <c r="AH442" i="4"/>
  <c r="AG442" i="4"/>
  <c r="AH441" i="4"/>
  <c r="AG441" i="4"/>
  <c r="AH440" i="4"/>
  <c r="AG440" i="4"/>
  <c r="AH439" i="4"/>
  <c r="AG439" i="4"/>
  <c r="AH438" i="4"/>
  <c r="AG438" i="4"/>
  <c r="AH437" i="4"/>
  <c r="AG437" i="4"/>
  <c r="AH436" i="4"/>
  <c r="AI436" i="4" s="1"/>
  <c r="AG436" i="4"/>
  <c r="AH435" i="4"/>
  <c r="AG435" i="4"/>
  <c r="AH434" i="4"/>
  <c r="AI434" i="4" s="1"/>
  <c r="AG434" i="4"/>
  <c r="AH433" i="4"/>
  <c r="AG433" i="4"/>
  <c r="AH432" i="4"/>
  <c r="AI432" i="4" s="1"/>
  <c r="AG432" i="4"/>
  <c r="AH431" i="4"/>
  <c r="AG431" i="4"/>
  <c r="AH430" i="4"/>
  <c r="AG430" i="4"/>
  <c r="AH429" i="4"/>
  <c r="AG429" i="4"/>
  <c r="AH428" i="4"/>
  <c r="AG428" i="4"/>
  <c r="AH427" i="4"/>
  <c r="AG427" i="4"/>
  <c r="AH426" i="4"/>
  <c r="AG426" i="4"/>
  <c r="AH425" i="4"/>
  <c r="AI425" i="4" s="1"/>
  <c r="AG425" i="4"/>
  <c r="AH424" i="4"/>
  <c r="AG424" i="4"/>
  <c r="AH423" i="4"/>
  <c r="AG423" i="4"/>
  <c r="AH422" i="4"/>
  <c r="AI422" i="4" s="1"/>
  <c r="AG422" i="4"/>
  <c r="AH421" i="4"/>
  <c r="AI421" i="4" s="1"/>
  <c r="AG421" i="4"/>
  <c r="AH420" i="4"/>
  <c r="AG420" i="4"/>
  <c r="AH419" i="4"/>
  <c r="AG419" i="4"/>
  <c r="AH418" i="4"/>
  <c r="AG418" i="4"/>
  <c r="AH417" i="4"/>
  <c r="AG417" i="4"/>
  <c r="AH416" i="4"/>
  <c r="AG416" i="4"/>
  <c r="AH415" i="4"/>
  <c r="AG415" i="4"/>
  <c r="AH414" i="4"/>
  <c r="AI414" i="4" s="1"/>
  <c r="AG414" i="4"/>
  <c r="AH413" i="4"/>
  <c r="AG413" i="4"/>
  <c r="AH412" i="4"/>
  <c r="AI412" i="4" s="1"/>
  <c r="AG412" i="4"/>
  <c r="AH411" i="4"/>
  <c r="AI411" i="4" s="1"/>
  <c r="AG411" i="4"/>
  <c r="AH410" i="4"/>
  <c r="AI410" i="4" s="1"/>
  <c r="AG410" i="4"/>
  <c r="AH409" i="4"/>
  <c r="AG409" i="4"/>
  <c r="AH408" i="4"/>
  <c r="AG408" i="4"/>
  <c r="AH407" i="4"/>
  <c r="AG407" i="4"/>
  <c r="AH406" i="4"/>
  <c r="AG406" i="4"/>
  <c r="AH405" i="4"/>
  <c r="AG405" i="4"/>
  <c r="AH404" i="4"/>
  <c r="AG404" i="4"/>
  <c r="AH403" i="4"/>
  <c r="AG403" i="4"/>
  <c r="AH402" i="4"/>
  <c r="AG402" i="4"/>
  <c r="AH401" i="4"/>
  <c r="AI401" i="4" s="1"/>
  <c r="AG401" i="4"/>
  <c r="AH400" i="4"/>
  <c r="AI400" i="4" s="1"/>
  <c r="AG400" i="4"/>
  <c r="AH399" i="4"/>
  <c r="AI399" i="4" s="1"/>
  <c r="AG399" i="4"/>
  <c r="AH398" i="4"/>
  <c r="AG398" i="4"/>
  <c r="AH397" i="4"/>
  <c r="AG397" i="4"/>
  <c r="AH396" i="4"/>
  <c r="AG396" i="4"/>
  <c r="AH395" i="4"/>
  <c r="AG395" i="4"/>
  <c r="AH394" i="4"/>
  <c r="AG394" i="4"/>
  <c r="AH393" i="4"/>
  <c r="AG393" i="4"/>
  <c r="AH392" i="4"/>
  <c r="AG392" i="4"/>
  <c r="AH391" i="4"/>
  <c r="AG391" i="4"/>
  <c r="AH390" i="4"/>
  <c r="AI390" i="4" s="1"/>
  <c r="AG390" i="4"/>
  <c r="AH389" i="4"/>
  <c r="AI389" i="4" s="1"/>
  <c r="AG389" i="4"/>
  <c r="AH388" i="4"/>
  <c r="AG388" i="4"/>
  <c r="AH387" i="4"/>
  <c r="AG387" i="4"/>
  <c r="AH386" i="4"/>
  <c r="AG386" i="4"/>
  <c r="AH385" i="4"/>
  <c r="AG385" i="4"/>
  <c r="AH384" i="4"/>
  <c r="AG384" i="4"/>
  <c r="AH383" i="4"/>
  <c r="AG383" i="4"/>
  <c r="AH382" i="4"/>
  <c r="AG382" i="4"/>
  <c r="AH381" i="4"/>
  <c r="AG381" i="4"/>
  <c r="AH380" i="4"/>
  <c r="AG380" i="4"/>
  <c r="AH379" i="4"/>
  <c r="AG379" i="4"/>
  <c r="AH378" i="4"/>
  <c r="AI378" i="4" s="1"/>
  <c r="AG378" i="4"/>
  <c r="AH377" i="4"/>
  <c r="AI377" i="4" s="1"/>
  <c r="AG377" i="4"/>
  <c r="AH376" i="4"/>
  <c r="AG376" i="4"/>
  <c r="AH375" i="4"/>
  <c r="AG375" i="4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/>
  <c r="L933" i="4"/>
  <c r="L932" i="4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AB676" i="4" s="1"/>
  <c r="L675" i="4"/>
  <c r="AB675" i="4" s="1"/>
  <c r="L674" i="4"/>
  <c r="AB674" i="4" s="1"/>
  <c r="L673" i="4"/>
  <c r="AB673" i="4" s="1"/>
  <c r="L672" i="4"/>
  <c r="L671" i="4"/>
  <c r="L670" i="4"/>
  <c r="L669" i="4"/>
  <c r="AB669" i="4" s="1"/>
  <c r="AA669" i="4" s="1"/>
  <c r="L668" i="4"/>
  <c r="AB668" i="4" s="1"/>
  <c r="L667" i="4"/>
  <c r="Q667" i="4" s="1"/>
  <c r="L666" i="4"/>
  <c r="L665" i="4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D39" i="2"/>
  <c r="C39" i="2"/>
  <c r="E39" i="2" s="1"/>
  <c r="B39" i="2"/>
  <c r="D38" i="2"/>
  <c r="C38" i="2"/>
  <c r="B38" i="2"/>
  <c r="AA38" i="2" s="1"/>
  <c r="D37" i="2"/>
  <c r="E37" i="2" s="1"/>
  <c r="C37" i="2"/>
  <c r="B37" i="2"/>
  <c r="D36" i="2"/>
  <c r="C36" i="2"/>
  <c r="B36" i="2"/>
  <c r="D35" i="2"/>
  <c r="C35" i="2"/>
  <c r="B35" i="2"/>
  <c r="D34" i="2"/>
  <c r="J34" i="2" s="1"/>
  <c r="C34" i="2"/>
  <c r="B34" i="2"/>
  <c r="AA34" i="2" s="1"/>
  <c r="D33" i="2"/>
  <c r="J33" i="2" s="1"/>
  <c r="C33" i="2"/>
  <c r="E33" i="2" s="1"/>
  <c r="B33" i="2"/>
  <c r="AA33" i="2" s="1"/>
  <c r="D32" i="2"/>
  <c r="C32" i="2"/>
  <c r="B32" i="2"/>
  <c r="D31" i="2"/>
  <c r="C31" i="2"/>
  <c r="B31" i="2"/>
  <c r="AA31" i="2" s="1"/>
  <c r="B664" i="4"/>
  <c r="B663" i="4"/>
  <c r="B662" i="4"/>
  <c r="B661" i="4"/>
  <c r="B660" i="4"/>
  <c r="B659" i="4"/>
  <c r="B658" i="4"/>
  <c r="B657" i="4"/>
  <c r="V657" i="4" s="1"/>
  <c r="B656" i="4"/>
  <c r="V656" i="4" s="1"/>
  <c r="B655" i="4"/>
  <c r="B654" i="4"/>
  <c r="B653" i="4"/>
  <c r="B652" i="4"/>
  <c r="V652" i="4" s="1"/>
  <c r="B651" i="4"/>
  <c r="B650" i="4"/>
  <c r="E650" i="4" s="1"/>
  <c r="F650" i="4" s="1"/>
  <c r="B649" i="4"/>
  <c r="V649" i="4" s="1"/>
  <c r="B648" i="4"/>
  <c r="E648" i="4" s="1"/>
  <c r="F648" i="4" s="1"/>
  <c r="B647" i="4"/>
  <c r="B646" i="4"/>
  <c r="B645" i="4"/>
  <c r="V645" i="4" s="1"/>
  <c r="B644" i="4"/>
  <c r="V644" i="4" s="1"/>
  <c r="B643" i="4"/>
  <c r="B642" i="4"/>
  <c r="B641" i="4"/>
  <c r="B640" i="4"/>
  <c r="B639" i="4"/>
  <c r="B638" i="4"/>
  <c r="B637" i="4"/>
  <c r="B636" i="4"/>
  <c r="B635" i="4"/>
  <c r="B634" i="4"/>
  <c r="B633" i="4"/>
  <c r="V633" i="4" s="1"/>
  <c r="B632" i="4"/>
  <c r="B631" i="4"/>
  <c r="B630" i="4"/>
  <c r="B629" i="4"/>
  <c r="B628" i="4"/>
  <c r="B627" i="4"/>
  <c r="O627" i="4" s="1"/>
  <c r="B626" i="4"/>
  <c r="B50" i="1" s="1"/>
  <c r="B625" i="4"/>
  <c r="O625" i="4" s="1"/>
  <c r="B624" i="4"/>
  <c r="B48" i="1" s="1"/>
  <c r="B623" i="4"/>
  <c r="B622" i="4"/>
  <c r="E622" i="4" s="1"/>
  <c r="B621" i="4"/>
  <c r="B45" i="1" s="1"/>
  <c r="B620" i="4"/>
  <c r="B619" i="4"/>
  <c r="B618" i="4"/>
  <c r="B617" i="4"/>
  <c r="B616" i="4"/>
  <c r="B615" i="4"/>
  <c r="B614" i="4"/>
  <c r="B613" i="4"/>
  <c r="V613" i="4" s="1"/>
  <c r="B612" i="4"/>
  <c r="V612" i="4" s="1"/>
  <c r="B611" i="4"/>
  <c r="O611" i="4" s="1"/>
  <c r="B610" i="4"/>
  <c r="B609" i="4"/>
  <c r="B608" i="4"/>
  <c r="V608" i="4" s="1"/>
  <c r="B607" i="4"/>
  <c r="V607" i="4" s="1"/>
  <c r="B606" i="4"/>
  <c r="B30" i="1" s="1"/>
  <c r="B605" i="4"/>
  <c r="E605" i="4" s="1"/>
  <c r="B604" i="4"/>
  <c r="B28" i="1" s="1"/>
  <c r="B603" i="4"/>
  <c r="B27" i="1" s="1"/>
  <c r="B602" i="4"/>
  <c r="B26" i="1" s="1"/>
  <c r="B601" i="4"/>
  <c r="E601" i="4" s="1"/>
  <c r="L24" i="1" s="1"/>
  <c r="B600" i="4"/>
  <c r="B24" i="1" s="1"/>
  <c r="B599" i="4"/>
  <c r="V599" i="4" s="1"/>
  <c r="B598" i="4"/>
  <c r="B597" i="4"/>
  <c r="B596" i="4"/>
  <c r="B595" i="4"/>
  <c r="B594" i="4"/>
  <c r="B593" i="4"/>
  <c r="B592" i="4"/>
  <c r="B591" i="4"/>
  <c r="V591" i="4" s="1"/>
  <c r="B590" i="4"/>
  <c r="V590" i="4" s="1"/>
  <c r="B589" i="4"/>
  <c r="B588" i="4"/>
  <c r="B587" i="4"/>
  <c r="B586" i="4"/>
  <c r="B585" i="4"/>
  <c r="B9" i="1" s="1"/>
  <c r="B584" i="4"/>
  <c r="B583" i="4"/>
  <c r="B7" i="1" s="1"/>
  <c r="B582" i="4"/>
  <c r="B6" i="1" s="1"/>
  <c r="B581" i="4"/>
  <c r="O581" i="4" s="1"/>
  <c r="B580" i="4"/>
  <c r="V580" i="4" s="1"/>
  <c r="B579" i="4"/>
  <c r="O579" i="4" s="1"/>
  <c r="B578" i="4"/>
  <c r="B577" i="4"/>
  <c r="B576" i="4"/>
  <c r="B575" i="4"/>
  <c r="B574" i="4"/>
  <c r="B573" i="4"/>
  <c r="B572" i="4"/>
  <c r="B571" i="4"/>
  <c r="B570" i="4"/>
  <c r="B569" i="4"/>
  <c r="B568" i="4"/>
  <c r="V568" i="4" s="1"/>
  <c r="B567" i="4"/>
  <c r="B566" i="4"/>
  <c r="B565" i="4"/>
  <c r="B564" i="4"/>
  <c r="V564" i="4" s="1"/>
  <c r="B563" i="4"/>
  <c r="B562" i="4"/>
  <c r="E562" i="4" s="1"/>
  <c r="B561" i="4"/>
  <c r="E561" i="4" s="1"/>
  <c r="F561" i="4" s="1"/>
  <c r="B560" i="4"/>
  <c r="B559" i="4"/>
  <c r="B558" i="4"/>
  <c r="E558" i="4" s="1"/>
  <c r="B557" i="4"/>
  <c r="V557" i="4" s="1"/>
  <c r="B556" i="4"/>
  <c r="O556" i="4" s="1"/>
  <c r="B555" i="4"/>
  <c r="B554" i="4"/>
  <c r="B553" i="4"/>
  <c r="B552" i="4"/>
  <c r="B551" i="4"/>
  <c r="B550" i="4"/>
  <c r="B549" i="4"/>
  <c r="B548" i="4"/>
  <c r="B547" i="4"/>
  <c r="B546" i="4"/>
  <c r="B545" i="4"/>
  <c r="V545" i="4" s="1"/>
  <c r="B544" i="4"/>
  <c r="B543" i="4"/>
  <c r="B542" i="4"/>
  <c r="B541" i="4"/>
  <c r="V541" i="4" s="1"/>
  <c r="B540" i="4"/>
  <c r="B539" i="4"/>
  <c r="B538" i="4"/>
  <c r="B537" i="4"/>
  <c r="V537" i="4" s="1"/>
  <c r="B536" i="4"/>
  <c r="B535" i="4"/>
  <c r="E535" i="4" s="1"/>
  <c r="F535" i="4" s="1"/>
  <c r="B534" i="4"/>
  <c r="V534" i="4" s="1"/>
  <c r="B533" i="4"/>
  <c r="O533" i="4" s="1"/>
  <c r="B532" i="4"/>
  <c r="B531" i="4"/>
  <c r="B530" i="4"/>
  <c r="B529" i="4"/>
  <c r="B528" i="4"/>
  <c r="B527" i="4"/>
  <c r="B526" i="4"/>
  <c r="B525" i="4"/>
  <c r="O525" i="4" s="1"/>
  <c r="B524" i="4"/>
  <c r="B523" i="4"/>
  <c r="B522" i="4"/>
  <c r="B521" i="4"/>
  <c r="B520" i="4"/>
  <c r="E520" i="4" s="1"/>
  <c r="F520" i="4" s="1"/>
  <c r="B519" i="4"/>
  <c r="B518" i="4"/>
  <c r="B517" i="4"/>
  <c r="B516" i="4"/>
  <c r="B515" i="4"/>
  <c r="B514" i="4"/>
  <c r="V514" i="4" s="1"/>
  <c r="B513" i="4"/>
  <c r="O513" i="4" s="1"/>
  <c r="B512" i="4"/>
  <c r="O512" i="4" s="1"/>
  <c r="B511" i="4"/>
  <c r="V511" i="4" s="1"/>
  <c r="B510" i="4"/>
  <c r="B509" i="4"/>
  <c r="B508" i="4"/>
  <c r="B507" i="4"/>
  <c r="B506" i="4"/>
  <c r="B505" i="4"/>
  <c r="B504" i="4"/>
  <c r="B503" i="4"/>
  <c r="V503" i="4" s="1"/>
  <c r="B502" i="4"/>
  <c r="B501" i="4"/>
  <c r="B500" i="4"/>
  <c r="B499" i="4"/>
  <c r="B498" i="4"/>
  <c r="B497" i="4"/>
  <c r="E497" i="4" s="1"/>
  <c r="B496" i="4"/>
  <c r="B495" i="4"/>
  <c r="B494" i="4"/>
  <c r="B493" i="4"/>
  <c r="O493" i="4" s="1"/>
  <c r="B492" i="4"/>
  <c r="V492" i="4" s="1"/>
  <c r="B491" i="4"/>
  <c r="O491" i="4" s="1"/>
  <c r="B490" i="4"/>
  <c r="O490" i="4" s="1"/>
  <c r="B489" i="4"/>
  <c r="E489" i="4" s="1"/>
  <c r="B488" i="4"/>
  <c r="B487" i="4"/>
  <c r="B486" i="4"/>
  <c r="B485" i="4"/>
  <c r="B484" i="4"/>
  <c r="B483" i="4"/>
  <c r="B482" i="4"/>
  <c r="B481" i="4"/>
  <c r="E481" i="4" s="1"/>
  <c r="B480" i="4"/>
  <c r="O480" i="4" s="1"/>
  <c r="B479" i="4"/>
  <c r="O479" i="4" s="1"/>
  <c r="B478" i="4"/>
  <c r="B477" i="4"/>
  <c r="B476" i="4"/>
  <c r="B475" i="4"/>
  <c r="B474" i="4"/>
  <c r="B473" i="4"/>
  <c r="V473" i="4" s="1"/>
  <c r="B472" i="4"/>
  <c r="V472" i="4" s="1"/>
  <c r="B471" i="4"/>
  <c r="V471" i="4" s="1"/>
  <c r="B470" i="4"/>
  <c r="V470" i="4" s="1"/>
  <c r="B469" i="4"/>
  <c r="B468" i="4"/>
  <c r="E468" i="4" s="1"/>
  <c r="B467" i="4"/>
  <c r="B466" i="4"/>
  <c r="B465" i="4"/>
  <c r="B464" i="4"/>
  <c r="B463" i="4"/>
  <c r="B462" i="4"/>
  <c r="B461" i="4"/>
  <c r="B460" i="4"/>
  <c r="B459" i="4"/>
  <c r="B458" i="4"/>
  <c r="O458" i="4" s="1"/>
  <c r="B457" i="4"/>
  <c r="V457" i="4" s="1"/>
  <c r="B456" i="4"/>
  <c r="B455" i="4"/>
  <c r="B454" i="4"/>
  <c r="V454" i="4" s="1"/>
  <c r="B453" i="4"/>
  <c r="E453" i="4" s="1"/>
  <c r="B452" i="4"/>
  <c r="B451" i="4"/>
  <c r="V451" i="4" s="1"/>
  <c r="B450" i="4"/>
  <c r="B449" i="4"/>
  <c r="V449" i="4" s="1"/>
  <c r="B448" i="4"/>
  <c r="E448" i="4" s="1"/>
  <c r="B447" i="4"/>
  <c r="O447" i="4" s="1"/>
  <c r="B446" i="4"/>
  <c r="O446" i="4" s="1"/>
  <c r="B445" i="4"/>
  <c r="B444" i="4"/>
  <c r="B443" i="4"/>
  <c r="B442" i="4"/>
  <c r="B441" i="4"/>
  <c r="B440" i="4"/>
  <c r="B439" i="4"/>
  <c r="B438" i="4"/>
  <c r="B437" i="4"/>
  <c r="E437" i="4" s="1"/>
  <c r="F437" i="4" s="1"/>
  <c r="B436" i="4"/>
  <c r="O436" i="4" s="1"/>
  <c r="B435" i="4"/>
  <c r="O435" i="4" s="1"/>
  <c r="B434" i="4"/>
  <c r="B433" i="4"/>
  <c r="B432" i="4"/>
  <c r="B431" i="4"/>
  <c r="V431" i="4" s="1"/>
  <c r="B430" i="4"/>
  <c r="B429" i="4"/>
  <c r="E429" i="4" s="1"/>
  <c r="F429" i="4" s="1"/>
  <c r="B428" i="4"/>
  <c r="B427" i="4"/>
  <c r="O427" i="4" s="1"/>
  <c r="B426" i="4"/>
  <c r="B425" i="4"/>
  <c r="E425" i="4" s="1"/>
  <c r="B424" i="4"/>
  <c r="O424" i="4" s="1"/>
  <c r="B423" i="4"/>
  <c r="B422" i="4"/>
  <c r="B421" i="4"/>
  <c r="B420" i="4"/>
  <c r="B419" i="4"/>
  <c r="B418" i="4"/>
  <c r="B417" i="4"/>
  <c r="B416" i="4"/>
  <c r="B415" i="4"/>
  <c r="O415" i="4" s="1"/>
  <c r="B414" i="4"/>
  <c r="E414" i="4" s="1"/>
  <c r="F414" i="4" s="1"/>
  <c r="B413" i="4"/>
  <c r="B412" i="4"/>
  <c r="B411" i="4"/>
  <c r="B410" i="4"/>
  <c r="V410" i="4" s="1"/>
  <c r="B409" i="4"/>
  <c r="B408" i="4"/>
  <c r="B407" i="4"/>
  <c r="E407" i="4" s="1"/>
  <c r="B406" i="4"/>
  <c r="B405" i="4"/>
  <c r="V405" i="4" s="1"/>
  <c r="B404" i="4"/>
  <c r="V404" i="4" s="1"/>
  <c r="B403" i="4"/>
  <c r="E403" i="4" s="1"/>
  <c r="B402" i="4"/>
  <c r="V402" i="4" s="1"/>
  <c r="B401" i="4"/>
  <c r="O401" i="4" s="1"/>
  <c r="B400" i="4"/>
  <c r="B399" i="4"/>
  <c r="B398" i="4"/>
  <c r="B397" i="4"/>
  <c r="B396" i="4"/>
  <c r="B395" i="4"/>
  <c r="B394" i="4"/>
  <c r="B393" i="4"/>
  <c r="B392" i="4"/>
  <c r="V392" i="4" s="1"/>
  <c r="B391" i="4"/>
  <c r="B390" i="4"/>
  <c r="B389" i="4"/>
  <c r="B388" i="4"/>
  <c r="B387" i="4"/>
  <c r="O387" i="4" s="1"/>
  <c r="B386" i="4"/>
  <c r="V386" i="4" s="1"/>
  <c r="B385" i="4"/>
  <c r="B384" i="4"/>
  <c r="E384" i="4" s="1"/>
  <c r="F384" i="4" s="1"/>
  <c r="B383" i="4"/>
  <c r="E383" i="4" s="1"/>
  <c r="B382" i="4"/>
  <c r="V382" i="4" s="1"/>
  <c r="B381" i="4"/>
  <c r="B380" i="4"/>
  <c r="B379" i="4"/>
  <c r="O379" i="4" s="1"/>
  <c r="B378" i="4"/>
  <c r="B377" i="4"/>
  <c r="B376" i="4"/>
  <c r="B375" i="4"/>
  <c r="B374" i="4"/>
  <c r="B373" i="4"/>
  <c r="B372" i="4"/>
  <c r="B371" i="4"/>
  <c r="U42" i="1"/>
  <c r="T42" i="1"/>
  <c r="S42" i="1"/>
  <c r="U41" i="1"/>
  <c r="T41" i="1"/>
  <c r="S41" i="1"/>
  <c r="U40" i="1"/>
  <c r="T40" i="1"/>
  <c r="S40" i="1"/>
  <c r="U39" i="1"/>
  <c r="T39" i="1"/>
  <c r="S39" i="1"/>
  <c r="U38" i="1"/>
  <c r="T38" i="1"/>
  <c r="S38" i="1"/>
  <c r="U37" i="1"/>
  <c r="T37" i="1"/>
  <c r="S37" i="1"/>
  <c r="U36" i="1"/>
  <c r="T36" i="1"/>
  <c r="S36" i="1"/>
  <c r="U35" i="1"/>
  <c r="T35" i="1"/>
  <c r="S35" i="1"/>
  <c r="U34" i="1"/>
  <c r="T34" i="1"/>
  <c r="S34" i="1"/>
  <c r="U33" i="1"/>
  <c r="T33" i="1"/>
  <c r="S33" i="1"/>
  <c r="U32" i="1"/>
  <c r="T32" i="1"/>
  <c r="S32" i="1"/>
  <c r="U31" i="1"/>
  <c r="T31" i="1"/>
  <c r="S31" i="1"/>
  <c r="U30" i="1"/>
  <c r="T30" i="1"/>
  <c r="S30" i="1"/>
  <c r="W30" i="1" s="1"/>
  <c r="U29" i="1"/>
  <c r="T29" i="1"/>
  <c r="S29" i="1"/>
  <c r="W29" i="1" s="1"/>
  <c r="U28" i="1"/>
  <c r="T28" i="1"/>
  <c r="S28" i="1"/>
  <c r="U27" i="1"/>
  <c r="T27" i="1"/>
  <c r="S27" i="1"/>
  <c r="U26" i="1"/>
  <c r="T26" i="1"/>
  <c r="S26" i="1"/>
  <c r="U25" i="1"/>
  <c r="T25" i="1"/>
  <c r="S25" i="1"/>
  <c r="F1014" i="4"/>
  <c r="Q1001" i="4"/>
  <c r="P1001" i="4"/>
  <c r="M1014" i="4"/>
  <c r="L1014" i="4"/>
  <c r="K1014" i="4"/>
  <c r="J1014" i="4"/>
  <c r="I1014" i="4"/>
  <c r="H1014" i="4"/>
  <c r="Y1012" i="4"/>
  <c r="X1012" i="4"/>
  <c r="W1012" i="4"/>
  <c r="V1012" i="4"/>
  <c r="U1012" i="4"/>
  <c r="T1012" i="4"/>
  <c r="S1012" i="4"/>
  <c r="R1012" i="4"/>
  <c r="Q1012" i="4"/>
  <c r="P1012" i="4"/>
  <c r="O1012" i="4"/>
  <c r="S1010" i="4"/>
  <c r="Z1009" i="4"/>
  <c r="K1007" i="4"/>
  <c r="J1007" i="4"/>
  <c r="I1007" i="4"/>
  <c r="E1007" i="4"/>
  <c r="D1007" i="4"/>
  <c r="C1007" i="4"/>
  <c r="R1010" i="4"/>
  <c r="L1006" i="4"/>
  <c r="L1007" i="4" s="1"/>
  <c r="K1006" i="4"/>
  <c r="J1006" i="4"/>
  <c r="I1006" i="4"/>
  <c r="H1006" i="4"/>
  <c r="H1007" i="4" s="1"/>
  <c r="G1006" i="4"/>
  <c r="G1007" i="4" s="1"/>
  <c r="F1006" i="4"/>
  <c r="F1007" i="4" s="1"/>
  <c r="E1006" i="4"/>
  <c r="D1006" i="4"/>
  <c r="C1006" i="4"/>
  <c r="V1002" i="4"/>
  <c r="T1002" i="4"/>
  <c r="S1002" i="4"/>
  <c r="R1002" i="4"/>
  <c r="Q1002" i="4"/>
  <c r="M1005" i="4"/>
  <c r="L1005" i="4"/>
  <c r="K1005" i="4"/>
  <c r="J1005" i="4"/>
  <c r="I1005" i="4"/>
  <c r="H1005" i="4"/>
  <c r="G1005" i="4"/>
  <c r="F1005" i="4"/>
  <c r="E1005" i="4"/>
  <c r="D1005" i="4"/>
  <c r="C1005" i="4"/>
  <c r="K1004" i="4"/>
  <c r="J1004" i="4"/>
  <c r="I1004" i="4"/>
  <c r="H1004" i="4"/>
  <c r="L1003" i="4"/>
  <c r="L1004" i="4" s="1"/>
  <c r="K1003" i="4"/>
  <c r="J1003" i="4"/>
  <c r="I1003" i="4"/>
  <c r="H1003" i="4"/>
  <c r="G1003" i="4"/>
  <c r="F1003" i="4"/>
  <c r="E1003" i="4"/>
  <c r="E1004" i="4" s="1"/>
  <c r="D1003" i="4"/>
  <c r="C1003" i="4"/>
  <c r="C1004" i="4" s="1"/>
  <c r="M1002" i="4"/>
  <c r="L1002" i="4"/>
  <c r="K1002" i="4"/>
  <c r="J1002" i="4"/>
  <c r="I1002" i="4"/>
  <c r="H1002" i="4"/>
  <c r="G1002" i="4"/>
  <c r="F1002" i="4"/>
  <c r="F1004" i="4" s="1"/>
  <c r="E1002" i="4"/>
  <c r="D1002" i="4"/>
  <c r="C1002" i="4"/>
  <c r="Y1001" i="4"/>
  <c r="Y1000" i="4" s="1"/>
  <c r="X1001" i="4"/>
  <c r="W1001" i="4"/>
  <c r="W1000" i="4" s="1"/>
  <c r="W1003" i="4" s="1"/>
  <c r="V1001" i="4"/>
  <c r="V1000" i="4" s="1"/>
  <c r="T1001" i="4"/>
  <c r="L1000" i="4"/>
  <c r="K1000" i="4"/>
  <c r="J1000" i="4"/>
  <c r="I1000" i="4"/>
  <c r="H1000" i="4"/>
  <c r="G1000" i="4"/>
  <c r="F1000" i="4"/>
  <c r="E1000" i="4"/>
  <c r="D1000" i="4"/>
  <c r="C1000" i="4"/>
  <c r="N994" i="4"/>
  <c r="M994" i="4"/>
  <c r="D994" i="4"/>
  <c r="C994" i="4"/>
  <c r="W993" i="4"/>
  <c r="N993" i="4"/>
  <c r="M993" i="4"/>
  <c r="L993" i="4"/>
  <c r="D993" i="4"/>
  <c r="C993" i="4"/>
  <c r="N992" i="4"/>
  <c r="M992" i="4"/>
  <c r="L992" i="4"/>
  <c r="D992" i="4"/>
  <c r="C992" i="4"/>
  <c r="W992" i="4" s="1"/>
  <c r="N991" i="4"/>
  <c r="M991" i="4"/>
  <c r="L991" i="4"/>
  <c r="D991" i="4"/>
  <c r="C991" i="4"/>
  <c r="W991" i="4" s="1"/>
  <c r="N990" i="4"/>
  <c r="M990" i="4"/>
  <c r="L990" i="4"/>
  <c r="D990" i="4"/>
  <c r="C990" i="4"/>
  <c r="W989" i="4"/>
  <c r="N989" i="4"/>
  <c r="X989" i="4" s="1"/>
  <c r="M989" i="4"/>
  <c r="L989" i="4"/>
  <c r="D989" i="4"/>
  <c r="C989" i="4"/>
  <c r="W988" i="4"/>
  <c r="N988" i="4"/>
  <c r="M988" i="4"/>
  <c r="L988" i="4"/>
  <c r="D988" i="4"/>
  <c r="C988" i="4"/>
  <c r="W987" i="4"/>
  <c r="N987" i="4"/>
  <c r="M987" i="4"/>
  <c r="L987" i="4"/>
  <c r="D987" i="4"/>
  <c r="C987" i="4"/>
  <c r="D986" i="4"/>
  <c r="C986" i="4"/>
  <c r="D985" i="4"/>
  <c r="C985" i="4"/>
  <c r="D984" i="4"/>
  <c r="C984" i="4"/>
  <c r="D983" i="4"/>
  <c r="C983" i="4"/>
  <c r="Q683" i="4"/>
  <c r="H683" i="4" a="1"/>
  <c r="H683" i="4" s="1"/>
  <c r="D683" i="4"/>
  <c r="H682" i="4" a="1"/>
  <c r="H682" i="4" s="1"/>
  <c r="D682" i="4"/>
  <c r="AH680" i="4" s="1"/>
  <c r="AH681" i="4"/>
  <c r="Q681" i="4"/>
  <c r="H681" i="4" a="1"/>
  <c r="H681" i="4" s="1"/>
  <c r="E681" i="4" s="1"/>
  <c r="D681" i="4"/>
  <c r="H680" i="4" a="1"/>
  <c r="H680" i="4" s="1"/>
  <c r="E680" i="4" s="1"/>
  <c r="D680" i="4"/>
  <c r="AH679" i="4"/>
  <c r="AB679" i="4"/>
  <c r="H679" i="4" a="1"/>
  <c r="H679" i="4" s="1"/>
  <c r="E679" i="4" s="1"/>
  <c r="C679" i="4" s="1"/>
  <c r="D679" i="4"/>
  <c r="AB678" i="4"/>
  <c r="H678" i="4" a="1"/>
  <c r="H678" i="4" s="1"/>
  <c r="E678" i="4" s="1"/>
  <c r="F678" i="4" s="1"/>
  <c r="D678" i="4"/>
  <c r="AH676" i="4" s="1"/>
  <c r="AH677" i="4"/>
  <c r="H677" i="4" a="1"/>
  <c r="H677" i="4" s="1"/>
  <c r="E677" i="4" s="1"/>
  <c r="C677" i="4" s="1"/>
  <c r="D677" i="4"/>
  <c r="H676" i="4" a="1"/>
  <c r="H676" i="4" s="1"/>
  <c r="E676" i="4"/>
  <c r="D676" i="4"/>
  <c r="AH675" i="4"/>
  <c r="H675" i="4" a="1"/>
  <c r="H675" i="4" s="1"/>
  <c r="E675" i="4" s="1"/>
  <c r="C675" i="4" s="1"/>
  <c r="D675" i="4"/>
  <c r="H674" i="4" a="1"/>
  <c r="H674" i="4" s="1"/>
  <c r="E674" i="4" s="1"/>
  <c r="D674" i="4"/>
  <c r="AH673" i="4"/>
  <c r="H673" i="4" a="1"/>
  <c r="H673" i="4" s="1"/>
  <c r="E673" i="4" s="1"/>
  <c r="D673" i="4"/>
  <c r="AB672" i="4"/>
  <c r="H672" i="4" a="1"/>
  <c r="H672" i="4" s="1"/>
  <c r="E672" i="4" s="1"/>
  <c r="C672" i="4" s="1"/>
  <c r="B21" i="2" s="1"/>
  <c r="D672" i="4"/>
  <c r="AB671" i="4"/>
  <c r="AA671" i="4" s="1"/>
  <c r="H671" i="4" a="1"/>
  <c r="H671" i="4" s="1"/>
  <c r="E671" i="4" s="1"/>
  <c r="C671" i="4" s="1"/>
  <c r="D671" i="4"/>
  <c r="AH670" i="4"/>
  <c r="H670" i="4" a="1"/>
  <c r="H670" i="4" s="1"/>
  <c r="E670" i="4" s="1"/>
  <c r="D670" i="4"/>
  <c r="B670" i="4"/>
  <c r="AH669" i="4"/>
  <c r="H669" i="4" a="1"/>
  <c r="H669" i="4" s="1"/>
  <c r="E669" i="4" s="1"/>
  <c r="D669" i="4"/>
  <c r="N1005" i="4" s="1"/>
  <c r="AA1005" i="4" s="1"/>
  <c r="B669" i="4"/>
  <c r="AH668" i="4"/>
  <c r="H668" i="4" a="1"/>
  <c r="H668" i="4" s="1"/>
  <c r="E668" i="4" s="1"/>
  <c r="F668" i="4" s="1"/>
  <c r="D668" i="4"/>
  <c r="B668" i="4"/>
  <c r="AB667" i="4"/>
  <c r="H667" i="4" a="1"/>
  <c r="H667" i="4" s="1"/>
  <c r="E667" i="4" s="1"/>
  <c r="D667" i="4"/>
  <c r="B667" i="4"/>
  <c r="AH666" i="4"/>
  <c r="H666" i="4" a="1"/>
  <c r="H666" i="4" s="1"/>
  <c r="E666" i="4" s="1"/>
  <c r="C666" i="4" s="1"/>
  <c r="B666" i="4"/>
  <c r="AH665" i="4"/>
  <c r="AB665" i="4"/>
  <c r="AA665" i="4"/>
  <c r="Q665" i="4"/>
  <c r="H665" i="4" a="1"/>
  <c r="H665" i="4" s="1"/>
  <c r="E665" i="4" s="1"/>
  <c r="B665" i="4"/>
  <c r="AH664" i="4"/>
  <c r="AB664" i="4"/>
  <c r="AA664" i="4" s="1"/>
  <c r="P664" i="4"/>
  <c r="H664" i="4"/>
  <c r="AH663" i="4"/>
  <c r="AB663" i="4"/>
  <c r="H663" i="4"/>
  <c r="E663" i="4"/>
  <c r="AH662" i="4"/>
  <c r="P662" i="4"/>
  <c r="O662" i="4"/>
  <c r="H662" i="4"/>
  <c r="AH661" i="4"/>
  <c r="P661" i="4"/>
  <c r="H661" i="4"/>
  <c r="AH660" i="4"/>
  <c r="P660" i="4"/>
  <c r="H660" i="4"/>
  <c r="V660" i="4"/>
  <c r="AH659" i="4"/>
  <c r="H659" i="4"/>
  <c r="E659" i="4"/>
  <c r="AH658" i="4"/>
  <c r="H658" i="4"/>
  <c r="V658" i="4"/>
  <c r="AH657" i="4"/>
  <c r="AG657" i="4"/>
  <c r="S659" i="4"/>
  <c r="H657" i="4"/>
  <c r="AH656" i="4"/>
  <c r="AG656" i="4"/>
  <c r="AB656" i="4"/>
  <c r="O656" i="4"/>
  <c r="H656" i="4"/>
  <c r="AH655" i="4"/>
  <c r="AG655" i="4"/>
  <c r="AB655" i="4"/>
  <c r="P655" i="4"/>
  <c r="O655" i="4"/>
  <c r="H655" i="4"/>
  <c r="E655" i="4"/>
  <c r="AH654" i="4"/>
  <c r="AG654" i="4"/>
  <c r="AA654" i="4"/>
  <c r="V654" i="4"/>
  <c r="Q654" i="4"/>
  <c r="P654" i="4"/>
  <c r="M654" i="4"/>
  <c r="N654" i="4" s="1"/>
  <c r="O654" i="4"/>
  <c r="I654" i="4"/>
  <c r="H654" i="4"/>
  <c r="E654" i="4"/>
  <c r="AH653" i="4"/>
  <c r="AG653" i="4"/>
  <c r="Q653" i="4"/>
  <c r="O653" i="4"/>
  <c r="H653" i="4"/>
  <c r="E653" i="4"/>
  <c r="V653" i="4"/>
  <c r="AH652" i="4"/>
  <c r="AG652" i="4"/>
  <c r="P652" i="4"/>
  <c r="H652" i="4"/>
  <c r="AG651" i="4"/>
  <c r="N986" i="4"/>
  <c r="X986" i="4" s="1"/>
  <c r="M986" i="4"/>
  <c r="L986" i="4"/>
  <c r="H651" i="4"/>
  <c r="AG650" i="4"/>
  <c r="L985" i="4"/>
  <c r="H650" i="4"/>
  <c r="AG649" i="4"/>
  <c r="AC649" i="4"/>
  <c r="Q649" i="4"/>
  <c r="I649" i="4"/>
  <c r="H649" i="4"/>
  <c r="AG648" i="4"/>
  <c r="AA648" i="4"/>
  <c r="P648" i="4"/>
  <c r="H648" i="4"/>
  <c r="AG647" i="4"/>
  <c r="AC647" i="4"/>
  <c r="AA647" i="4"/>
  <c r="T647" i="4"/>
  <c r="S647" i="4"/>
  <c r="Q647" i="4"/>
  <c r="P647" i="4"/>
  <c r="I647" i="4"/>
  <c r="H647" i="4"/>
  <c r="AG646" i="4"/>
  <c r="AA646" i="4"/>
  <c r="Q646" i="4"/>
  <c r="P646" i="4"/>
  <c r="M646" i="4"/>
  <c r="N646" i="4" s="1"/>
  <c r="I646" i="4"/>
  <c r="H646" i="4"/>
  <c r="AG645" i="4"/>
  <c r="AA645" i="4"/>
  <c r="Q645" i="4"/>
  <c r="P645" i="4"/>
  <c r="N645" i="4"/>
  <c r="M645" i="4"/>
  <c r="I645" i="4"/>
  <c r="H645" i="4"/>
  <c r="AG644" i="4"/>
  <c r="AC644" i="4"/>
  <c r="T644" i="4"/>
  <c r="S644" i="4"/>
  <c r="R644" i="4"/>
  <c r="Q644" i="4"/>
  <c r="P644" i="4"/>
  <c r="M644" i="4"/>
  <c r="N644" i="4" s="1"/>
  <c r="I644" i="4"/>
  <c r="H644" i="4"/>
  <c r="O644" i="4"/>
  <c r="AG643" i="4"/>
  <c r="Q643" i="4"/>
  <c r="P643" i="4"/>
  <c r="M643" i="4"/>
  <c r="N643" i="4" s="1"/>
  <c r="I643" i="4"/>
  <c r="H643" i="4"/>
  <c r="AG642" i="4"/>
  <c r="Q642" i="4"/>
  <c r="P642" i="4"/>
  <c r="M642" i="4"/>
  <c r="N642" i="4" s="1"/>
  <c r="I642" i="4"/>
  <c r="H642" i="4"/>
  <c r="AG641" i="4"/>
  <c r="V641" i="4"/>
  <c r="T641" i="4"/>
  <c r="S641" i="4"/>
  <c r="R641" i="4"/>
  <c r="Q641" i="4"/>
  <c r="P641" i="4"/>
  <c r="O641" i="4"/>
  <c r="M641" i="4"/>
  <c r="N641" i="4" s="1"/>
  <c r="H641" i="4"/>
  <c r="AC640" i="4"/>
  <c r="AA640" i="4"/>
  <c r="Q640" i="4"/>
  <c r="P640" i="4"/>
  <c r="M640" i="4"/>
  <c r="N640" i="4" s="1"/>
  <c r="H640" i="4"/>
  <c r="AC639" i="4"/>
  <c r="AA639" i="4"/>
  <c r="Q639" i="4"/>
  <c r="P639" i="4"/>
  <c r="M639" i="4"/>
  <c r="N639" i="4" s="1"/>
  <c r="H639" i="4"/>
  <c r="AI638" i="4"/>
  <c r="T638" i="4"/>
  <c r="S638" i="4"/>
  <c r="R638" i="4"/>
  <c r="Q638" i="4"/>
  <c r="P638" i="4"/>
  <c r="M638" i="4"/>
  <c r="N638" i="4" s="1"/>
  <c r="H638" i="4"/>
  <c r="V638" i="4"/>
  <c r="AI637" i="4"/>
  <c r="AC637" i="4"/>
  <c r="Q637" i="4"/>
  <c r="P637" i="4"/>
  <c r="M637" i="4"/>
  <c r="N637" i="4" s="1"/>
  <c r="H637" i="4"/>
  <c r="V637" i="4"/>
  <c r="AI636" i="4"/>
  <c r="AC636" i="4"/>
  <c r="AA636" i="4"/>
  <c r="Q636" i="4"/>
  <c r="P636" i="4"/>
  <c r="M636" i="4"/>
  <c r="N636" i="4" s="1"/>
  <c r="H636" i="4"/>
  <c r="AI635" i="4"/>
  <c r="AC635" i="4"/>
  <c r="T635" i="4"/>
  <c r="S635" i="4"/>
  <c r="R635" i="4"/>
  <c r="Q635" i="4"/>
  <c r="P635" i="4"/>
  <c r="M635" i="4"/>
  <c r="H635" i="4"/>
  <c r="AC634" i="4"/>
  <c r="AA634" i="4"/>
  <c r="Q634" i="4"/>
  <c r="P634" i="4"/>
  <c r="M634" i="4"/>
  <c r="N634" i="4" s="1"/>
  <c r="H634" i="4"/>
  <c r="AI633" i="4"/>
  <c r="AC633" i="4"/>
  <c r="Q633" i="4"/>
  <c r="P633" i="4"/>
  <c r="M633" i="4"/>
  <c r="N633" i="4" s="1"/>
  <c r="H633" i="4"/>
  <c r="AI632" i="4"/>
  <c r="AC632" i="4"/>
  <c r="AA632" i="4"/>
  <c r="T632" i="4"/>
  <c r="S632" i="4"/>
  <c r="R632" i="4"/>
  <c r="Q632" i="4"/>
  <c r="P632" i="4"/>
  <c r="O632" i="4"/>
  <c r="N632" i="4"/>
  <c r="M632" i="4"/>
  <c r="H632" i="4"/>
  <c r="AC631" i="4"/>
  <c r="AA631" i="4"/>
  <c r="Q631" i="4"/>
  <c r="P631" i="4"/>
  <c r="N631" i="4"/>
  <c r="M631" i="4"/>
  <c r="H631" i="4"/>
  <c r="AC630" i="4"/>
  <c r="AA630" i="4"/>
  <c r="Q630" i="4"/>
  <c r="P630" i="4"/>
  <c r="N630" i="4"/>
  <c r="M630" i="4"/>
  <c r="H630" i="4"/>
  <c r="AI629" i="4"/>
  <c r="AC629" i="4"/>
  <c r="AA629" i="4"/>
  <c r="T629" i="4"/>
  <c r="S629" i="4"/>
  <c r="R629" i="4"/>
  <c r="Q629" i="4"/>
  <c r="P629" i="4"/>
  <c r="M629" i="4"/>
  <c r="N629" i="4" s="1"/>
  <c r="H629" i="4"/>
  <c r="AI628" i="4"/>
  <c r="AC628" i="4"/>
  <c r="AA628" i="4"/>
  <c r="Q628" i="4"/>
  <c r="P628" i="4"/>
  <c r="N628" i="4"/>
  <c r="M628" i="4"/>
  <c r="H628" i="4"/>
  <c r="E628" i="4"/>
  <c r="AI627" i="4"/>
  <c r="AC627" i="4"/>
  <c r="AA627" i="4"/>
  <c r="Q627" i="4"/>
  <c r="P627" i="4"/>
  <c r="M627" i="4"/>
  <c r="N627" i="4" s="1"/>
  <c r="H627" i="4"/>
  <c r="AI626" i="4"/>
  <c r="AC626" i="4"/>
  <c r="AA626" i="4"/>
  <c r="T626" i="4"/>
  <c r="S626" i="4"/>
  <c r="R626" i="4"/>
  <c r="Q626" i="4"/>
  <c r="P626" i="4"/>
  <c r="M626" i="4"/>
  <c r="N626" i="4" s="1"/>
  <c r="H626" i="4"/>
  <c r="AI625" i="4"/>
  <c r="AC625" i="4"/>
  <c r="AA625" i="4"/>
  <c r="Q625" i="4"/>
  <c r="P625" i="4"/>
  <c r="M625" i="4"/>
  <c r="N625" i="4" s="1"/>
  <c r="H625" i="4"/>
  <c r="AI624" i="4"/>
  <c r="AC624" i="4"/>
  <c r="AA624" i="4"/>
  <c r="Q624" i="4"/>
  <c r="P624" i="4"/>
  <c r="M624" i="4"/>
  <c r="N624" i="4" s="1"/>
  <c r="H624" i="4"/>
  <c r="AL645" i="4"/>
  <c r="AK645" i="4"/>
  <c r="AL625" i="4"/>
  <c r="AL624" i="4"/>
  <c r="AK623" i="4" a="1"/>
  <c r="AK637" i="4" s="1"/>
  <c r="AC623" i="4"/>
  <c r="AA623" i="4"/>
  <c r="T623" i="4"/>
  <c r="S623" i="4"/>
  <c r="R623" i="4"/>
  <c r="Q623" i="4"/>
  <c r="P623" i="4"/>
  <c r="M623" i="4"/>
  <c r="H623" i="4"/>
  <c r="AI622" i="4"/>
  <c r="AC622" i="4"/>
  <c r="AA622" i="4"/>
  <c r="Q622" i="4"/>
  <c r="P622" i="4"/>
  <c r="O622" i="4"/>
  <c r="M622" i="4"/>
  <c r="N622" i="4" s="1"/>
  <c r="H622" i="4"/>
  <c r="AC621" i="4"/>
  <c r="AA621" i="4"/>
  <c r="Q621" i="4"/>
  <c r="P621" i="4"/>
  <c r="N621" i="4"/>
  <c r="M621" i="4"/>
  <c r="H621" i="4"/>
  <c r="AI620" i="4"/>
  <c r="AC620" i="4"/>
  <c r="AA620" i="4"/>
  <c r="T620" i="4"/>
  <c r="S620" i="4"/>
  <c r="R620" i="4"/>
  <c r="Q620" i="4"/>
  <c r="P620" i="4"/>
  <c r="M620" i="4"/>
  <c r="N620" i="4" s="1"/>
  <c r="H620" i="4"/>
  <c r="O620" i="4"/>
  <c r="AC619" i="4"/>
  <c r="AA619" i="4"/>
  <c r="Q619" i="4"/>
  <c r="P619" i="4"/>
  <c r="N619" i="4"/>
  <c r="M619" i="4"/>
  <c r="H619" i="4"/>
  <c r="V619" i="4"/>
  <c r="AI618" i="4"/>
  <c r="AC618" i="4"/>
  <c r="AA618" i="4"/>
  <c r="Q618" i="4"/>
  <c r="P618" i="4"/>
  <c r="M618" i="4"/>
  <c r="N618" i="4" s="1"/>
  <c r="H618" i="4"/>
  <c r="AI617" i="4"/>
  <c r="AC617" i="4"/>
  <c r="AA617" i="4"/>
  <c r="T617" i="4"/>
  <c r="S617" i="4"/>
  <c r="R617" i="4"/>
  <c r="Q617" i="4"/>
  <c r="P617" i="4"/>
  <c r="N617" i="4"/>
  <c r="M617" i="4"/>
  <c r="H617" i="4"/>
  <c r="AI616" i="4"/>
  <c r="AC616" i="4"/>
  <c r="AA616" i="4"/>
  <c r="Q616" i="4"/>
  <c r="P616" i="4"/>
  <c r="N616" i="4"/>
  <c r="M616" i="4"/>
  <c r="H616" i="4"/>
  <c r="E616" i="4"/>
  <c r="L40" i="1" s="1"/>
  <c r="AI615" i="4"/>
  <c r="AC615" i="4"/>
  <c r="AA615" i="4"/>
  <c r="Q615" i="4"/>
  <c r="P615" i="4"/>
  <c r="M615" i="4"/>
  <c r="N615" i="4" s="1"/>
  <c r="H615" i="4"/>
  <c r="B39" i="1"/>
  <c r="AI614" i="4"/>
  <c r="AC614" i="4"/>
  <c r="AA614" i="4"/>
  <c r="T614" i="4"/>
  <c r="S614" i="4"/>
  <c r="R614" i="4"/>
  <c r="Q614" i="4"/>
  <c r="P614" i="4"/>
  <c r="N614" i="4"/>
  <c r="M614" i="4"/>
  <c r="H614" i="4"/>
  <c r="AI613" i="4"/>
  <c r="AC613" i="4"/>
  <c r="AA613" i="4"/>
  <c r="Q613" i="4"/>
  <c r="P613" i="4"/>
  <c r="M613" i="4"/>
  <c r="N613" i="4" s="1"/>
  <c r="H613" i="4"/>
  <c r="AI612" i="4"/>
  <c r="AC612" i="4"/>
  <c r="AA612" i="4"/>
  <c r="Q612" i="4"/>
  <c r="P612" i="4"/>
  <c r="O612" i="4"/>
  <c r="N612" i="4"/>
  <c r="M612" i="4"/>
  <c r="AI611" i="4"/>
  <c r="AC611" i="4"/>
  <c r="AA611" i="4"/>
  <c r="V611" i="4"/>
  <c r="T611" i="4"/>
  <c r="S611" i="4"/>
  <c r="R611" i="4"/>
  <c r="Q611" i="4"/>
  <c r="P611" i="4"/>
  <c r="M611" i="4"/>
  <c r="AI610" i="4"/>
  <c r="AC610" i="4"/>
  <c r="AA610" i="4"/>
  <c r="Q610" i="4"/>
  <c r="P610" i="4"/>
  <c r="M610" i="4"/>
  <c r="E610" i="4"/>
  <c r="L33" i="1" s="1"/>
  <c r="AE609" i="4"/>
  <c r="AC609" i="4"/>
  <c r="AA609" i="4"/>
  <c r="Q609" i="4"/>
  <c r="P609" i="4"/>
  <c r="N609" i="4"/>
  <c r="M609" i="4"/>
  <c r="AE608" i="4"/>
  <c r="AC608" i="4"/>
  <c r="AA608" i="4"/>
  <c r="T608" i="4"/>
  <c r="S608" i="4"/>
  <c r="R608" i="4"/>
  <c r="Q608" i="4"/>
  <c r="P608" i="4"/>
  <c r="M608" i="4"/>
  <c r="O608" i="4"/>
  <c r="AI607" i="4"/>
  <c r="AE607" i="4"/>
  <c r="AC607" i="4"/>
  <c r="AA607" i="4"/>
  <c r="Q607" i="4"/>
  <c r="P607" i="4"/>
  <c r="O607" i="4"/>
  <c r="N607" i="4"/>
  <c r="M607" i="4"/>
  <c r="AI606" i="4"/>
  <c r="AE606" i="4"/>
  <c r="AC606" i="4"/>
  <c r="AA606" i="4"/>
  <c r="Q606" i="4"/>
  <c r="P606" i="4"/>
  <c r="M606" i="4"/>
  <c r="AI605" i="4"/>
  <c r="AE605" i="4"/>
  <c r="AC605" i="4"/>
  <c r="AA605" i="4"/>
  <c r="T605" i="4"/>
  <c r="S605" i="4"/>
  <c r="R605" i="4"/>
  <c r="Q605" i="4"/>
  <c r="P605" i="4"/>
  <c r="M605" i="4"/>
  <c r="N605" i="4" s="1"/>
  <c r="AI604" i="4"/>
  <c r="AE604" i="4"/>
  <c r="AC604" i="4"/>
  <c r="AA604" i="4"/>
  <c r="Q604" i="4"/>
  <c r="P604" i="4"/>
  <c r="M604" i="4"/>
  <c r="AI603" i="4"/>
  <c r="AE603" i="4"/>
  <c r="AC603" i="4"/>
  <c r="AA603" i="4"/>
  <c r="V603" i="4"/>
  <c r="Q603" i="4"/>
  <c r="P603" i="4"/>
  <c r="O603" i="4"/>
  <c r="M603" i="4"/>
  <c r="AI602" i="4"/>
  <c r="AE602" i="4"/>
  <c r="AC602" i="4"/>
  <c r="AA602" i="4"/>
  <c r="T602" i="4"/>
  <c r="S602" i="4"/>
  <c r="R602" i="4"/>
  <c r="Q602" i="4"/>
  <c r="P602" i="4"/>
  <c r="M602" i="4"/>
  <c r="AE601" i="4"/>
  <c r="AC601" i="4"/>
  <c r="AA601" i="4"/>
  <c r="Q601" i="4"/>
  <c r="P601" i="4"/>
  <c r="M601" i="4"/>
  <c r="AI600" i="4"/>
  <c r="AE600" i="4"/>
  <c r="AC600" i="4"/>
  <c r="AA600" i="4"/>
  <c r="Q600" i="4"/>
  <c r="P600" i="4"/>
  <c r="N600" i="4"/>
  <c r="M600" i="4"/>
  <c r="AE599" i="4"/>
  <c r="AC599" i="4"/>
  <c r="AA599" i="4"/>
  <c r="T599" i="4"/>
  <c r="S599" i="4"/>
  <c r="R599" i="4"/>
  <c r="Q599" i="4"/>
  <c r="P599" i="4"/>
  <c r="N599" i="4"/>
  <c r="M599" i="4"/>
  <c r="AE598" i="4"/>
  <c r="AC598" i="4"/>
  <c r="AA598" i="4"/>
  <c r="Q598" i="4"/>
  <c r="P598" i="4"/>
  <c r="O598" i="4"/>
  <c r="M598" i="4"/>
  <c r="N598" i="4" s="1"/>
  <c r="B22" i="1"/>
  <c r="AE597" i="4"/>
  <c r="AC597" i="4"/>
  <c r="AA597" i="4"/>
  <c r="Q597" i="4"/>
  <c r="P597" i="4"/>
  <c r="M597" i="4"/>
  <c r="N597" i="4" s="1"/>
  <c r="B21" i="1"/>
  <c r="AI596" i="4"/>
  <c r="AE596" i="4"/>
  <c r="AC596" i="4"/>
  <c r="AA596" i="4"/>
  <c r="T596" i="4"/>
  <c r="S596" i="4"/>
  <c r="R596" i="4"/>
  <c r="Q596" i="4"/>
  <c r="P596" i="4"/>
  <c r="M596" i="4"/>
  <c r="N596" i="4" s="1"/>
  <c r="E596" i="4"/>
  <c r="L19" i="1" s="1"/>
  <c r="AI595" i="4"/>
  <c r="AE595" i="4"/>
  <c r="AC595" i="4"/>
  <c r="AA595" i="4"/>
  <c r="Q595" i="4"/>
  <c r="P595" i="4"/>
  <c r="M595" i="4"/>
  <c r="N595" i="4" s="1"/>
  <c r="B19" i="1"/>
  <c r="AI594" i="4"/>
  <c r="AE594" i="4"/>
  <c r="AC594" i="4"/>
  <c r="AA594" i="4"/>
  <c r="Q594" i="4"/>
  <c r="P594" i="4"/>
  <c r="M594" i="4"/>
  <c r="N594" i="4" s="1"/>
  <c r="B18" i="1"/>
  <c r="AI593" i="4"/>
  <c r="AE593" i="4"/>
  <c r="AC593" i="4"/>
  <c r="AA593" i="4"/>
  <c r="T593" i="4"/>
  <c r="S593" i="4"/>
  <c r="R593" i="4"/>
  <c r="Q593" i="4"/>
  <c r="P593" i="4"/>
  <c r="M593" i="4"/>
  <c r="N593" i="4" s="1"/>
  <c r="AI592" i="4"/>
  <c r="AE592" i="4"/>
  <c r="AC592" i="4"/>
  <c r="AA592" i="4"/>
  <c r="Q592" i="4"/>
  <c r="P592" i="4"/>
  <c r="N592" i="4"/>
  <c r="M592" i="4"/>
  <c r="O592" i="4"/>
  <c r="AI591" i="4"/>
  <c r="AE591" i="4"/>
  <c r="AC591" i="4"/>
  <c r="AA591" i="4"/>
  <c r="Q591" i="4"/>
  <c r="P591" i="4"/>
  <c r="N591" i="4"/>
  <c r="M591" i="4"/>
  <c r="E591" i="4"/>
  <c r="AI590" i="4"/>
  <c r="AE590" i="4"/>
  <c r="AC590" i="4"/>
  <c r="AA590" i="4"/>
  <c r="T590" i="4"/>
  <c r="S590" i="4"/>
  <c r="R590" i="4"/>
  <c r="Q590" i="4"/>
  <c r="P590" i="4"/>
  <c r="M590" i="4"/>
  <c r="N590" i="4" s="1"/>
  <c r="AI589" i="4"/>
  <c r="AE589" i="4"/>
  <c r="AC589" i="4"/>
  <c r="AA589" i="4"/>
  <c r="Q589" i="4"/>
  <c r="P589" i="4"/>
  <c r="M589" i="4"/>
  <c r="N589" i="4" s="1"/>
  <c r="AI588" i="4"/>
  <c r="AE588" i="4"/>
  <c r="AC588" i="4"/>
  <c r="AA588" i="4"/>
  <c r="Q588" i="4"/>
  <c r="P588" i="4"/>
  <c r="M588" i="4"/>
  <c r="AE587" i="4"/>
  <c r="AC587" i="4"/>
  <c r="AA587" i="4"/>
  <c r="T587" i="4"/>
  <c r="S587" i="4"/>
  <c r="R587" i="4"/>
  <c r="Q587" i="4"/>
  <c r="P587" i="4"/>
  <c r="M587" i="4"/>
  <c r="N587" i="4" s="1"/>
  <c r="AE586" i="4"/>
  <c r="AC586" i="4"/>
  <c r="AA586" i="4"/>
  <c r="Q586" i="4"/>
  <c r="P586" i="4"/>
  <c r="M586" i="4"/>
  <c r="N586" i="4" s="1"/>
  <c r="O586" i="4"/>
  <c r="AI585" i="4"/>
  <c r="AE585" i="4"/>
  <c r="AC585" i="4"/>
  <c r="AA585" i="4"/>
  <c r="Q585" i="4"/>
  <c r="P585" i="4"/>
  <c r="N585" i="4"/>
  <c r="M585" i="4"/>
  <c r="AI584" i="4"/>
  <c r="AE584" i="4"/>
  <c r="AC584" i="4"/>
  <c r="AA584" i="4"/>
  <c r="T584" i="4"/>
  <c r="S584" i="4"/>
  <c r="R584" i="4"/>
  <c r="Q584" i="4"/>
  <c r="P584" i="4"/>
  <c r="N584" i="4"/>
  <c r="M584" i="4"/>
  <c r="AI583" i="4"/>
  <c r="AE583" i="4"/>
  <c r="AC583" i="4"/>
  <c r="AA583" i="4"/>
  <c r="Q583" i="4"/>
  <c r="P583" i="4"/>
  <c r="M583" i="4"/>
  <c r="N583" i="4" s="1"/>
  <c r="AI582" i="4"/>
  <c r="AE582" i="4"/>
  <c r="AC582" i="4"/>
  <c r="AA582" i="4"/>
  <c r="Q582" i="4"/>
  <c r="P582" i="4"/>
  <c r="N582" i="4"/>
  <c r="M582" i="4"/>
  <c r="AI581" i="4"/>
  <c r="AE581" i="4"/>
  <c r="AC581" i="4"/>
  <c r="AA581" i="4"/>
  <c r="T581" i="4"/>
  <c r="S581" i="4"/>
  <c r="R581" i="4"/>
  <c r="Q581" i="4"/>
  <c r="P581" i="4"/>
  <c r="N581" i="4"/>
  <c r="M581" i="4"/>
  <c r="AI580" i="4"/>
  <c r="AE580" i="4"/>
  <c r="AC580" i="4"/>
  <c r="AA580" i="4"/>
  <c r="Q580" i="4"/>
  <c r="P580" i="4"/>
  <c r="M580" i="4"/>
  <c r="N580" i="4" s="1"/>
  <c r="AE579" i="4"/>
  <c r="AC579" i="4"/>
  <c r="AA579" i="4"/>
  <c r="Q579" i="4"/>
  <c r="P579" i="4"/>
  <c r="M579" i="4"/>
  <c r="N579" i="4" s="1"/>
  <c r="AI578" i="4"/>
  <c r="AE578" i="4"/>
  <c r="AC578" i="4"/>
  <c r="AA578" i="4"/>
  <c r="T578" i="4"/>
  <c r="S578" i="4"/>
  <c r="R578" i="4"/>
  <c r="Q578" i="4"/>
  <c r="P578" i="4"/>
  <c r="N578" i="4"/>
  <c r="M578" i="4"/>
  <c r="AE577" i="4"/>
  <c r="AC577" i="4"/>
  <c r="AA577" i="4"/>
  <c r="Q577" i="4"/>
  <c r="P577" i="4"/>
  <c r="N577" i="4"/>
  <c r="M577" i="4"/>
  <c r="AE576" i="4"/>
  <c r="AC576" i="4"/>
  <c r="AA576" i="4"/>
  <c r="V576" i="4"/>
  <c r="Q576" i="4"/>
  <c r="P576" i="4"/>
  <c r="N576" i="4"/>
  <c r="M576" i="4"/>
  <c r="O576" i="4"/>
  <c r="AE575" i="4"/>
  <c r="AC575" i="4"/>
  <c r="AA575" i="4"/>
  <c r="T575" i="4"/>
  <c r="S575" i="4"/>
  <c r="R575" i="4"/>
  <c r="Q575" i="4"/>
  <c r="P575" i="4"/>
  <c r="M575" i="4"/>
  <c r="N575" i="4" s="1"/>
  <c r="E575" i="4"/>
  <c r="AI574" i="4"/>
  <c r="AE574" i="4"/>
  <c r="AC574" i="4"/>
  <c r="AA574" i="4"/>
  <c r="Q574" i="4"/>
  <c r="P574" i="4"/>
  <c r="M574" i="4"/>
  <c r="N574" i="4" s="1"/>
  <c r="V574" i="4"/>
  <c r="AI573" i="4"/>
  <c r="AE573" i="4"/>
  <c r="AC573" i="4"/>
  <c r="AA573" i="4"/>
  <c r="Q573" i="4"/>
  <c r="P573" i="4"/>
  <c r="N573" i="4"/>
  <c r="M573" i="4"/>
  <c r="E573" i="4"/>
  <c r="F573" i="4" s="1"/>
  <c r="AI572" i="4"/>
  <c r="AE572" i="4"/>
  <c r="AC572" i="4"/>
  <c r="AA572" i="4"/>
  <c r="T572" i="4"/>
  <c r="S572" i="4"/>
  <c r="R572" i="4"/>
  <c r="Q572" i="4"/>
  <c r="P572" i="4"/>
  <c r="M572" i="4"/>
  <c r="N572" i="4" s="1"/>
  <c r="AI571" i="4"/>
  <c r="AE571" i="4"/>
  <c r="AC571" i="4"/>
  <c r="AA571" i="4"/>
  <c r="Q571" i="4"/>
  <c r="P571" i="4"/>
  <c r="N571" i="4"/>
  <c r="M571" i="4"/>
  <c r="AI570" i="4"/>
  <c r="AE570" i="4"/>
  <c r="AC570" i="4"/>
  <c r="AA570" i="4"/>
  <c r="Q570" i="4"/>
  <c r="P570" i="4"/>
  <c r="M570" i="4"/>
  <c r="N570" i="4" s="1"/>
  <c r="AI569" i="4"/>
  <c r="AE569" i="4"/>
  <c r="AC569" i="4"/>
  <c r="AA569" i="4"/>
  <c r="T569" i="4"/>
  <c r="S569" i="4"/>
  <c r="R569" i="4"/>
  <c r="Q569" i="4"/>
  <c r="P569" i="4"/>
  <c r="M569" i="4"/>
  <c r="N569" i="4" s="1"/>
  <c r="E569" i="4"/>
  <c r="AI568" i="4"/>
  <c r="AE568" i="4"/>
  <c r="AC568" i="4"/>
  <c r="AA568" i="4"/>
  <c r="Q568" i="4"/>
  <c r="P568" i="4"/>
  <c r="N568" i="4"/>
  <c r="M568" i="4"/>
  <c r="AI567" i="4"/>
  <c r="AE567" i="4"/>
  <c r="AC567" i="4"/>
  <c r="AA567" i="4"/>
  <c r="Q567" i="4"/>
  <c r="P567" i="4"/>
  <c r="M567" i="4"/>
  <c r="N567" i="4" s="1"/>
  <c r="V567" i="4"/>
  <c r="AE566" i="4"/>
  <c r="AC566" i="4"/>
  <c r="AA566" i="4"/>
  <c r="T566" i="4"/>
  <c r="S566" i="4"/>
  <c r="R566" i="4"/>
  <c r="Q566" i="4"/>
  <c r="P566" i="4"/>
  <c r="M566" i="4"/>
  <c r="N566" i="4" s="1"/>
  <c r="E566" i="4"/>
  <c r="F566" i="4" s="1"/>
  <c r="AE565" i="4"/>
  <c r="AC565" i="4"/>
  <c r="AA565" i="4"/>
  <c r="V565" i="4"/>
  <c r="Q565" i="4"/>
  <c r="P565" i="4"/>
  <c r="N565" i="4"/>
  <c r="M565" i="4"/>
  <c r="O565" i="4"/>
  <c r="AE564" i="4"/>
  <c r="AC564" i="4"/>
  <c r="AA564" i="4"/>
  <c r="Q564" i="4"/>
  <c r="P564" i="4"/>
  <c r="M564" i="4"/>
  <c r="AI563" i="4"/>
  <c r="AE563" i="4"/>
  <c r="AC563" i="4"/>
  <c r="AA563" i="4"/>
  <c r="T563" i="4"/>
  <c r="S563" i="4"/>
  <c r="R563" i="4"/>
  <c r="Q563" i="4"/>
  <c r="P563" i="4"/>
  <c r="M563" i="4"/>
  <c r="N563" i="4" s="1"/>
  <c r="V563" i="4"/>
  <c r="AI562" i="4"/>
  <c r="AE562" i="4"/>
  <c r="AC562" i="4"/>
  <c r="AA562" i="4"/>
  <c r="Q562" i="4"/>
  <c r="P562" i="4"/>
  <c r="M562" i="4"/>
  <c r="N562" i="4" s="1"/>
  <c r="AI561" i="4"/>
  <c r="AE561" i="4"/>
  <c r="AC561" i="4"/>
  <c r="AA561" i="4"/>
  <c r="Q561" i="4"/>
  <c r="P561" i="4"/>
  <c r="M561" i="4"/>
  <c r="N561" i="4" s="1"/>
  <c r="AI560" i="4"/>
  <c r="AE560" i="4"/>
  <c r="AC560" i="4"/>
  <c r="AA560" i="4"/>
  <c r="T560" i="4"/>
  <c r="S560" i="4"/>
  <c r="R560" i="4"/>
  <c r="Q560" i="4"/>
  <c r="P560" i="4"/>
  <c r="M560" i="4"/>
  <c r="N560" i="4" s="1"/>
  <c r="AI559" i="4"/>
  <c r="AE559" i="4"/>
  <c r="AC559" i="4"/>
  <c r="AA559" i="4"/>
  <c r="Q559" i="4"/>
  <c r="P559" i="4"/>
  <c r="M559" i="4"/>
  <c r="N559" i="4" s="1"/>
  <c r="AI558" i="4"/>
  <c r="AE558" i="4"/>
  <c r="AC558" i="4"/>
  <c r="AA558" i="4"/>
  <c r="Q558" i="4"/>
  <c r="P558" i="4"/>
  <c r="O558" i="4"/>
  <c r="M558" i="4"/>
  <c r="N558" i="4" s="1"/>
  <c r="AE557" i="4"/>
  <c r="AC557" i="4"/>
  <c r="AA557" i="4"/>
  <c r="T557" i="4"/>
  <c r="S557" i="4"/>
  <c r="R557" i="4"/>
  <c r="Q557" i="4"/>
  <c r="P557" i="4"/>
  <c r="N557" i="4"/>
  <c r="M557" i="4"/>
  <c r="AI556" i="4"/>
  <c r="AE556" i="4"/>
  <c r="AC556" i="4"/>
  <c r="AA556" i="4"/>
  <c r="Q556" i="4"/>
  <c r="P556" i="4"/>
  <c r="M556" i="4"/>
  <c r="N556" i="4" s="1"/>
  <c r="AI555" i="4"/>
  <c r="AE555" i="4"/>
  <c r="AC555" i="4"/>
  <c r="AA555" i="4"/>
  <c r="Q555" i="4"/>
  <c r="P555" i="4"/>
  <c r="M555" i="4"/>
  <c r="N555" i="4" s="1"/>
  <c r="AE554" i="4"/>
  <c r="AC554" i="4"/>
  <c r="AA554" i="4"/>
  <c r="T554" i="4"/>
  <c r="S554" i="4"/>
  <c r="R554" i="4"/>
  <c r="Q554" i="4"/>
  <c r="P554" i="4"/>
  <c r="M554" i="4"/>
  <c r="N554" i="4" s="1"/>
  <c r="AE553" i="4"/>
  <c r="AC553" i="4"/>
  <c r="AA553" i="4"/>
  <c r="Q553" i="4"/>
  <c r="P553" i="4"/>
  <c r="O553" i="4"/>
  <c r="M553" i="4"/>
  <c r="N553" i="4" s="1"/>
  <c r="E553" i="4"/>
  <c r="F553" i="4" s="1"/>
  <c r="V553" i="4"/>
  <c r="AI552" i="4"/>
  <c r="AE552" i="4"/>
  <c r="AC552" i="4"/>
  <c r="AA552" i="4"/>
  <c r="V552" i="4"/>
  <c r="Q552" i="4"/>
  <c r="P552" i="4"/>
  <c r="N552" i="4"/>
  <c r="M552" i="4"/>
  <c r="O552" i="4"/>
  <c r="AI551" i="4"/>
  <c r="AE551" i="4"/>
  <c r="AC551" i="4"/>
  <c r="AA551" i="4"/>
  <c r="V551" i="4"/>
  <c r="T551" i="4"/>
  <c r="S551" i="4"/>
  <c r="R551" i="4"/>
  <c r="Q551" i="4"/>
  <c r="P551" i="4"/>
  <c r="M551" i="4"/>
  <c r="N551" i="4" s="1"/>
  <c r="E551" i="4"/>
  <c r="AI550" i="4"/>
  <c r="AE550" i="4"/>
  <c r="AC550" i="4"/>
  <c r="AA550" i="4"/>
  <c r="Q550" i="4"/>
  <c r="P550" i="4"/>
  <c r="O550" i="4"/>
  <c r="M550" i="4"/>
  <c r="N550" i="4" s="1"/>
  <c r="V550" i="4"/>
  <c r="AI549" i="4"/>
  <c r="AE549" i="4"/>
  <c r="AC549" i="4"/>
  <c r="AA549" i="4"/>
  <c r="Q549" i="4"/>
  <c r="P549" i="4"/>
  <c r="M549" i="4"/>
  <c r="N549" i="4" s="1"/>
  <c r="AI548" i="4"/>
  <c r="AE548" i="4"/>
  <c r="AC548" i="4"/>
  <c r="AA548" i="4"/>
  <c r="T548" i="4"/>
  <c r="S548" i="4"/>
  <c r="R548" i="4"/>
  <c r="Q548" i="4"/>
  <c r="P548" i="4"/>
  <c r="M548" i="4"/>
  <c r="N548" i="4" s="1"/>
  <c r="V548" i="4"/>
  <c r="AI547" i="4"/>
  <c r="AE547" i="4"/>
  <c r="AC547" i="4"/>
  <c r="AA547" i="4"/>
  <c r="Q547" i="4"/>
  <c r="P547" i="4"/>
  <c r="M547" i="4"/>
  <c r="N547" i="4" s="1"/>
  <c r="AE546" i="4"/>
  <c r="AC546" i="4"/>
  <c r="AA546" i="4"/>
  <c r="Q546" i="4"/>
  <c r="P546" i="4"/>
  <c r="M546" i="4"/>
  <c r="N546" i="4" s="1"/>
  <c r="V546" i="4"/>
  <c r="AI545" i="4"/>
  <c r="AE545" i="4"/>
  <c r="AC545" i="4"/>
  <c r="AA545" i="4"/>
  <c r="T545" i="4"/>
  <c r="S545" i="4"/>
  <c r="R545" i="4"/>
  <c r="Q545" i="4"/>
  <c r="P545" i="4"/>
  <c r="N545" i="4"/>
  <c r="M545" i="4"/>
  <c r="O545" i="4"/>
  <c r="AE544" i="4"/>
  <c r="AC544" i="4"/>
  <c r="AA544" i="4"/>
  <c r="Q544" i="4"/>
  <c r="P544" i="4"/>
  <c r="M544" i="4"/>
  <c r="N544" i="4" s="1"/>
  <c r="O544" i="4"/>
  <c r="AI543" i="4"/>
  <c r="AE543" i="4"/>
  <c r="AC543" i="4"/>
  <c r="AA543" i="4"/>
  <c r="V543" i="4"/>
  <c r="Q543" i="4"/>
  <c r="P543" i="4"/>
  <c r="N543" i="4"/>
  <c r="M543" i="4"/>
  <c r="O543" i="4"/>
  <c r="AE542" i="4"/>
  <c r="AC542" i="4"/>
  <c r="AA542" i="4"/>
  <c r="T542" i="4"/>
  <c r="S542" i="4"/>
  <c r="R542" i="4"/>
  <c r="Q542" i="4"/>
  <c r="P542" i="4"/>
  <c r="M542" i="4"/>
  <c r="N542" i="4" s="1"/>
  <c r="E542" i="4"/>
  <c r="F542" i="4" s="1"/>
  <c r="AI541" i="4"/>
  <c r="AE541" i="4"/>
  <c r="AC541" i="4"/>
  <c r="AA541" i="4"/>
  <c r="Q541" i="4"/>
  <c r="P541" i="4"/>
  <c r="M541" i="4"/>
  <c r="N541" i="4" s="1"/>
  <c r="AI540" i="4"/>
  <c r="AE540" i="4"/>
  <c r="AC540" i="4"/>
  <c r="AA540" i="4"/>
  <c r="Q540" i="4"/>
  <c r="P540" i="4"/>
  <c r="M540" i="4"/>
  <c r="E540" i="4"/>
  <c r="AI539" i="4"/>
  <c r="AE539" i="4"/>
  <c r="AC539" i="4"/>
  <c r="AA539" i="4"/>
  <c r="T539" i="4"/>
  <c r="S539" i="4"/>
  <c r="R539" i="4"/>
  <c r="Q539" i="4"/>
  <c r="P539" i="4"/>
  <c r="M539" i="4"/>
  <c r="N539" i="4" s="1"/>
  <c r="AI538" i="4"/>
  <c r="AE538" i="4"/>
  <c r="AC538" i="4"/>
  <c r="AA538" i="4"/>
  <c r="Q538" i="4"/>
  <c r="P538" i="4"/>
  <c r="N538" i="4"/>
  <c r="M538" i="4"/>
  <c r="AI537" i="4"/>
  <c r="AE537" i="4"/>
  <c r="AC537" i="4"/>
  <c r="AA537" i="4"/>
  <c r="Q537" i="4"/>
  <c r="P537" i="4"/>
  <c r="M537" i="4"/>
  <c r="N537" i="4" s="1"/>
  <c r="AI536" i="4"/>
  <c r="AE536" i="4"/>
  <c r="AC536" i="4"/>
  <c r="AA536" i="4"/>
  <c r="T536" i="4"/>
  <c r="S536" i="4"/>
  <c r="R536" i="4"/>
  <c r="Q536" i="4"/>
  <c r="P536" i="4"/>
  <c r="M536" i="4"/>
  <c r="N536" i="4" s="1"/>
  <c r="AI535" i="4"/>
  <c r="AE535" i="4"/>
  <c r="AC535" i="4"/>
  <c r="AA535" i="4"/>
  <c r="Q535" i="4"/>
  <c r="P535" i="4"/>
  <c r="M535" i="4"/>
  <c r="N535" i="4" s="1"/>
  <c r="AI534" i="4"/>
  <c r="AE534" i="4"/>
  <c r="AC534" i="4"/>
  <c r="AA534" i="4"/>
  <c r="Q534" i="4"/>
  <c r="P534" i="4"/>
  <c r="M534" i="4"/>
  <c r="N534" i="4" s="1"/>
  <c r="AI533" i="4"/>
  <c r="AE533" i="4"/>
  <c r="AC533" i="4"/>
  <c r="AA533" i="4"/>
  <c r="T533" i="4"/>
  <c r="S533" i="4"/>
  <c r="R533" i="4"/>
  <c r="Q533" i="4"/>
  <c r="P533" i="4"/>
  <c r="N533" i="4"/>
  <c r="M533" i="4"/>
  <c r="AE532" i="4"/>
  <c r="AC532" i="4"/>
  <c r="AA532" i="4"/>
  <c r="Q532" i="4"/>
  <c r="P532" i="4"/>
  <c r="M532" i="4"/>
  <c r="N532" i="4" s="1"/>
  <c r="AE531" i="4"/>
  <c r="AC531" i="4"/>
  <c r="AA531" i="4"/>
  <c r="Q531" i="4"/>
  <c r="P531" i="4"/>
  <c r="N531" i="4"/>
  <c r="M531" i="4"/>
  <c r="AI530" i="4"/>
  <c r="AE530" i="4"/>
  <c r="AC530" i="4"/>
  <c r="AA530" i="4"/>
  <c r="T530" i="4"/>
  <c r="S530" i="4"/>
  <c r="R530" i="4"/>
  <c r="Q530" i="4"/>
  <c r="P530" i="4"/>
  <c r="M530" i="4"/>
  <c r="N530" i="4" s="1"/>
  <c r="O530" i="4"/>
  <c r="AI529" i="4"/>
  <c r="AE529" i="4"/>
  <c r="AC529" i="4"/>
  <c r="AA529" i="4"/>
  <c r="Q529" i="4"/>
  <c r="P529" i="4"/>
  <c r="M529" i="4"/>
  <c r="N529" i="4" s="1"/>
  <c r="AI528" i="4"/>
  <c r="AE528" i="4"/>
  <c r="AC528" i="4"/>
  <c r="AA528" i="4"/>
  <c r="V528" i="4"/>
  <c r="Q528" i="4"/>
  <c r="P528" i="4"/>
  <c r="O528" i="4"/>
  <c r="N528" i="4"/>
  <c r="M528" i="4"/>
  <c r="E528" i="4"/>
  <c r="AI527" i="4"/>
  <c r="AE527" i="4"/>
  <c r="AC527" i="4"/>
  <c r="AA527" i="4"/>
  <c r="V527" i="4"/>
  <c r="T527" i="4"/>
  <c r="S527" i="4"/>
  <c r="R527" i="4"/>
  <c r="Q527" i="4"/>
  <c r="P527" i="4"/>
  <c r="O527" i="4"/>
  <c r="M527" i="4"/>
  <c r="N527" i="4" s="1"/>
  <c r="E527" i="4"/>
  <c r="F527" i="4" s="1"/>
  <c r="AI526" i="4"/>
  <c r="AE526" i="4"/>
  <c r="AC526" i="4"/>
  <c r="AA526" i="4"/>
  <c r="Q526" i="4"/>
  <c r="P526" i="4"/>
  <c r="N526" i="4"/>
  <c r="M526" i="4"/>
  <c r="O526" i="4"/>
  <c r="AI525" i="4"/>
  <c r="AE525" i="4"/>
  <c r="AC525" i="4"/>
  <c r="AA525" i="4"/>
  <c r="V525" i="4"/>
  <c r="Q525" i="4"/>
  <c r="P525" i="4"/>
  <c r="N525" i="4"/>
  <c r="M525" i="4"/>
  <c r="AI524" i="4"/>
  <c r="AE524" i="4"/>
  <c r="AC524" i="4"/>
  <c r="AA524" i="4"/>
  <c r="T524" i="4"/>
  <c r="S524" i="4"/>
  <c r="R524" i="4"/>
  <c r="Q524" i="4"/>
  <c r="P524" i="4"/>
  <c r="N524" i="4"/>
  <c r="M524" i="4"/>
  <c r="AI523" i="4"/>
  <c r="AE523" i="4"/>
  <c r="AC523" i="4"/>
  <c r="AA523" i="4"/>
  <c r="Q523" i="4"/>
  <c r="P523" i="4"/>
  <c r="M523" i="4"/>
  <c r="N523" i="4" s="1"/>
  <c r="AE522" i="4"/>
  <c r="AC522" i="4"/>
  <c r="AA522" i="4"/>
  <c r="Q522" i="4"/>
  <c r="P522" i="4"/>
  <c r="M522" i="4"/>
  <c r="N522" i="4" s="1"/>
  <c r="V522" i="4"/>
  <c r="AI521" i="4"/>
  <c r="AE521" i="4"/>
  <c r="AC521" i="4"/>
  <c r="AA521" i="4"/>
  <c r="V521" i="4"/>
  <c r="T521" i="4"/>
  <c r="S521" i="4"/>
  <c r="R521" i="4"/>
  <c r="Q521" i="4"/>
  <c r="P521" i="4"/>
  <c r="N521" i="4"/>
  <c r="M521" i="4"/>
  <c r="O521" i="4"/>
  <c r="AE520" i="4"/>
  <c r="AC520" i="4"/>
  <c r="AA520" i="4"/>
  <c r="Q520" i="4"/>
  <c r="P520" i="4"/>
  <c r="M520" i="4"/>
  <c r="N520" i="4" s="1"/>
  <c r="AI519" i="4"/>
  <c r="AE519" i="4"/>
  <c r="AC519" i="4"/>
  <c r="AA519" i="4"/>
  <c r="Q519" i="4"/>
  <c r="P519" i="4"/>
  <c r="M519" i="4"/>
  <c r="N519" i="4" s="1"/>
  <c r="AI518" i="4"/>
  <c r="AE518" i="4"/>
  <c r="AC518" i="4"/>
  <c r="AA518" i="4"/>
  <c r="T518" i="4"/>
  <c r="S518" i="4"/>
  <c r="R518" i="4"/>
  <c r="Q518" i="4"/>
  <c r="P518" i="4"/>
  <c r="M518" i="4"/>
  <c r="N518" i="4" s="1"/>
  <c r="AI517" i="4"/>
  <c r="AE517" i="4"/>
  <c r="AC517" i="4"/>
  <c r="AA517" i="4"/>
  <c r="Q517" i="4"/>
  <c r="P517" i="4"/>
  <c r="M517" i="4"/>
  <c r="N517" i="4" s="1"/>
  <c r="V517" i="4"/>
  <c r="AI516" i="4"/>
  <c r="AE516" i="4"/>
  <c r="AC516" i="4"/>
  <c r="AA516" i="4"/>
  <c r="Q516" i="4"/>
  <c r="P516" i="4"/>
  <c r="M516" i="4"/>
  <c r="N516" i="4" s="1"/>
  <c r="AI515" i="4"/>
  <c r="AE515" i="4"/>
  <c r="AC515" i="4"/>
  <c r="AA515" i="4"/>
  <c r="T515" i="4"/>
  <c r="S515" i="4"/>
  <c r="R515" i="4"/>
  <c r="Q515" i="4"/>
  <c r="P515" i="4"/>
  <c r="M515" i="4"/>
  <c r="N515" i="4" s="1"/>
  <c r="AI514" i="4"/>
  <c r="AE514" i="4"/>
  <c r="AC514" i="4"/>
  <c r="AA514" i="4"/>
  <c r="Q514" i="4"/>
  <c r="P514" i="4"/>
  <c r="N514" i="4"/>
  <c r="M514" i="4"/>
  <c r="AE513" i="4"/>
  <c r="AC513" i="4"/>
  <c r="AA513" i="4"/>
  <c r="Q513" i="4"/>
  <c r="P513" i="4"/>
  <c r="M513" i="4"/>
  <c r="N513" i="4" s="1"/>
  <c r="AI512" i="4"/>
  <c r="AE512" i="4"/>
  <c r="AC512" i="4"/>
  <c r="AA512" i="4"/>
  <c r="T512" i="4"/>
  <c r="S512" i="4"/>
  <c r="R512" i="4"/>
  <c r="Q512" i="4"/>
  <c r="P512" i="4"/>
  <c r="M512" i="4"/>
  <c r="N512" i="4" s="1"/>
  <c r="AI511" i="4"/>
  <c r="AE511" i="4"/>
  <c r="AC511" i="4"/>
  <c r="AA511" i="4"/>
  <c r="Q511" i="4"/>
  <c r="P511" i="4"/>
  <c r="M511" i="4"/>
  <c r="N511" i="4" s="1"/>
  <c r="AE510" i="4"/>
  <c r="AC510" i="4"/>
  <c r="AA510" i="4"/>
  <c r="Q510" i="4"/>
  <c r="P510" i="4"/>
  <c r="M510" i="4"/>
  <c r="N510" i="4" s="1"/>
  <c r="AE509" i="4"/>
  <c r="AC509" i="4"/>
  <c r="AA509" i="4"/>
  <c r="T509" i="4"/>
  <c r="S509" i="4"/>
  <c r="R509" i="4"/>
  <c r="Q509" i="4"/>
  <c r="P509" i="4"/>
  <c r="M509" i="4"/>
  <c r="N509" i="4" s="1"/>
  <c r="AI508" i="4"/>
  <c r="AE508" i="4"/>
  <c r="AC508" i="4"/>
  <c r="AA508" i="4"/>
  <c r="Q508" i="4"/>
  <c r="P508" i="4"/>
  <c r="M508" i="4"/>
  <c r="N508" i="4" s="1"/>
  <c r="O508" i="4"/>
  <c r="AI507" i="4"/>
  <c r="AE507" i="4"/>
  <c r="AC507" i="4"/>
  <c r="AA507" i="4"/>
  <c r="Q507" i="4"/>
  <c r="P507" i="4"/>
  <c r="N507" i="4"/>
  <c r="M507" i="4"/>
  <c r="AI506" i="4"/>
  <c r="AE506" i="4"/>
  <c r="AC506" i="4"/>
  <c r="AA506" i="4"/>
  <c r="V506" i="4"/>
  <c r="T506" i="4"/>
  <c r="S506" i="4"/>
  <c r="R506" i="4"/>
  <c r="Q506" i="4"/>
  <c r="P506" i="4"/>
  <c r="M506" i="4"/>
  <c r="N506" i="4" s="1"/>
  <c r="E506" i="4"/>
  <c r="AI505" i="4"/>
  <c r="AE505" i="4"/>
  <c r="AC505" i="4"/>
  <c r="AA505" i="4"/>
  <c r="Q505" i="4"/>
  <c r="P505" i="4"/>
  <c r="M505" i="4"/>
  <c r="N505" i="4" s="1"/>
  <c r="AI504" i="4"/>
  <c r="AE504" i="4"/>
  <c r="AC504" i="4"/>
  <c r="AA504" i="4"/>
  <c r="V504" i="4"/>
  <c r="Q504" i="4"/>
  <c r="P504" i="4"/>
  <c r="M504" i="4"/>
  <c r="N504" i="4" s="1"/>
  <c r="E504" i="4"/>
  <c r="F504" i="4" s="1"/>
  <c r="O504" i="4"/>
  <c r="AI503" i="4"/>
  <c r="AE503" i="4"/>
  <c r="AC503" i="4"/>
  <c r="AA503" i="4"/>
  <c r="T503" i="4"/>
  <c r="S503" i="4"/>
  <c r="R503" i="4"/>
  <c r="Q503" i="4"/>
  <c r="P503" i="4"/>
  <c r="O503" i="4"/>
  <c r="N503" i="4"/>
  <c r="M503" i="4"/>
  <c r="AE502" i="4"/>
  <c r="AC502" i="4"/>
  <c r="AA502" i="4"/>
  <c r="Q502" i="4"/>
  <c r="P502" i="4"/>
  <c r="M502" i="4"/>
  <c r="N502" i="4" s="1"/>
  <c r="E502" i="4"/>
  <c r="F502" i="4" s="1"/>
  <c r="V502" i="4"/>
  <c r="AI501" i="4"/>
  <c r="AE501" i="4"/>
  <c r="AC501" i="4"/>
  <c r="AA501" i="4"/>
  <c r="Q501" i="4"/>
  <c r="P501" i="4"/>
  <c r="M501" i="4"/>
  <c r="N501" i="4" s="1"/>
  <c r="AE500" i="4"/>
  <c r="AC500" i="4"/>
  <c r="AA500" i="4"/>
  <c r="T500" i="4"/>
  <c r="S500" i="4"/>
  <c r="R500" i="4"/>
  <c r="Q500" i="4"/>
  <c r="P500" i="4"/>
  <c r="M500" i="4"/>
  <c r="N500" i="4" s="1"/>
  <c r="AE499" i="4"/>
  <c r="AC499" i="4"/>
  <c r="AA499" i="4"/>
  <c r="Q499" i="4"/>
  <c r="P499" i="4"/>
  <c r="N499" i="4"/>
  <c r="M499" i="4"/>
  <c r="V499" i="4"/>
  <c r="AE498" i="4"/>
  <c r="AC498" i="4"/>
  <c r="AA498" i="4"/>
  <c r="Q498" i="4"/>
  <c r="P498" i="4"/>
  <c r="N498" i="4"/>
  <c r="M498" i="4"/>
  <c r="V498" i="4"/>
  <c r="AI497" i="4"/>
  <c r="AE497" i="4"/>
  <c r="AC497" i="4"/>
  <c r="AA497" i="4"/>
  <c r="V497" i="4"/>
  <c r="T497" i="4"/>
  <c r="S497" i="4"/>
  <c r="R497" i="4"/>
  <c r="Q497" i="4"/>
  <c r="P497" i="4"/>
  <c r="M497" i="4"/>
  <c r="N497" i="4" s="1"/>
  <c r="AI496" i="4"/>
  <c r="AE496" i="4"/>
  <c r="AC496" i="4"/>
  <c r="AA496" i="4"/>
  <c r="Q496" i="4"/>
  <c r="P496" i="4"/>
  <c r="N496" i="4"/>
  <c r="M496" i="4"/>
  <c r="V496" i="4"/>
  <c r="AI495" i="4"/>
  <c r="AE495" i="4"/>
  <c r="AC495" i="4"/>
  <c r="AA495" i="4"/>
  <c r="Q495" i="4"/>
  <c r="P495" i="4"/>
  <c r="M495" i="4"/>
  <c r="N495" i="4" s="1"/>
  <c r="AI494" i="4"/>
  <c r="AE494" i="4"/>
  <c r="AC494" i="4"/>
  <c r="AA494" i="4"/>
  <c r="T494" i="4"/>
  <c r="S494" i="4"/>
  <c r="R494" i="4"/>
  <c r="Q494" i="4"/>
  <c r="P494" i="4"/>
  <c r="M494" i="4"/>
  <c r="N494" i="4" s="1"/>
  <c r="V494" i="4"/>
  <c r="AI493" i="4"/>
  <c r="AE493" i="4"/>
  <c r="AC493" i="4"/>
  <c r="AA493" i="4"/>
  <c r="Q493" i="4"/>
  <c r="P493" i="4"/>
  <c r="N493" i="4"/>
  <c r="M493" i="4"/>
  <c r="AI492" i="4"/>
  <c r="AE492" i="4"/>
  <c r="AC492" i="4"/>
  <c r="AA492" i="4"/>
  <c r="Q492" i="4"/>
  <c r="P492" i="4"/>
  <c r="M492" i="4"/>
  <c r="N492" i="4" s="1"/>
  <c r="AI491" i="4"/>
  <c r="AE491" i="4"/>
  <c r="AC491" i="4"/>
  <c r="AA491" i="4"/>
  <c r="V491" i="4"/>
  <c r="T491" i="4"/>
  <c r="S491" i="4"/>
  <c r="R491" i="4"/>
  <c r="Q491" i="4"/>
  <c r="P491" i="4"/>
  <c r="M491" i="4"/>
  <c r="N491" i="4" s="1"/>
  <c r="AI490" i="4"/>
  <c r="AE490" i="4"/>
  <c r="AC490" i="4"/>
  <c r="AA490" i="4"/>
  <c r="Q490" i="4"/>
  <c r="P490" i="4"/>
  <c r="M490" i="4"/>
  <c r="N490" i="4" s="1"/>
  <c r="AI489" i="4"/>
  <c r="AE489" i="4"/>
  <c r="AC489" i="4"/>
  <c r="AA489" i="4"/>
  <c r="Q489" i="4"/>
  <c r="P489" i="4"/>
  <c r="N489" i="4"/>
  <c r="M489" i="4"/>
  <c r="AE488" i="4"/>
  <c r="AC488" i="4"/>
  <c r="AA488" i="4"/>
  <c r="T488" i="4"/>
  <c r="S488" i="4"/>
  <c r="R488" i="4"/>
  <c r="Q488" i="4"/>
  <c r="P488" i="4"/>
  <c r="M488" i="4"/>
  <c r="N488" i="4" s="1"/>
  <c r="AE487" i="4"/>
  <c r="AC487" i="4"/>
  <c r="AA487" i="4"/>
  <c r="V487" i="4"/>
  <c r="Q487" i="4"/>
  <c r="P487" i="4"/>
  <c r="M487" i="4"/>
  <c r="N487" i="4" s="1"/>
  <c r="O487" i="4"/>
  <c r="AI486" i="4"/>
  <c r="AE486" i="4"/>
  <c r="AC486" i="4"/>
  <c r="AA486" i="4"/>
  <c r="V486" i="4"/>
  <c r="Q486" i="4"/>
  <c r="P486" i="4"/>
  <c r="N486" i="4"/>
  <c r="M486" i="4"/>
  <c r="O486" i="4"/>
  <c r="AI485" i="4"/>
  <c r="AE485" i="4"/>
  <c r="AC485" i="4"/>
  <c r="AA485" i="4"/>
  <c r="V485" i="4"/>
  <c r="T485" i="4"/>
  <c r="S485" i="4"/>
  <c r="R485" i="4"/>
  <c r="Q485" i="4"/>
  <c r="P485" i="4"/>
  <c r="M485" i="4"/>
  <c r="N485" i="4" s="1"/>
  <c r="O485" i="4"/>
  <c r="AI484" i="4"/>
  <c r="AE484" i="4"/>
  <c r="AC484" i="4"/>
  <c r="AA484" i="4"/>
  <c r="Q484" i="4"/>
  <c r="P484" i="4"/>
  <c r="N484" i="4"/>
  <c r="M484" i="4"/>
  <c r="E484" i="4"/>
  <c r="AI483" i="4"/>
  <c r="AE483" i="4"/>
  <c r="AC483" i="4"/>
  <c r="AA483" i="4"/>
  <c r="Q483" i="4"/>
  <c r="P483" i="4"/>
  <c r="M483" i="4"/>
  <c r="N483" i="4" s="1"/>
  <c r="V483" i="4"/>
  <c r="AI482" i="4"/>
  <c r="AE482" i="4"/>
  <c r="AC482" i="4"/>
  <c r="AA482" i="4"/>
  <c r="T482" i="4"/>
  <c r="S482" i="4"/>
  <c r="R482" i="4"/>
  <c r="Q482" i="4"/>
  <c r="P482" i="4"/>
  <c r="N482" i="4"/>
  <c r="M482" i="4"/>
  <c r="AI481" i="4"/>
  <c r="AE481" i="4"/>
  <c r="AC481" i="4"/>
  <c r="AA481" i="4"/>
  <c r="Q481" i="4"/>
  <c r="P481" i="4"/>
  <c r="N481" i="4"/>
  <c r="M481" i="4"/>
  <c r="AI480" i="4"/>
  <c r="AE480" i="4"/>
  <c r="AC480" i="4"/>
  <c r="AA480" i="4"/>
  <c r="Q480" i="4"/>
  <c r="P480" i="4"/>
  <c r="N480" i="4"/>
  <c r="M480" i="4"/>
  <c r="V480" i="4"/>
  <c r="AI479" i="4"/>
  <c r="AE479" i="4"/>
  <c r="AC479" i="4"/>
  <c r="AA479" i="4"/>
  <c r="V479" i="4"/>
  <c r="T479" i="4"/>
  <c r="S479" i="4"/>
  <c r="R479" i="4"/>
  <c r="Q479" i="4"/>
  <c r="P479" i="4"/>
  <c r="N479" i="4"/>
  <c r="M479" i="4"/>
  <c r="AE478" i="4"/>
  <c r="AC478" i="4"/>
  <c r="AA478" i="4"/>
  <c r="Q478" i="4"/>
  <c r="P478" i="4"/>
  <c r="N478" i="4"/>
  <c r="M478" i="4"/>
  <c r="V478" i="4"/>
  <c r="AI477" i="4"/>
  <c r="AE477" i="4"/>
  <c r="AC477" i="4"/>
  <c r="AA477" i="4"/>
  <c r="Q477" i="4"/>
  <c r="P477" i="4"/>
  <c r="M477" i="4"/>
  <c r="N477" i="4" s="1"/>
  <c r="AE476" i="4"/>
  <c r="AC476" i="4"/>
  <c r="AA476" i="4"/>
  <c r="T476" i="4"/>
  <c r="S476" i="4"/>
  <c r="R476" i="4"/>
  <c r="Q476" i="4"/>
  <c r="P476" i="4"/>
  <c r="N476" i="4"/>
  <c r="M476" i="4"/>
  <c r="AI475" i="4"/>
  <c r="AE475" i="4"/>
  <c r="AC475" i="4"/>
  <c r="AA475" i="4"/>
  <c r="Q475" i="4"/>
  <c r="P475" i="4"/>
  <c r="M475" i="4"/>
  <c r="N475" i="4" s="1"/>
  <c r="AI474" i="4"/>
  <c r="AE474" i="4"/>
  <c r="AC474" i="4"/>
  <c r="AA474" i="4"/>
  <c r="Q474" i="4"/>
  <c r="P474" i="4"/>
  <c r="M474" i="4"/>
  <c r="N474" i="4" s="1"/>
  <c r="AI473" i="4"/>
  <c r="AE473" i="4"/>
  <c r="AC473" i="4"/>
  <c r="AA473" i="4"/>
  <c r="T473" i="4"/>
  <c r="S473" i="4"/>
  <c r="R473" i="4"/>
  <c r="Q473" i="4"/>
  <c r="P473" i="4"/>
  <c r="M473" i="4"/>
  <c r="N473" i="4" s="1"/>
  <c r="O473" i="4"/>
  <c r="AI472" i="4"/>
  <c r="AE472" i="4"/>
  <c r="AC472" i="4"/>
  <c r="AA472" i="4"/>
  <c r="Q472" i="4"/>
  <c r="P472" i="4"/>
  <c r="N472" i="4"/>
  <c r="M472" i="4"/>
  <c r="AI471" i="4"/>
  <c r="AE471" i="4"/>
  <c r="AC471" i="4"/>
  <c r="AA471" i="4"/>
  <c r="Q471" i="4"/>
  <c r="P471" i="4"/>
  <c r="O471" i="4"/>
  <c r="M471" i="4"/>
  <c r="N471" i="4" s="1"/>
  <c r="E471" i="4"/>
  <c r="F471" i="4" s="1"/>
  <c r="AI470" i="4"/>
  <c r="AE470" i="4"/>
  <c r="AC470" i="4"/>
  <c r="AA470" i="4"/>
  <c r="T470" i="4"/>
  <c r="S470" i="4"/>
  <c r="R470" i="4"/>
  <c r="Q470" i="4"/>
  <c r="P470" i="4"/>
  <c r="N470" i="4"/>
  <c r="M470" i="4"/>
  <c r="AE469" i="4"/>
  <c r="AC469" i="4"/>
  <c r="AA469" i="4"/>
  <c r="Q469" i="4"/>
  <c r="P469" i="4"/>
  <c r="N469" i="4"/>
  <c r="M469" i="4"/>
  <c r="AI468" i="4"/>
  <c r="AE468" i="4"/>
  <c r="AC468" i="4"/>
  <c r="AA468" i="4"/>
  <c r="Q468" i="4"/>
  <c r="P468" i="4"/>
  <c r="M468" i="4"/>
  <c r="N468" i="4" s="1"/>
  <c r="AI467" i="4"/>
  <c r="AE467" i="4"/>
  <c r="AC467" i="4"/>
  <c r="AA467" i="4"/>
  <c r="T467" i="4"/>
  <c r="S467" i="4"/>
  <c r="R467" i="4"/>
  <c r="Q467" i="4"/>
  <c r="P467" i="4"/>
  <c r="M467" i="4"/>
  <c r="N467" i="4" s="1"/>
  <c r="AE466" i="4"/>
  <c r="AC466" i="4"/>
  <c r="AA466" i="4"/>
  <c r="Q466" i="4"/>
  <c r="P466" i="4"/>
  <c r="M466" i="4"/>
  <c r="N466" i="4" s="1"/>
  <c r="O466" i="4"/>
  <c r="AE465" i="4"/>
  <c r="AC465" i="4"/>
  <c r="AA465" i="4"/>
  <c r="Q465" i="4"/>
  <c r="P465" i="4"/>
  <c r="O465" i="4"/>
  <c r="N465" i="4"/>
  <c r="M465" i="4"/>
  <c r="V465" i="4"/>
  <c r="AI464" i="4"/>
  <c r="AE464" i="4"/>
  <c r="AC464" i="4"/>
  <c r="AA464" i="4"/>
  <c r="V464" i="4"/>
  <c r="T464" i="4"/>
  <c r="S464" i="4"/>
  <c r="R464" i="4"/>
  <c r="Q464" i="4"/>
  <c r="P464" i="4"/>
  <c r="O464" i="4"/>
  <c r="M464" i="4"/>
  <c r="N464" i="4" s="1"/>
  <c r="E464" i="4"/>
  <c r="AI463" i="4"/>
  <c r="AE463" i="4"/>
  <c r="AC463" i="4"/>
  <c r="AA463" i="4"/>
  <c r="Q463" i="4"/>
  <c r="P463" i="4"/>
  <c r="M463" i="4"/>
  <c r="N463" i="4" s="1"/>
  <c r="AI462" i="4"/>
  <c r="AE462" i="4"/>
  <c r="AC462" i="4"/>
  <c r="AA462" i="4"/>
  <c r="Q462" i="4"/>
  <c r="P462" i="4"/>
  <c r="N462" i="4"/>
  <c r="M462" i="4"/>
  <c r="V462" i="4"/>
  <c r="AI461" i="4"/>
  <c r="AE461" i="4"/>
  <c r="AC461" i="4"/>
  <c r="AA461" i="4"/>
  <c r="T461" i="4"/>
  <c r="S461" i="4"/>
  <c r="R461" i="4"/>
  <c r="Q461" i="4"/>
  <c r="P461" i="4"/>
  <c r="M461" i="4"/>
  <c r="N461" i="4" s="1"/>
  <c r="AI460" i="4"/>
  <c r="AE460" i="4"/>
  <c r="AC460" i="4"/>
  <c r="AA460" i="4"/>
  <c r="Q460" i="4"/>
  <c r="P460" i="4"/>
  <c r="M460" i="4"/>
  <c r="N460" i="4" s="1"/>
  <c r="AI459" i="4"/>
  <c r="AE459" i="4"/>
  <c r="AC459" i="4"/>
  <c r="AA459" i="4"/>
  <c r="Q459" i="4"/>
  <c r="P459" i="4"/>
  <c r="M459" i="4"/>
  <c r="N459" i="4" s="1"/>
  <c r="O459" i="4"/>
  <c r="AI458" i="4"/>
  <c r="AE458" i="4"/>
  <c r="AC458" i="4"/>
  <c r="AA458" i="4"/>
  <c r="V458" i="4"/>
  <c r="T458" i="4"/>
  <c r="S458" i="4"/>
  <c r="R458" i="4"/>
  <c r="Q458" i="4"/>
  <c r="P458" i="4"/>
  <c r="N458" i="4"/>
  <c r="M458" i="4"/>
  <c r="AI457" i="4"/>
  <c r="AE457" i="4"/>
  <c r="AC457" i="4"/>
  <c r="AA457" i="4"/>
  <c r="Q457" i="4"/>
  <c r="P457" i="4"/>
  <c r="M457" i="4"/>
  <c r="N457" i="4" s="1"/>
  <c r="E457" i="4"/>
  <c r="AE456" i="4"/>
  <c r="AC456" i="4"/>
  <c r="AA456" i="4"/>
  <c r="Q456" i="4"/>
  <c r="P456" i="4"/>
  <c r="M456" i="4"/>
  <c r="N456" i="4" s="1"/>
  <c r="AI455" i="4"/>
  <c r="AE455" i="4"/>
  <c r="AC455" i="4"/>
  <c r="AA455" i="4"/>
  <c r="T455" i="4"/>
  <c r="S455" i="4"/>
  <c r="R455" i="4"/>
  <c r="Q455" i="4"/>
  <c r="P455" i="4"/>
  <c r="N455" i="4"/>
  <c r="M455" i="4"/>
  <c r="V455" i="4"/>
  <c r="AE454" i="4"/>
  <c r="AC454" i="4"/>
  <c r="AA454" i="4"/>
  <c r="Q454" i="4"/>
  <c r="P454" i="4"/>
  <c r="N454" i="4"/>
  <c r="M454" i="4"/>
  <c r="AI453" i="4"/>
  <c r="AE453" i="4"/>
  <c r="AC453" i="4"/>
  <c r="AA453" i="4"/>
  <c r="Q453" i="4"/>
  <c r="P453" i="4"/>
  <c r="M453" i="4"/>
  <c r="N453" i="4" s="1"/>
  <c r="AI452" i="4"/>
  <c r="AE452" i="4"/>
  <c r="AC452" i="4"/>
  <c r="AA452" i="4"/>
  <c r="T452" i="4"/>
  <c r="S452" i="4"/>
  <c r="R452" i="4"/>
  <c r="Q452" i="4"/>
  <c r="P452" i="4"/>
  <c r="M452" i="4"/>
  <c r="N452" i="4" s="1"/>
  <c r="AI451" i="4"/>
  <c r="AE451" i="4"/>
  <c r="AC451" i="4"/>
  <c r="AA451" i="4"/>
  <c r="Q451" i="4"/>
  <c r="P451" i="4"/>
  <c r="N451" i="4"/>
  <c r="M451" i="4"/>
  <c r="AI450" i="4"/>
  <c r="AE450" i="4"/>
  <c r="AC450" i="4"/>
  <c r="AA450" i="4"/>
  <c r="Q450" i="4"/>
  <c r="P450" i="4"/>
  <c r="O450" i="4"/>
  <c r="M450" i="4"/>
  <c r="N450" i="4" s="1"/>
  <c r="AI449" i="4"/>
  <c r="AE449" i="4"/>
  <c r="AC449" i="4"/>
  <c r="AA449" i="4"/>
  <c r="T449" i="4"/>
  <c r="S449" i="4"/>
  <c r="R449" i="4"/>
  <c r="Q449" i="4"/>
  <c r="P449" i="4"/>
  <c r="M449" i="4"/>
  <c r="N449" i="4" s="1"/>
  <c r="AI448" i="4"/>
  <c r="AE448" i="4"/>
  <c r="AC448" i="4"/>
  <c r="AA448" i="4"/>
  <c r="Q448" i="4"/>
  <c r="P448" i="4"/>
  <c r="M448" i="4"/>
  <c r="N448" i="4" s="1"/>
  <c r="AE447" i="4"/>
  <c r="AC447" i="4"/>
  <c r="AA447" i="4"/>
  <c r="Q447" i="4"/>
  <c r="P447" i="4"/>
  <c r="M447" i="4"/>
  <c r="N447" i="4" s="1"/>
  <c r="AI446" i="4"/>
  <c r="AE446" i="4"/>
  <c r="AC446" i="4"/>
  <c r="AA446" i="4"/>
  <c r="T446" i="4"/>
  <c r="S446" i="4"/>
  <c r="R446" i="4"/>
  <c r="Q446" i="4"/>
  <c r="P446" i="4"/>
  <c r="M446" i="4"/>
  <c r="N446" i="4" s="1"/>
  <c r="AI445" i="4"/>
  <c r="AE445" i="4"/>
  <c r="AC445" i="4"/>
  <c r="AA445" i="4"/>
  <c r="Q445" i="4"/>
  <c r="P445" i="4"/>
  <c r="M445" i="4"/>
  <c r="N445" i="4" s="1"/>
  <c r="AE444" i="4"/>
  <c r="AC444" i="4"/>
  <c r="AA444" i="4"/>
  <c r="Q444" i="4"/>
  <c r="P444" i="4"/>
  <c r="N444" i="4"/>
  <c r="M444" i="4"/>
  <c r="O444" i="4"/>
  <c r="AE443" i="4"/>
  <c r="AC443" i="4"/>
  <c r="AA443" i="4"/>
  <c r="V443" i="4"/>
  <c r="T443" i="4"/>
  <c r="S443" i="4"/>
  <c r="R443" i="4"/>
  <c r="Q443" i="4"/>
  <c r="P443" i="4"/>
  <c r="M443" i="4"/>
  <c r="N443" i="4" s="1"/>
  <c r="E443" i="4"/>
  <c r="F443" i="4" s="1"/>
  <c r="O443" i="4"/>
  <c r="AI442" i="4"/>
  <c r="AE442" i="4"/>
  <c r="AC442" i="4"/>
  <c r="AA442" i="4"/>
  <c r="Q442" i="4"/>
  <c r="P442" i="4"/>
  <c r="O442" i="4"/>
  <c r="M442" i="4"/>
  <c r="N442" i="4" s="1"/>
  <c r="V442" i="4"/>
  <c r="AI441" i="4"/>
  <c r="AE441" i="4"/>
  <c r="AC441" i="4"/>
  <c r="AA441" i="4"/>
  <c r="Q441" i="4"/>
  <c r="P441" i="4"/>
  <c r="M441" i="4"/>
  <c r="N441" i="4" s="1"/>
  <c r="AI440" i="4"/>
  <c r="AE440" i="4"/>
  <c r="AC440" i="4"/>
  <c r="AA440" i="4"/>
  <c r="T440" i="4"/>
  <c r="S440" i="4"/>
  <c r="R440" i="4"/>
  <c r="Q440" i="4"/>
  <c r="P440" i="4"/>
  <c r="N440" i="4"/>
  <c r="M440" i="4"/>
  <c r="V440" i="4"/>
  <c r="AI439" i="4"/>
  <c r="AE439" i="4"/>
  <c r="AC439" i="4"/>
  <c r="AA439" i="4"/>
  <c r="Q439" i="4"/>
  <c r="P439" i="4"/>
  <c r="N439" i="4"/>
  <c r="M439" i="4"/>
  <c r="E439" i="4"/>
  <c r="V439" i="4"/>
  <c r="AI438" i="4"/>
  <c r="AE438" i="4"/>
  <c r="AC438" i="4"/>
  <c r="AA438" i="4"/>
  <c r="Q438" i="4"/>
  <c r="P438" i="4"/>
  <c r="M438" i="4"/>
  <c r="N438" i="4" s="1"/>
  <c r="AI437" i="4"/>
  <c r="AE437" i="4"/>
  <c r="AC437" i="4"/>
  <c r="AA437" i="4"/>
  <c r="T437" i="4"/>
  <c r="S437" i="4"/>
  <c r="R437" i="4"/>
  <c r="Q437" i="4"/>
  <c r="P437" i="4"/>
  <c r="N437" i="4"/>
  <c r="M437" i="4"/>
  <c r="AE436" i="4"/>
  <c r="AC436" i="4"/>
  <c r="AA436" i="4"/>
  <c r="V436" i="4"/>
  <c r="Q436" i="4"/>
  <c r="P436" i="4"/>
  <c r="M436" i="4"/>
  <c r="N436" i="4" s="1"/>
  <c r="E436" i="4"/>
  <c r="F436" i="4" s="1"/>
  <c r="AI435" i="4"/>
  <c r="AE435" i="4"/>
  <c r="AC435" i="4"/>
  <c r="AA435" i="4"/>
  <c r="Q435" i="4"/>
  <c r="P435" i="4"/>
  <c r="N435" i="4"/>
  <c r="M435" i="4"/>
  <c r="AE434" i="4"/>
  <c r="AC434" i="4"/>
  <c r="AA434" i="4"/>
  <c r="T434" i="4"/>
  <c r="S434" i="4"/>
  <c r="R434" i="4"/>
  <c r="Q434" i="4"/>
  <c r="P434" i="4"/>
  <c r="M434" i="4"/>
  <c r="N434" i="4" s="1"/>
  <c r="E434" i="4"/>
  <c r="AI433" i="4"/>
  <c r="AE433" i="4"/>
  <c r="AC433" i="4"/>
  <c r="AA433" i="4"/>
  <c r="Q433" i="4"/>
  <c r="P433" i="4"/>
  <c r="M433" i="4"/>
  <c r="N433" i="4" s="1"/>
  <c r="E433" i="4"/>
  <c r="F433" i="4" s="1"/>
  <c r="V433" i="4"/>
  <c r="AE432" i="4"/>
  <c r="AC432" i="4"/>
  <c r="AA432" i="4"/>
  <c r="Q432" i="4"/>
  <c r="P432" i="4"/>
  <c r="M432" i="4"/>
  <c r="N432" i="4" s="1"/>
  <c r="V432" i="4"/>
  <c r="AI431" i="4"/>
  <c r="AE431" i="4"/>
  <c r="AC431" i="4"/>
  <c r="AA431" i="4"/>
  <c r="T431" i="4"/>
  <c r="S431" i="4"/>
  <c r="R431" i="4"/>
  <c r="Q431" i="4"/>
  <c r="P431" i="4"/>
  <c r="O431" i="4"/>
  <c r="M431" i="4"/>
  <c r="N431" i="4" s="1"/>
  <c r="AI430" i="4"/>
  <c r="AE430" i="4"/>
  <c r="AC430" i="4"/>
  <c r="AA430" i="4"/>
  <c r="Q430" i="4"/>
  <c r="P430" i="4"/>
  <c r="N430" i="4"/>
  <c r="M430" i="4"/>
  <c r="E430" i="4"/>
  <c r="AI429" i="4"/>
  <c r="AE429" i="4"/>
  <c r="AC429" i="4"/>
  <c r="AA429" i="4"/>
  <c r="Q429" i="4"/>
  <c r="P429" i="4"/>
  <c r="M429" i="4"/>
  <c r="N429" i="4" s="1"/>
  <c r="AI428" i="4"/>
  <c r="AE428" i="4"/>
  <c r="AC428" i="4"/>
  <c r="AA428" i="4"/>
  <c r="T428" i="4"/>
  <c r="S428" i="4"/>
  <c r="R428" i="4"/>
  <c r="Q428" i="4"/>
  <c r="P428" i="4"/>
  <c r="M428" i="4"/>
  <c r="N428" i="4" s="1"/>
  <c r="V428" i="4"/>
  <c r="AI427" i="4"/>
  <c r="AE427" i="4"/>
  <c r="AC427" i="4"/>
  <c r="AA427" i="4"/>
  <c r="Q427" i="4"/>
  <c r="P427" i="4"/>
  <c r="M427" i="4"/>
  <c r="N427" i="4" s="1"/>
  <c r="AI426" i="4"/>
  <c r="AE426" i="4"/>
  <c r="AC426" i="4"/>
  <c r="AA426" i="4"/>
  <c r="Q426" i="4"/>
  <c r="P426" i="4"/>
  <c r="M426" i="4"/>
  <c r="N426" i="4" s="1"/>
  <c r="E426" i="4"/>
  <c r="AE425" i="4"/>
  <c r="AC425" i="4"/>
  <c r="AA425" i="4"/>
  <c r="T425" i="4"/>
  <c r="S425" i="4"/>
  <c r="R425" i="4"/>
  <c r="Q425" i="4"/>
  <c r="P425" i="4"/>
  <c r="M425" i="4"/>
  <c r="N425" i="4" s="1"/>
  <c r="AI424" i="4"/>
  <c r="AE424" i="4"/>
  <c r="AC424" i="4"/>
  <c r="AA424" i="4"/>
  <c r="Q424" i="4"/>
  <c r="P424" i="4"/>
  <c r="M424" i="4"/>
  <c r="N424" i="4" s="1"/>
  <c r="AI423" i="4"/>
  <c r="AE423" i="4"/>
  <c r="AC423" i="4"/>
  <c r="AA423" i="4"/>
  <c r="Q423" i="4"/>
  <c r="P423" i="4"/>
  <c r="N423" i="4"/>
  <c r="M423" i="4"/>
  <c r="AE422" i="4"/>
  <c r="AC422" i="4"/>
  <c r="AA422" i="4"/>
  <c r="T422" i="4"/>
  <c r="S422" i="4"/>
  <c r="R422" i="4"/>
  <c r="Q422" i="4"/>
  <c r="P422" i="4"/>
  <c r="M422" i="4"/>
  <c r="N422" i="4" s="1"/>
  <c r="E422" i="4"/>
  <c r="AE421" i="4"/>
  <c r="AC421" i="4"/>
  <c r="AA421" i="4"/>
  <c r="Q421" i="4"/>
  <c r="P421" i="4"/>
  <c r="N421" i="4"/>
  <c r="M421" i="4"/>
  <c r="AI420" i="4"/>
  <c r="AE420" i="4"/>
  <c r="AC420" i="4"/>
  <c r="AA420" i="4"/>
  <c r="V420" i="4"/>
  <c r="Q420" i="4"/>
  <c r="P420" i="4"/>
  <c r="O420" i="4"/>
  <c r="M420" i="4"/>
  <c r="N420" i="4" s="1"/>
  <c r="E420" i="4"/>
  <c r="F420" i="4" s="1"/>
  <c r="AI419" i="4"/>
  <c r="AE419" i="4"/>
  <c r="AC419" i="4"/>
  <c r="AA419" i="4"/>
  <c r="V419" i="4"/>
  <c r="T419" i="4"/>
  <c r="S419" i="4"/>
  <c r="R419" i="4"/>
  <c r="Q419" i="4"/>
  <c r="P419" i="4"/>
  <c r="N419" i="4"/>
  <c r="M419" i="4"/>
  <c r="O419" i="4"/>
  <c r="AI418" i="4"/>
  <c r="AE418" i="4"/>
  <c r="AC418" i="4"/>
  <c r="AA418" i="4"/>
  <c r="Q418" i="4"/>
  <c r="P418" i="4"/>
  <c r="O418" i="4"/>
  <c r="M418" i="4"/>
  <c r="N418" i="4" s="1"/>
  <c r="V418" i="4"/>
  <c r="AI417" i="4"/>
  <c r="AE417" i="4"/>
  <c r="AC417" i="4"/>
  <c r="AA417" i="4"/>
  <c r="Q417" i="4"/>
  <c r="P417" i="4"/>
  <c r="M417" i="4"/>
  <c r="N417" i="4" s="1"/>
  <c r="AI416" i="4"/>
  <c r="AE416" i="4"/>
  <c r="AC416" i="4"/>
  <c r="AA416" i="4"/>
  <c r="T416" i="4"/>
  <c r="S416" i="4"/>
  <c r="R416" i="4"/>
  <c r="Q416" i="4"/>
  <c r="P416" i="4"/>
  <c r="N416" i="4"/>
  <c r="M416" i="4"/>
  <c r="AI415" i="4"/>
  <c r="AE415" i="4"/>
  <c r="Q415" i="4"/>
  <c r="P415" i="4"/>
  <c r="N415" i="4"/>
  <c r="M415" i="4"/>
  <c r="AE414" i="4"/>
  <c r="Q414" i="4"/>
  <c r="P414" i="4"/>
  <c r="N414" i="4"/>
  <c r="M414" i="4"/>
  <c r="AI413" i="4"/>
  <c r="AE413" i="4"/>
  <c r="V413" i="4"/>
  <c r="T413" i="4"/>
  <c r="S413" i="4"/>
  <c r="R413" i="4"/>
  <c r="Q413" i="4"/>
  <c r="P413" i="4"/>
  <c r="M413" i="4"/>
  <c r="N413" i="4" s="1"/>
  <c r="O413" i="4"/>
  <c r="AE412" i="4"/>
  <c r="Q412" i="4"/>
  <c r="P412" i="4"/>
  <c r="M412" i="4"/>
  <c r="N412" i="4" s="1"/>
  <c r="E412" i="4"/>
  <c r="F412" i="4" s="1"/>
  <c r="AE411" i="4"/>
  <c r="Q411" i="4"/>
  <c r="P411" i="4"/>
  <c r="M411" i="4"/>
  <c r="N411" i="4" s="1"/>
  <c r="AE410" i="4"/>
  <c r="T410" i="4"/>
  <c r="S410" i="4"/>
  <c r="R410" i="4"/>
  <c r="Q410" i="4"/>
  <c r="P410" i="4"/>
  <c r="M410" i="4"/>
  <c r="N410" i="4" s="1"/>
  <c r="AI409" i="4"/>
  <c r="AE409" i="4"/>
  <c r="Q409" i="4"/>
  <c r="P409" i="4"/>
  <c r="N409" i="4"/>
  <c r="M409" i="4"/>
  <c r="V409" i="4"/>
  <c r="AI408" i="4"/>
  <c r="AE408" i="4"/>
  <c r="Q408" i="4"/>
  <c r="P408" i="4"/>
  <c r="M408" i="4"/>
  <c r="N408" i="4" s="1"/>
  <c r="AI407" i="4"/>
  <c r="AE407" i="4"/>
  <c r="T407" i="4"/>
  <c r="S407" i="4"/>
  <c r="R407" i="4"/>
  <c r="Q407" i="4"/>
  <c r="P407" i="4"/>
  <c r="M407" i="4"/>
  <c r="N407" i="4" s="1"/>
  <c r="AI406" i="4"/>
  <c r="Q406" i="4"/>
  <c r="P406" i="4"/>
  <c r="M406" i="4"/>
  <c r="N406" i="4" s="1"/>
  <c r="AI405" i="4"/>
  <c r="Q405" i="4"/>
  <c r="P405" i="4"/>
  <c r="M405" i="4"/>
  <c r="N405" i="4" s="1"/>
  <c r="AI404" i="4"/>
  <c r="T404" i="4"/>
  <c r="S404" i="4"/>
  <c r="R404" i="4"/>
  <c r="Q404" i="4"/>
  <c r="P404" i="4"/>
  <c r="O404" i="4"/>
  <c r="M404" i="4"/>
  <c r="N404" i="4" s="1"/>
  <c r="AI403" i="4"/>
  <c r="Q403" i="4"/>
  <c r="P403" i="4"/>
  <c r="M403" i="4"/>
  <c r="N403" i="4" s="1"/>
  <c r="AI402" i="4"/>
  <c r="Q402" i="4"/>
  <c r="P402" i="4"/>
  <c r="M402" i="4"/>
  <c r="N402" i="4" s="1"/>
  <c r="T401" i="4"/>
  <c r="S401" i="4"/>
  <c r="R401" i="4"/>
  <c r="Q401" i="4"/>
  <c r="P401" i="4"/>
  <c r="M401" i="4"/>
  <c r="N401" i="4" s="1"/>
  <c r="Q400" i="4"/>
  <c r="P400" i="4"/>
  <c r="M400" i="4"/>
  <c r="N400" i="4" s="1"/>
  <c r="Q399" i="4"/>
  <c r="P399" i="4"/>
  <c r="M399" i="4"/>
  <c r="N399" i="4" s="1"/>
  <c r="O399" i="4"/>
  <c r="AI398" i="4"/>
  <c r="V398" i="4"/>
  <c r="T398" i="4"/>
  <c r="S398" i="4"/>
  <c r="R398" i="4"/>
  <c r="Q398" i="4"/>
  <c r="P398" i="4"/>
  <c r="O398" i="4"/>
  <c r="M398" i="4"/>
  <c r="N398" i="4" s="1"/>
  <c r="AI397" i="4"/>
  <c r="V397" i="4"/>
  <c r="Q397" i="4"/>
  <c r="P397" i="4"/>
  <c r="O397" i="4"/>
  <c r="N397" i="4"/>
  <c r="M397" i="4"/>
  <c r="E397" i="4"/>
  <c r="F397" i="4" s="1"/>
  <c r="AI396" i="4"/>
  <c r="Q396" i="4"/>
  <c r="P396" i="4"/>
  <c r="N396" i="4"/>
  <c r="M396" i="4"/>
  <c r="E396" i="4"/>
  <c r="F396" i="4" s="1"/>
  <c r="AI395" i="4"/>
  <c r="T395" i="4"/>
  <c r="S395" i="4"/>
  <c r="R395" i="4"/>
  <c r="Q395" i="4"/>
  <c r="P395" i="4"/>
  <c r="M395" i="4"/>
  <c r="N395" i="4" s="1"/>
  <c r="O395" i="4"/>
  <c r="AI394" i="4"/>
  <c r="Q394" i="4"/>
  <c r="P394" i="4"/>
  <c r="M394" i="4"/>
  <c r="N394" i="4" s="1"/>
  <c r="V394" i="4"/>
  <c r="AI393" i="4"/>
  <c r="Q393" i="4"/>
  <c r="P393" i="4"/>
  <c r="N393" i="4"/>
  <c r="M393" i="4"/>
  <c r="AI392" i="4"/>
  <c r="T392" i="4"/>
  <c r="S392" i="4"/>
  <c r="R392" i="4"/>
  <c r="Q392" i="4"/>
  <c r="P392" i="4"/>
  <c r="N392" i="4"/>
  <c r="M392" i="4"/>
  <c r="AI391" i="4"/>
  <c r="Q391" i="4"/>
  <c r="P391" i="4"/>
  <c r="M391" i="4"/>
  <c r="N391" i="4" s="1"/>
  <c r="Q390" i="4"/>
  <c r="P390" i="4"/>
  <c r="M390" i="4"/>
  <c r="N390" i="4" s="1"/>
  <c r="V390" i="4"/>
  <c r="T389" i="4"/>
  <c r="S389" i="4"/>
  <c r="R389" i="4"/>
  <c r="Q389" i="4"/>
  <c r="P389" i="4"/>
  <c r="M389" i="4"/>
  <c r="N389" i="4" s="1"/>
  <c r="V389" i="4"/>
  <c r="AI388" i="4"/>
  <c r="Q388" i="4"/>
  <c r="P388" i="4"/>
  <c r="O388" i="4"/>
  <c r="M388" i="4"/>
  <c r="N388" i="4" s="1"/>
  <c r="E388" i="4"/>
  <c r="V388" i="4"/>
  <c r="AI387" i="4"/>
  <c r="Q387" i="4"/>
  <c r="P387" i="4"/>
  <c r="M387" i="4"/>
  <c r="N387" i="4" s="1"/>
  <c r="AI386" i="4"/>
  <c r="Q386" i="4"/>
  <c r="P386" i="4"/>
  <c r="N386" i="4"/>
  <c r="M386" i="4"/>
  <c r="AI385" i="4"/>
  <c r="Q385" i="4"/>
  <c r="P385" i="4"/>
  <c r="N385" i="4"/>
  <c r="M385" i="4"/>
  <c r="E385" i="4"/>
  <c r="F385" i="4" s="1"/>
  <c r="AI384" i="4"/>
  <c r="Q384" i="4"/>
  <c r="P384" i="4"/>
  <c r="N384" i="4"/>
  <c r="M384" i="4"/>
  <c r="AI383" i="4"/>
  <c r="Q383" i="4"/>
  <c r="P383" i="4"/>
  <c r="N383" i="4"/>
  <c r="M383" i="4"/>
  <c r="AI382" i="4"/>
  <c r="Q382" i="4"/>
  <c r="P382" i="4"/>
  <c r="M382" i="4"/>
  <c r="N382" i="4" s="1"/>
  <c r="AI381" i="4"/>
  <c r="Q381" i="4"/>
  <c r="P381" i="4"/>
  <c r="M381" i="4"/>
  <c r="N381" i="4" s="1"/>
  <c r="AI380" i="4"/>
  <c r="Q380" i="4"/>
  <c r="P380" i="4"/>
  <c r="M380" i="4"/>
  <c r="N380" i="4" s="1"/>
  <c r="AI379" i="4"/>
  <c r="Q379" i="4"/>
  <c r="P379" i="4"/>
  <c r="M379" i="4"/>
  <c r="N379" i="4" s="1"/>
  <c r="Q378" i="4"/>
  <c r="P378" i="4"/>
  <c r="O378" i="4"/>
  <c r="N378" i="4"/>
  <c r="M378" i="4"/>
  <c r="V378" i="4"/>
  <c r="V377" i="4"/>
  <c r="Q377" i="4"/>
  <c r="P377" i="4"/>
  <c r="O377" i="4"/>
  <c r="N377" i="4"/>
  <c r="M377" i="4"/>
  <c r="AI376" i="4"/>
  <c r="V376" i="4"/>
  <c r="Q376" i="4"/>
  <c r="P376" i="4"/>
  <c r="O376" i="4"/>
  <c r="M376" i="4"/>
  <c r="N376" i="4" s="1"/>
  <c r="AI375" i="4"/>
  <c r="Q375" i="4"/>
  <c r="P375" i="4"/>
  <c r="M375" i="4"/>
  <c r="N375" i="4" s="1"/>
  <c r="E375" i="4"/>
  <c r="Q374" i="4"/>
  <c r="P374" i="4"/>
  <c r="M374" i="4"/>
  <c r="N374" i="4" s="1"/>
  <c r="V374" i="4"/>
  <c r="Q373" i="4"/>
  <c r="P373" i="4"/>
  <c r="M373" i="4"/>
  <c r="N373" i="4" s="1"/>
  <c r="O373" i="4"/>
  <c r="Q372" i="4"/>
  <c r="P372" i="4"/>
  <c r="N372" i="4"/>
  <c r="M372" i="4"/>
  <c r="V372" i="4"/>
  <c r="Q371" i="4"/>
  <c r="P371" i="4"/>
  <c r="N371" i="4"/>
  <c r="M371" i="4"/>
  <c r="V371" i="4"/>
  <c r="V370" i="4"/>
  <c r="Q370" i="4"/>
  <c r="P370" i="4"/>
  <c r="O370" i="4"/>
  <c r="M370" i="4"/>
  <c r="N370" i="4" s="1"/>
  <c r="G370" i="4"/>
  <c r="E370" i="4"/>
  <c r="F370" i="4" s="1"/>
  <c r="V369" i="4"/>
  <c r="Q369" i="4"/>
  <c r="P369" i="4"/>
  <c r="O369" i="4"/>
  <c r="N369" i="4"/>
  <c r="M369" i="4"/>
  <c r="G369" i="4"/>
  <c r="F369" i="4"/>
  <c r="E369" i="4"/>
  <c r="V368" i="4"/>
  <c r="Q368" i="4"/>
  <c r="P368" i="4"/>
  <c r="O368" i="4"/>
  <c r="N368" i="4"/>
  <c r="M368" i="4"/>
  <c r="E368" i="4"/>
  <c r="F368" i="4" s="1"/>
  <c r="V367" i="4"/>
  <c r="Q367" i="4"/>
  <c r="P367" i="4"/>
  <c r="O367" i="4"/>
  <c r="N367" i="4"/>
  <c r="M367" i="4"/>
  <c r="F367" i="4"/>
  <c r="G367" i="4" s="1"/>
  <c r="E367" i="4"/>
  <c r="V366" i="4"/>
  <c r="Q366" i="4"/>
  <c r="P366" i="4"/>
  <c r="O366" i="4"/>
  <c r="M366" i="4"/>
  <c r="N366" i="4" s="1"/>
  <c r="F366" i="4"/>
  <c r="E366" i="4"/>
  <c r="V365" i="4"/>
  <c r="Q365" i="4"/>
  <c r="P365" i="4"/>
  <c r="O365" i="4"/>
  <c r="M365" i="4"/>
  <c r="N365" i="4" s="1"/>
  <c r="F365" i="4"/>
  <c r="G365" i="4" s="1"/>
  <c r="E365" i="4"/>
  <c r="V364" i="4"/>
  <c r="Q364" i="4"/>
  <c r="P364" i="4"/>
  <c r="O364" i="4"/>
  <c r="M364" i="4"/>
  <c r="N364" i="4" s="1"/>
  <c r="G364" i="4"/>
  <c r="E364" i="4"/>
  <c r="F364" i="4" s="1"/>
  <c r="V363" i="4"/>
  <c r="Q363" i="4"/>
  <c r="P363" i="4"/>
  <c r="O363" i="4"/>
  <c r="M363" i="4"/>
  <c r="N363" i="4" s="1"/>
  <c r="E363" i="4"/>
  <c r="F363" i="4" s="1"/>
  <c r="V362" i="4"/>
  <c r="Q362" i="4"/>
  <c r="P362" i="4"/>
  <c r="O362" i="4"/>
  <c r="N362" i="4"/>
  <c r="M362" i="4"/>
  <c r="E362" i="4"/>
  <c r="F362" i="4" s="1"/>
  <c r="G362" i="4" s="1"/>
  <c r="V361" i="4"/>
  <c r="Q361" i="4"/>
  <c r="P361" i="4"/>
  <c r="O361" i="4"/>
  <c r="N361" i="4"/>
  <c r="M361" i="4"/>
  <c r="F361" i="4"/>
  <c r="G361" i="4" s="1"/>
  <c r="E361" i="4"/>
  <c r="V360" i="4"/>
  <c r="Q360" i="4"/>
  <c r="P360" i="4"/>
  <c r="O360" i="4"/>
  <c r="M360" i="4"/>
  <c r="N360" i="4" s="1"/>
  <c r="G360" i="4"/>
  <c r="E360" i="4"/>
  <c r="F360" i="4" s="1"/>
  <c r="V359" i="4"/>
  <c r="Q359" i="4"/>
  <c r="P359" i="4"/>
  <c r="O359" i="4"/>
  <c r="M359" i="4"/>
  <c r="N359" i="4" s="1"/>
  <c r="E359" i="4"/>
  <c r="F359" i="4" s="1"/>
  <c r="G359" i="4" s="1"/>
  <c r="V358" i="4"/>
  <c r="Q358" i="4"/>
  <c r="P358" i="4"/>
  <c r="O358" i="4"/>
  <c r="M358" i="4"/>
  <c r="N358" i="4" s="1"/>
  <c r="F358" i="4"/>
  <c r="G358" i="4" s="1"/>
  <c r="E358" i="4"/>
  <c r="V357" i="4"/>
  <c r="Q357" i="4"/>
  <c r="P357" i="4"/>
  <c r="O357" i="4"/>
  <c r="N357" i="4"/>
  <c r="M357" i="4"/>
  <c r="E357" i="4"/>
  <c r="F357" i="4" s="1"/>
  <c r="G357" i="4" s="1"/>
  <c r="V356" i="4"/>
  <c r="Q356" i="4"/>
  <c r="P356" i="4"/>
  <c r="O356" i="4"/>
  <c r="M356" i="4"/>
  <c r="N356" i="4" s="1"/>
  <c r="E356" i="4"/>
  <c r="F356" i="4" s="1"/>
  <c r="V355" i="4"/>
  <c r="Q355" i="4"/>
  <c r="P355" i="4"/>
  <c r="O355" i="4"/>
  <c r="N355" i="4"/>
  <c r="M355" i="4"/>
  <c r="E355" i="4"/>
  <c r="F355" i="4" s="1"/>
  <c r="V354" i="4"/>
  <c r="Q354" i="4"/>
  <c r="P354" i="4"/>
  <c r="O354" i="4"/>
  <c r="N354" i="4"/>
  <c r="M354" i="4"/>
  <c r="F354" i="4"/>
  <c r="G354" i="4" s="1"/>
  <c r="E354" i="4"/>
  <c r="V353" i="4"/>
  <c r="Q353" i="4"/>
  <c r="P353" i="4"/>
  <c r="O353" i="4"/>
  <c r="M353" i="4"/>
  <c r="N353" i="4" s="1"/>
  <c r="F353" i="4"/>
  <c r="E353" i="4"/>
  <c r="V352" i="4"/>
  <c r="Q352" i="4"/>
  <c r="P352" i="4"/>
  <c r="O352" i="4"/>
  <c r="M352" i="4"/>
  <c r="N352" i="4" s="1"/>
  <c r="F352" i="4"/>
  <c r="G352" i="4" s="1"/>
  <c r="E352" i="4"/>
  <c r="V351" i="4"/>
  <c r="Q351" i="4"/>
  <c r="P351" i="4"/>
  <c r="O351" i="4"/>
  <c r="N351" i="4"/>
  <c r="M351" i="4"/>
  <c r="F351" i="4"/>
  <c r="E351" i="4"/>
  <c r="V350" i="4"/>
  <c r="Q350" i="4"/>
  <c r="P350" i="4"/>
  <c r="O350" i="4"/>
  <c r="M350" i="4"/>
  <c r="N350" i="4" s="1"/>
  <c r="E350" i="4"/>
  <c r="F350" i="4" s="1"/>
  <c r="V349" i="4"/>
  <c r="Q349" i="4"/>
  <c r="P349" i="4"/>
  <c r="O349" i="4"/>
  <c r="M349" i="4"/>
  <c r="N349" i="4" s="1"/>
  <c r="E349" i="4"/>
  <c r="F349" i="4" s="1"/>
  <c r="G349" i="4" s="1"/>
  <c r="V348" i="4"/>
  <c r="Q348" i="4"/>
  <c r="P348" i="4"/>
  <c r="O348" i="4"/>
  <c r="N348" i="4"/>
  <c r="M348" i="4"/>
  <c r="G348" i="4"/>
  <c r="E348" i="4"/>
  <c r="F348" i="4" s="1"/>
  <c r="V347" i="4"/>
  <c r="Q347" i="4"/>
  <c r="P347" i="4"/>
  <c r="O347" i="4"/>
  <c r="M347" i="4"/>
  <c r="N347" i="4" s="1"/>
  <c r="F347" i="4"/>
  <c r="E347" i="4"/>
  <c r="V346" i="4"/>
  <c r="Q346" i="4"/>
  <c r="P346" i="4"/>
  <c r="O346" i="4"/>
  <c r="N346" i="4"/>
  <c r="M346" i="4"/>
  <c r="E346" i="4"/>
  <c r="F346" i="4" s="1"/>
  <c r="G346" i="4" s="1"/>
  <c r="V345" i="4"/>
  <c r="Q345" i="4"/>
  <c r="P345" i="4"/>
  <c r="O345" i="4"/>
  <c r="M345" i="4"/>
  <c r="N345" i="4" s="1"/>
  <c r="F345" i="4"/>
  <c r="E345" i="4"/>
  <c r="V344" i="4"/>
  <c r="Q344" i="4"/>
  <c r="P344" i="4"/>
  <c r="O344" i="4"/>
  <c r="M344" i="4"/>
  <c r="N344" i="4" s="1"/>
  <c r="E344" i="4"/>
  <c r="F344" i="4" s="1"/>
  <c r="V343" i="4"/>
  <c r="Q343" i="4"/>
  <c r="P343" i="4"/>
  <c r="O343" i="4"/>
  <c r="M343" i="4"/>
  <c r="N343" i="4" s="1"/>
  <c r="E343" i="4"/>
  <c r="F343" i="4" s="1"/>
  <c r="G343" i="4" s="1"/>
  <c r="V342" i="4"/>
  <c r="Q342" i="4"/>
  <c r="P342" i="4"/>
  <c r="O342" i="4"/>
  <c r="M342" i="4"/>
  <c r="N342" i="4" s="1"/>
  <c r="E342" i="4"/>
  <c r="F342" i="4" s="1"/>
  <c r="V341" i="4"/>
  <c r="Q341" i="4"/>
  <c r="P341" i="4"/>
  <c r="O341" i="4"/>
  <c r="N341" i="4"/>
  <c r="M341" i="4"/>
  <c r="F341" i="4"/>
  <c r="G341" i="4" s="1"/>
  <c r="E341" i="4"/>
  <c r="V340" i="4"/>
  <c r="Q340" i="4"/>
  <c r="P340" i="4"/>
  <c r="O340" i="4"/>
  <c r="M340" i="4"/>
  <c r="N340" i="4" s="1"/>
  <c r="F340" i="4"/>
  <c r="G340" i="4" s="1"/>
  <c r="E340" i="4"/>
  <c r="V339" i="4"/>
  <c r="Q339" i="4"/>
  <c r="P339" i="4"/>
  <c r="O339" i="4"/>
  <c r="N339" i="4"/>
  <c r="M339" i="4"/>
  <c r="F339" i="4"/>
  <c r="E339" i="4"/>
  <c r="V338" i="4"/>
  <c r="Q338" i="4"/>
  <c r="P338" i="4"/>
  <c r="O338" i="4"/>
  <c r="M338" i="4"/>
  <c r="N338" i="4" s="1"/>
  <c r="E338" i="4"/>
  <c r="F338" i="4" s="1"/>
  <c r="V337" i="4"/>
  <c r="Q337" i="4"/>
  <c r="P337" i="4"/>
  <c r="O337" i="4"/>
  <c r="M337" i="4"/>
  <c r="N337" i="4" s="1"/>
  <c r="E337" i="4"/>
  <c r="F337" i="4" s="1"/>
  <c r="G337" i="4" s="1"/>
  <c r="V336" i="4"/>
  <c r="Q336" i="4"/>
  <c r="P336" i="4"/>
  <c r="O336" i="4"/>
  <c r="N336" i="4"/>
  <c r="M336" i="4"/>
  <c r="E336" i="4"/>
  <c r="F336" i="4" s="1"/>
  <c r="G336" i="4" s="1"/>
  <c r="V335" i="4"/>
  <c r="Q335" i="4"/>
  <c r="P335" i="4"/>
  <c r="O335" i="4"/>
  <c r="N335" i="4"/>
  <c r="M335" i="4"/>
  <c r="E335" i="4"/>
  <c r="F335" i="4" s="1"/>
  <c r="V334" i="4"/>
  <c r="Q334" i="4"/>
  <c r="P334" i="4"/>
  <c r="O334" i="4"/>
  <c r="N334" i="4"/>
  <c r="M334" i="4"/>
  <c r="E334" i="4"/>
  <c r="F334" i="4" s="1"/>
  <c r="G334" i="4" s="1"/>
  <c r="V333" i="4"/>
  <c r="Q333" i="4"/>
  <c r="P333" i="4"/>
  <c r="O333" i="4"/>
  <c r="N333" i="4"/>
  <c r="M333" i="4"/>
  <c r="E333" i="4"/>
  <c r="F333" i="4" s="1"/>
  <c r="V332" i="4"/>
  <c r="Q332" i="4"/>
  <c r="P332" i="4"/>
  <c r="O332" i="4"/>
  <c r="M332" i="4"/>
  <c r="N332" i="4" s="1"/>
  <c r="E332" i="4"/>
  <c r="F332" i="4" s="1"/>
  <c r="G332" i="4" s="1"/>
  <c r="V331" i="4"/>
  <c r="Q331" i="4"/>
  <c r="P331" i="4"/>
  <c r="O331" i="4"/>
  <c r="M331" i="4"/>
  <c r="N331" i="4" s="1"/>
  <c r="F331" i="4"/>
  <c r="G331" i="4" s="1"/>
  <c r="E331" i="4"/>
  <c r="V330" i="4"/>
  <c r="Q330" i="4"/>
  <c r="P330" i="4"/>
  <c r="O330" i="4"/>
  <c r="M330" i="4"/>
  <c r="N330" i="4" s="1"/>
  <c r="E330" i="4"/>
  <c r="F330" i="4" s="1"/>
  <c r="V329" i="4"/>
  <c r="Q329" i="4"/>
  <c r="P329" i="4"/>
  <c r="O329" i="4"/>
  <c r="M329" i="4"/>
  <c r="N329" i="4" s="1"/>
  <c r="E329" i="4"/>
  <c r="F329" i="4" s="1"/>
  <c r="G329" i="4" s="1"/>
  <c r="V328" i="4"/>
  <c r="Q328" i="4"/>
  <c r="P328" i="4"/>
  <c r="O328" i="4"/>
  <c r="M328" i="4"/>
  <c r="N328" i="4" s="1"/>
  <c r="F328" i="4"/>
  <c r="G328" i="4" s="1"/>
  <c r="E328" i="4"/>
  <c r="V327" i="4"/>
  <c r="Q327" i="4"/>
  <c r="P327" i="4"/>
  <c r="O327" i="4"/>
  <c r="M327" i="4"/>
  <c r="N327" i="4" s="1"/>
  <c r="F327" i="4"/>
  <c r="E327" i="4"/>
  <c r="V326" i="4"/>
  <c r="Q326" i="4"/>
  <c r="P326" i="4"/>
  <c r="O326" i="4"/>
  <c r="N326" i="4"/>
  <c r="M326" i="4"/>
  <c r="F326" i="4"/>
  <c r="G326" i="4" s="1"/>
  <c r="E326" i="4"/>
  <c r="V325" i="4"/>
  <c r="Q325" i="4"/>
  <c r="P325" i="4"/>
  <c r="O325" i="4"/>
  <c r="N325" i="4"/>
  <c r="M325" i="4"/>
  <c r="E325" i="4"/>
  <c r="F325" i="4" s="1"/>
  <c r="V324" i="4"/>
  <c r="Q324" i="4"/>
  <c r="P324" i="4"/>
  <c r="O324" i="4"/>
  <c r="N324" i="4"/>
  <c r="M324" i="4"/>
  <c r="F324" i="4"/>
  <c r="E324" i="4"/>
  <c r="V323" i="4"/>
  <c r="Q323" i="4"/>
  <c r="P323" i="4"/>
  <c r="O323" i="4"/>
  <c r="M323" i="4"/>
  <c r="N323" i="4" s="1"/>
  <c r="E323" i="4"/>
  <c r="F323" i="4" s="1"/>
  <c r="G323" i="4" s="1"/>
  <c r="V322" i="4"/>
  <c r="Q322" i="4"/>
  <c r="P322" i="4"/>
  <c r="O322" i="4"/>
  <c r="M322" i="4"/>
  <c r="N322" i="4" s="1"/>
  <c r="E322" i="4"/>
  <c r="F322" i="4" s="1"/>
  <c r="G322" i="4" s="1"/>
  <c r="V321" i="4"/>
  <c r="Q321" i="4"/>
  <c r="P321" i="4"/>
  <c r="O321" i="4"/>
  <c r="M321" i="4"/>
  <c r="N321" i="4" s="1"/>
  <c r="E321" i="4"/>
  <c r="F321" i="4" s="1"/>
  <c r="V320" i="4"/>
  <c r="Q320" i="4"/>
  <c r="P320" i="4"/>
  <c r="O320" i="4"/>
  <c r="M320" i="4"/>
  <c r="N320" i="4" s="1"/>
  <c r="E320" i="4"/>
  <c r="F320" i="4" s="1"/>
  <c r="V319" i="4"/>
  <c r="Q319" i="4"/>
  <c r="P319" i="4"/>
  <c r="O319" i="4"/>
  <c r="M319" i="4"/>
  <c r="N319" i="4" s="1"/>
  <c r="F319" i="4"/>
  <c r="G319" i="4" s="1"/>
  <c r="E319" i="4"/>
  <c r="V318" i="4"/>
  <c r="Q318" i="4"/>
  <c r="P318" i="4"/>
  <c r="O318" i="4"/>
  <c r="M318" i="4"/>
  <c r="N318" i="4" s="1"/>
  <c r="F318" i="4"/>
  <c r="E318" i="4"/>
  <c r="V317" i="4"/>
  <c r="Q317" i="4"/>
  <c r="P317" i="4"/>
  <c r="O317" i="4"/>
  <c r="M317" i="4"/>
  <c r="N317" i="4" s="1"/>
  <c r="F317" i="4"/>
  <c r="G317" i="4" s="1"/>
  <c r="E317" i="4"/>
  <c r="V316" i="4"/>
  <c r="Q316" i="4"/>
  <c r="P316" i="4"/>
  <c r="O316" i="4"/>
  <c r="M316" i="4"/>
  <c r="N316" i="4" s="1"/>
  <c r="E316" i="4"/>
  <c r="F316" i="4" s="1"/>
  <c r="V315" i="4"/>
  <c r="Q315" i="4"/>
  <c r="P315" i="4"/>
  <c r="O315" i="4"/>
  <c r="M315" i="4"/>
  <c r="N315" i="4" s="1"/>
  <c r="F315" i="4"/>
  <c r="E315" i="4"/>
  <c r="V314" i="4"/>
  <c r="Q314" i="4"/>
  <c r="P314" i="4"/>
  <c r="O314" i="4"/>
  <c r="M314" i="4"/>
  <c r="N314" i="4" s="1"/>
  <c r="G314" i="4"/>
  <c r="F314" i="4"/>
  <c r="E314" i="4"/>
  <c r="V313" i="4"/>
  <c r="Q313" i="4"/>
  <c r="P313" i="4"/>
  <c r="O313" i="4"/>
  <c r="N313" i="4"/>
  <c r="M313" i="4"/>
  <c r="E313" i="4"/>
  <c r="F313" i="4" s="1"/>
  <c r="V312" i="4"/>
  <c r="Q312" i="4"/>
  <c r="P312" i="4"/>
  <c r="O312" i="4"/>
  <c r="N312" i="4"/>
  <c r="M312" i="4"/>
  <c r="F312" i="4"/>
  <c r="G312" i="4" s="1"/>
  <c r="E312" i="4"/>
  <c r="V311" i="4"/>
  <c r="Q311" i="4"/>
  <c r="P311" i="4"/>
  <c r="O311" i="4"/>
  <c r="N311" i="4"/>
  <c r="M311" i="4"/>
  <c r="E311" i="4"/>
  <c r="F311" i="4" s="1"/>
  <c r="V310" i="4"/>
  <c r="Q310" i="4"/>
  <c r="P310" i="4"/>
  <c r="O310" i="4"/>
  <c r="M310" i="4"/>
  <c r="N310" i="4" s="1"/>
  <c r="E310" i="4"/>
  <c r="F310" i="4" s="1"/>
  <c r="V309" i="4"/>
  <c r="Q309" i="4"/>
  <c r="P309" i="4"/>
  <c r="O309" i="4"/>
  <c r="M309" i="4"/>
  <c r="N309" i="4" s="1"/>
  <c r="E309" i="4"/>
  <c r="F309" i="4" s="1"/>
  <c r="G309" i="4" s="1"/>
  <c r="V308" i="4"/>
  <c r="Q308" i="4"/>
  <c r="P308" i="4"/>
  <c r="O308" i="4"/>
  <c r="M308" i="4"/>
  <c r="N308" i="4" s="1"/>
  <c r="E308" i="4"/>
  <c r="F308" i="4" s="1"/>
  <c r="G308" i="4" s="1"/>
  <c r="V307" i="4"/>
  <c r="Q307" i="4"/>
  <c r="P307" i="4"/>
  <c r="O307" i="4"/>
  <c r="M307" i="4"/>
  <c r="N307" i="4" s="1"/>
  <c r="F307" i="4"/>
  <c r="G307" i="4" s="1"/>
  <c r="E307" i="4"/>
  <c r="V306" i="4"/>
  <c r="Q306" i="4"/>
  <c r="P306" i="4"/>
  <c r="O306" i="4"/>
  <c r="M306" i="4"/>
  <c r="N306" i="4" s="1"/>
  <c r="F306" i="4"/>
  <c r="G306" i="4" s="1"/>
  <c r="E306" i="4"/>
  <c r="V305" i="4"/>
  <c r="Q305" i="4"/>
  <c r="P305" i="4"/>
  <c r="O305" i="4"/>
  <c r="M305" i="4"/>
  <c r="N305" i="4" s="1"/>
  <c r="F305" i="4"/>
  <c r="G305" i="4" s="1"/>
  <c r="E305" i="4"/>
  <c r="V304" i="4"/>
  <c r="Q304" i="4"/>
  <c r="P304" i="4"/>
  <c r="O304" i="4"/>
  <c r="M304" i="4"/>
  <c r="N304" i="4" s="1"/>
  <c r="F304" i="4"/>
  <c r="E304" i="4"/>
  <c r="V303" i="4"/>
  <c r="Q303" i="4"/>
  <c r="P303" i="4"/>
  <c r="O303" i="4"/>
  <c r="N303" i="4"/>
  <c r="M303" i="4"/>
  <c r="E303" i="4"/>
  <c r="F303" i="4" s="1"/>
  <c r="G303" i="4" s="1"/>
  <c r="V302" i="4"/>
  <c r="Q302" i="4"/>
  <c r="P302" i="4"/>
  <c r="O302" i="4"/>
  <c r="N302" i="4"/>
  <c r="M302" i="4"/>
  <c r="F302" i="4"/>
  <c r="G302" i="4" s="1"/>
  <c r="E302" i="4"/>
  <c r="V301" i="4"/>
  <c r="Q301" i="4"/>
  <c r="P301" i="4"/>
  <c r="O301" i="4"/>
  <c r="M301" i="4"/>
  <c r="N301" i="4" s="1"/>
  <c r="E301" i="4"/>
  <c r="F301" i="4" s="1"/>
  <c r="V300" i="4"/>
  <c r="Q300" i="4"/>
  <c r="P300" i="4"/>
  <c r="O300" i="4"/>
  <c r="M300" i="4"/>
  <c r="N300" i="4" s="1"/>
  <c r="E300" i="4"/>
  <c r="F300" i="4" s="1"/>
  <c r="G300" i="4" s="1"/>
  <c r="V299" i="4"/>
  <c r="Q299" i="4"/>
  <c r="P299" i="4"/>
  <c r="O299" i="4"/>
  <c r="N299" i="4"/>
  <c r="M299" i="4"/>
  <c r="E299" i="4"/>
  <c r="F299" i="4" s="1"/>
  <c r="V298" i="4"/>
  <c r="Q298" i="4"/>
  <c r="P298" i="4"/>
  <c r="O298" i="4"/>
  <c r="M298" i="4"/>
  <c r="N298" i="4" s="1"/>
  <c r="E298" i="4"/>
  <c r="F298" i="4" s="1"/>
  <c r="V297" i="4"/>
  <c r="Q297" i="4"/>
  <c r="P297" i="4"/>
  <c r="O297" i="4"/>
  <c r="M297" i="4"/>
  <c r="N297" i="4" s="1"/>
  <c r="E297" i="4"/>
  <c r="F297" i="4" s="1"/>
  <c r="G297" i="4" s="1"/>
  <c r="V296" i="4"/>
  <c r="Q296" i="4"/>
  <c r="P296" i="4"/>
  <c r="O296" i="4"/>
  <c r="M296" i="4"/>
  <c r="N296" i="4" s="1"/>
  <c r="F296" i="4"/>
  <c r="E296" i="4"/>
  <c r="V295" i="4"/>
  <c r="Q295" i="4"/>
  <c r="P295" i="4"/>
  <c r="O295" i="4"/>
  <c r="M295" i="4"/>
  <c r="N295" i="4" s="1"/>
  <c r="E295" i="4"/>
  <c r="F295" i="4" s="1"/>
  <c r="V294" i="4"/>
  <c r="Q294" i="4"/>
  <c r="P294" i="4"/>
  <c r="O294" i="4"/>
  <c r="M294" i="4"/>
  <c r="N294" i="4" s="1"/>
  <c r="E294" i="4"/>
  <c r="F294" i="4" s="1"/>
  <c r="G294" i="4" s="1"/>
  <c r="V293" i="4"/>
  <c r="Q293" i="4"/>
  <c r="P293" i="4"/>
  <c r="O293" i="4"/>
  <c r="M293" i="4"/>
  <c r="N293" i="4" s="1"/>
  <c r="F293" i="4"/>
  <c r="E293" i="4"/>
  <c r="V292" i="4"/>
  <c r="Q292" i="4"/>
  <c r="P292" i="4"/>
  <c r="O292" i="4"/>
  <c r="M292" i="4"/>
  <c r="N292" i="4" s="1"/>
  <c r="E292" i="4"/>
  <c r="F292" i="4" s="1"/>
  <c r="V291" i="4"/>
  <c r="Q291" i="4"/>
  <c r="P291" i="4"/>
  <c r="O291" i="4"/>
  <c r="N291" i="4"/>
  <c r="M291" i="4"/>
  <c r="E291" i="4"/>
  <c r="F291" i="4" s="1"/>
  <c r="G291" i="4" s="1"/>
  <c r="V290" i="4"/>
  <c r="Q290" i="4"/>
  <c r="P290" i="4"/>
  <c r="O290" i="4"/>
  <c r="N290" i="4"/>
  <c r="M290" i="4"/>
  <c r="E290" i="4"/>
  <c r="F290" i="4" s="1"/>
  <c r="G290" i="4" s="1"/>
  <c r="V289" i="4"/>
  <c r="Q289" i="4"/>
  <c r="P289" i="4"/>
  <c r="O289" i="4"/>
  <c r="N289" i="4"/>
  <c r="M289" i="4"/>
  <c r="F289" i="4"/>
  <c r="E289" i="4"/>
  <c r="V288" i="4"/>
  <c r="Q288" i="4"/>
  <c r="P288" i="4"/>
  <c r="O288" i="4"/>
  <c r="M288" i="4"/>
  <c r="N288" i="4" s="1"/>
  <c r="E288" i="4"/>
  <c r="F288" i="4" s="1"/>
  <c r="G288" i="4" s="1"/>
  <c r="V287" i="4"/>
  <c r="Q287" i="4"/>
  <c r="P287" i="4"/>
  <c r="O287" i="4"/>
  <c r="M287" i="4"/>
  <c r="N287" i="4" s="1"/>
  <c r="E287" i="4"/>
  <c r="F287" i="4" s="1"/>
  <c r="V286" i="4"/>
  <c r="Q286" i="4"/>
  <c r="P286" i="4"/>
  <c r="O286" i="4"/>
  <c r="M286" i="4"/>
  <c r="N286" i="4" s="1"/>
  <c r="E286" i="4"/>
  <c r="F286" i="4" s="1"/>
  <c r="V285" i="4"/>
  <c r="Q285" i="4"/>
  <c r="P285" i="4"/>
  <c r="O285" i="4"/>
  <c r="M285" i="4"/>
  <c r="N285" i="4" s="1"/>
  <c r="F285" i="4"/>
  <c r="G285" i="4" s="1"/>
  <c r="E285" i="4"/>
  <c r="V284" i="4"/>
  <c r="Q284" i="4"/>
  <c r="P284" i="4"/>
  <c r="O284" i="4"/>
  <c r="M284" i="4"/>
  <c r="N284" i="4" s="1"/>
  <c r="F284" i="4"/>
  <c r="E284" i="4"/>
  <c r="V283" i="4"/>
  <c r="Q283" i="4"/>
  <c r="P283" i="4"/>
  <c r="O283" i="4"/>
  <c r="M283" i="4"/>
  <c r="N283" i="4" s="1"/>
  <c r="G283" i="4"/>
  <c r="F283" i="4"/>
  <c r="E283" i="4"/>
  <c r="V282" i="4"/>
  <c r="Q282" i="4"/>
  <c r="P282" i="4"/>
  <c r="O282" i="4"/>
  <c r="M282" i="4"/>
  <c r="N282" i="4" s="1"/>
  <c r="F282" i="4"/>
  <c r="G282" i="4" s="1"/>
  <c r="E282" i="4"/>
  <c r="V281" i="4"/>
  <c r="Q281" i="4"/>
  <c r="P281" i="4"/>
  <c r="O281" i="4"/>
  <c r="N281" i="4"/>
  <c r="M281" i="4"/>
  <c r="E281" i="4"/>
  <c r="F281" i="4" s="1"/>
  <c r="V280" i="4"/>
  <c r="Q280" i="4"/>
  <c r="P280" i="4"/>
  <c r="O280" i="4"/>
  <c r="N280" i="4"/>
  <c r="M280" i="4"/>
  <c r="E280" i="4"/>
  <c r="F280" i="4" s="1"/>
  <c r="G280" i="4" s="1"/>
  <c r="V279" i="4"/>
  <c r="Q279" i="4"/>
  <c r="P279" i="4"/>
  <c r="O279" i="4"/>
  <c r="M279" i="4"/>
  <c r="N279" i="4" s="1"/>
  <c r="E279" i="4"/>
  <c r="F279" i="4" s="1"/>
  <c r="V278" i="4"/>
  <c r="Q278" i="4"/>
  <c r="P278" i="4"/>
  <c r="O278" i="4"/>
  <c r="M278" i="4"/>
  <c r="N278" i="4" s="1"/>
  <c r="E278" i="4"/>
  <c r="F278" i="4" s="1"/>
  <c r="G278" i="4" s="1"/>
  <c r="V277" i="4"/>
  <c r="Q277" i="4"/>
  <c r="P277" i="4"/>
  <c r="O277" i="4"/>
  <c r="M277" i="4"/>
  <c r="N277" i="4" s="1"/>
  <c r="G277" i="4"/>
  <c r="E277" i="4"/>
  <c r="F277" i="4" s="1"/>
  <c r="V276" i="4"/>
  <c r="Q276" i="4"/>
  <c r="P276" i="4"/>
  <c r="O276" i="4"/>
  <c r="M276" i="4"/>
  <c r="N276" i="4" s="1"/>
  <c r="E276" i="4"/>
  <c r="F276" i="4" s="1"/>
  <c r="V275" i="4"/>
  <c r="Q275" i="4"/>
  <c r="P275" i="4"/>
  <c r="O275" i="4"/>
  <c r="M275" i="4"/>
  <c r="N275" i="4" s="1"/>
  <c r="E275" i="4"/>
  <c r="F275" i="4" s="1"/>
  <c r="G275" i="4" s="1"/>
  <c r="V274" i="4"/>
  <c r="Q274" i="4"/>
  <c r="P274" i="4"/>
  <c r="O274" i="4"/>
  <c r="M274" i="4"/>
  <c r="N274" i="4" s="1"/>
  <c r="F274" i="4"/>
  <c r="E274" i="4"/>
  <c r="V273" i="4"/>
  <c r="Q273" i="4"/>
  <c r="P273" i="4"/>
  <c r="O273" i="4"/>
  <c r="N273" i="4"/>
  <c r="M273" i="4"/>
  <c r="E273" i="4"/>
  <c r="F273" i="4" s="1"/>
  <c r="V272" i="4"/>
  <c r="Q272" i="4"/>
  <c r="P272" i="4"/>
  <c r="O272" i="4"/>
  <c r="M272" i="4"/>
  <c r="N272" i="4" s="1"/>
  <c r="E272" i="4"/>
  <c r="F272" i="4" s="1"/>
  <c r="V271" i="4"/>
  <c r="Q271" i="4"/>
  <c r="P271" i="4"/>
  <c r="O271" i="4"/>
  <c r="M271" i="4"/>
  <c r="N271" i="4" s="1"/>
  <c r="E271" i="4"/>
  <c r="F271" i="4" s="1"/>
  <c r="G271" i="4" s="1"/>
  <c r="V270" i="4"/>
  <c r="Q270" i="4"/>
  <c r="P270" i="4"/>
  <c r="O270" i="4"/>
  <c r="N270" i="4"/>
  <c r="M270" i="4"/>
  <c r="E270" i="4"/>
  <c r="F270" i="4" s="1"/>
  <c r="V269" i="4"/>
  <c r="Q269" i="4"/>
  <c r="P269" i="4"/>
  <c r="O269" i="4"/>
  <c r="N269" i="4"/>
  <c r="M269" i="4"/>
  <c r="E269" i="4"/>
  <c r="F269" i="4" s="1"/>
  <c r="G269" i="4" s="1"/>
  <c r="V268" i="4"/>
  <c r="Q268" i="4"/>
  <c r="P268" i="4"/>
  <c r="O268" i="4"/>
  <c r="N268" i="4"/>
  <c r="M268" i="4"/>
  <c r="F268" i="4"/>
  <c r="G268" i="4" s="1"/>
  <c r="E268" i="4"/>
  <c r="V267" i="4"/>
  <c r="Q267" i="4"/>
  <c r="P267" i="4"/>
  <c r="O267" i="4"/>
  <c r="N267" i="4"/>
  <c r="M267" i="4"/>
  <c r="E267" i="4"/>
  <c r="F267" i="4" s="1"/>
  <c r="V266" i="4"/>
  <c r="Q266" i="4"/>
  <c r="P266" i="4"/>
  <c r="O266" i="4"/>
  <c r="M266" i="4"/>
  <c r="N266" i="4" s="1"/>
  <c r="E266" i="4"/>
  <c r="F266" i="4" s="1"/>
  <c r="G266" i="4" s="1"/>
  <c r="V265" i="4"/>
  <c r="Q265" i="4"/>
  <c r="P265" i="4"/>
  <c r="O265" i="4"/>
  <c r="M265" i="4"/>
  <c r="N265" i="4" s="1"/>
  <c r="E265" i="4"/>
  <c r="F265" i="4" s="1"/>
  <c r="G265" i="4" s="1"/>
  <c r="V264" i="4"/>
  <c r="Q264" i="4"/>
  <c r="P264" i="4"/>
  <c r="O264" i="4"/>
  <c r="M264" i="4"/>
  <c r="N264" i="4" s="1"/>
  <c r="E264" i="4"/>
  <c r="F264" i="4" s="1"/>
  <c r="V263" i="4"/>
  <c r="Q263" i="4"/>
  <c r="P263" i="4"/>
  <c r="O263" i="4"/>
  <c r="M263" i="4"/>
  <c r="N263" i="4" s="1"/>
  <c r="E263" i="4"/>
  <c r="F263" i="4" s="1"/>
  <c r="G263" i="4" s="1"/>
  <c r="V262" i="4"/>
  <c r="Q262" i="4"/>
  <c r="P262" i="4"/>
  <c r="O262" i="4"/>
  <c r="M262" i="4"/>
  <c r="N262" i="4" s="1"/>
  <c r="F262" i="4"/>
  <c r="G262" i="4" s="1"/>
  <c r="E262" i="4"/>
  <c r="V261" i="4"/>
  <c r="Q261" i="4"/>
  <c r="P261" i="4"/>
  <c r="O261" i="4"/>
  <c r="M261" i="4"/>
  <c r="N261" i="4" s="1"/>
  <c r="F261" i="4"/>
  <c r="E261" i="4"/>
  <c r="V260" i="4"/>
  <c r="Q260" i="4"/>
  <c r="P260" i="4"/>
  <c r="O260" i="4"/>
  <c r="M260" i="4"/>
  <c r="N260" i="4" s="1"/>
  <c r="G260" i="4"/>
  <c r="F260" i="4"/>
  <c r="E260" i="4"/>
  <c r="V259" i="4"/>
  <c r="Q259" i="4"/>
  <c r="P259" i="4"/>
  <c r="O259" i="4"/>
  <c r="N259" i="4"/>
  <c r="M259" i="4"/>
  <c r="E259" i="4"/>
  <c r="F259" i="4" s="1"/>
  <c r="V258" i="4"/>
  <c r="Q258" i="4"/>
  <c r="P258" i="4"/>
  <c r="O258" i="4"/>
  <c r="M258" i="4"/>
  <c r="N258" i="4" s="1"/>
  <c r="E258" i="4"/>
  <c r="F258" i="4" s="1"/>
  <c r="V257" i="4"/>
  <c r="Q257" i="4"/>
  <c r="P257" i="4"/>
  <c r="O257" i="4"/>
  <c r="M257" i="4"/>
  <c r="N257" i="4" s="1"/>
  <c r="E257" i="4"/>
  <c r="F257" i="4" s="1"/>
  <c r="G257" i="4" s="1"/>
  <c r="V256" i="4"/>
  <c r="Q256" i="4"/>
  <c r="P256" i="4"/>
  <c r="O256" i="4"/>
  <c r="M256" i="4"/>
  <c r="N256" i="4" s="1"/>
  <c r="E256" i="4"/>
  <c r="F256" i="4" s="1"/>
  <c r="V255" i="4"/>
  <c r="Q255" i="4"/>
  <c r="P255" i="4"/>
  <c r="O255" i="4"/>
  <c r="N255" i="4"/>
  <c r="M255" i="4"/>
  <c r="E255" i="4"/>
  <c r="F255" i="4" s="1"/>
  <c r="V254" i="4"/>
  <c r="Q254" i="4"/>
  <c r="P254" i="4"/>
  <c r="O254" i="4"/>
  <c r="M254" i="4"/>
  <c r="N254" i="4" s="1"/>
  <c r="E254" i="4"/>
  <c r="F254" i="4" s="1"/>
  <c r="V253" i="4"/>
  <c r="Q253" i="4"/>
  <c r="P253" i="4"/>
  <c r="O253" i="4"/>
  <c r="M253" i="4"/>
  <c r="N253" i="4" s="1"/>
  <c r="E253" i="4"/>
  <c r="F253" i="4" s="1"/>
  <c r="G253" i="4" s="1"/>
  <c r="V252" i="4"/>
  <c r="Q252" i="4"/>
  <c r="P252" i="4"/>
  <c r="O252" i="4"/>
  <c r="M252" i="4"/>
  <c r="N252" i="4" s="1"/>
  <c r="F252" i="4"/>
  <c r="E252" i="4"/>
  <c r="V251" i="4"/>
  <c r="Q251" i="4"/>
  <c r="P251" i="4"/>
  <c r="O251" i="4"/>
  <c r="N251" i="4"/>
  <c r="M251" i="4"/>
  <c r="E251" i="4"/>
  <c r="F251" i="4" s="1"/>
  <c r="G251" i="4" s="1"/>
  <c r="V250" i="4"/>
  <c r="Q250" i="4"/>
  <c r="P250" i="4"/>
  <c r="O250" i="4"/>
  <c r="M250" i="4"/>
  <c r="N250" i="4" s="1"/>
  <c r="E250" i="4"/>
  <c r="F250" i="4" s="1"/>
  <c r="V249" i="4"/>
  <c r="Q249" i="4"/>
  <c r="P249" i="4"/>
  <c r="O249" i="4"/>
  <c r="M249" i="4"/>
  <c r="N249" i="4" s="1"/>
  <c r="E249" i="4"/>
  <c r="F249" i="4" s="1"/>
  <c r="V248" i="4"/>
  <c r="Q248" i="4"/>
  <c r="P248" i="4"/>
  <c r="O248" i="4"/>
  <c r="M248" i="4"/>
  <c r="N248" i="4" s="1"/>
  <c r="E248" i="4"/>
  <c r="F248" i="4" s="1"/>
  <c r="G248" i="4" s="1"/>
  <c r="V247" i="4"/>
  <c r="Q247" i="4"/>
  <c r="P247" i="4"/>
  <c r="O247" i="4"/>
  <c r="N247" i="4"/>
  <c r="M247" i="4"/>
  <c r="E247" i="4"/>
  <c r="F247" i="4" s="1"/>
  <c r="V246" i="4"/>
  <c r="Q246" i="4"/>
  <c r="P246" i="4"/>
  <c r="O246" i="4"/>
  <c r="N246" i="4"/>
  <c r="M246" i="4"/>
  <c r="E246" i="4"/>
  <c r="F246" i="4" s="1"/>
  <c r="G246" i="4" s="1"/>
  <c r="V245" i="4"/>
  <c r="Q245" i="4"/>
  <c r="P245" i="4"/>
  <c r="O245" i="4"/>
  <c r="N245" i="4"/>
  <c r="M245" i="4"/>
  <c r="E245" i="4"/>
  <c r="F245" i="4" s="1"/>
  <c r="V244" i="4"/>
  <c r="Q244" i="4"/>
  <c r="P244" i="4"/>
  <c r="O244" i="4"/>
  <c r="M244" i="4"/>
  <c r="N244" i="4" s="1"/>
  <c r="E244" i="4"/>
  <c r="F244" i="4" s="1"/>
  <c r="G244" i="4" s="1"/>
  <c r="V243" i="4"/>
  <c r="Q243" i="4"/>
  <c r="P243" i="4"/>
  <c r="O243" i="4"/>
  <c r="M243" i="4"/>
  <c r="N243" i="4" s="1"/>
  <c r="E243" i="4"/>
  <c r="F243" i="4" s="1"/>
  <c r="G243" i="4" s="1"/>
  <c r="V242" i="4"/>
  <c r="Q242" i="4"/>
  <c r="P242" i="4"/>
  <c r="O242" i="4"/>
  <c r="M242" i="4"/>
  <c r="N242" i="4" s="1"/>
  <c r="E242" i="4"/>
  <c r="F242" i="4" s="1"/>
  <c r="V241" i="4"/>
  <c r="Q241" i="4"/>
  <c r="P241" i="4"/>
  <c r="O241" i="4"/>
  <c r="M241" i="4"/>
  <c r="N241" i="4" s="1"/>
  <c r="E241" i="4"/>
  <c r="F241" i="4" s="1"/>
  <c r="G241" i="4" s="1"/>
  <c r="V240" i="4"/>
  <c r="Q240" i="4"/>
  <c r="P240" i="4"/>
  <c r="O240" i="4"/>
  <c r="M240" i="4"/>
  <c r="N240" i="4" s="1"/>
  <c r="F240" i="4"/>
  <c r="G240" i="4" s="1"/>
  <c r="E240" i="4"/>
  <c r="V239" i="4"/>
  <c r="Q239" i="4"/>
  <c r="P239" i="4"/>
  <c r="O239" i="4"/>
  <c r="M239" i="4"/>
  <c r="N239" i="4" s="1"/>
  <c r="G239" i="4"/>
  <c r="F239" i="4"/>
  <c r="E239" i="4"/>
  <c r="V238" i="4"/>
  <c r="Q238" i="4"/>
  <c r="P238" i="4"/>
  <c r="O238" i="4"/>
  <c r="M238" i="4"/>
  <c r="N238" i="4" s="1"/>
  <c r="F238" i="4"/>
  <c r="E238" i="4"/>
  <c r="V237" i="4"/>
  <c r="Q237" i="4"/>
  <c r="P237" i="4"/>
  <c r="O237" i="4"/>
  <c r="N237" i="4"/>
  <c r="M237" i="4"/>
  <c r="E237" i="4"/>
  <c r="F237" i="4" s="1"/>
  <c r="V236" i="4"/>
  <c r="Q236" i="4"/>
  <c r="P236" i="4"/>
  <c r="O236" i="4"/>
  <c r="M236" i="4"/>
  <c r="N236" i="4" s="1"/>
  <c r="E236" i="4"/>
  <c r="F236" i="4" s="1"/>
  <c r="G236" i="4" s="1"/>
  <c r="V235" i="4"/>
  <c r="Q235" i="4"/>
  <c r="P235" i="4"/>
  <c r="O235" i="4"/>
  <c r="M235" i="4"/>
  <c r="N235" i="4" s="1"/>
  <c r="E235" i="4"/>
  <c r="F235" i="4" s="1"/>
  <c r="V234" i="4"/>
  <c r="Q234" i="4"/>
  <c r="P234" i="4"/>
  <c r="O234" i="4"/>
  <c r="M234" i="4"/>
  <c r="N234" i="4" s="1"/>
  <c r="G234" i="4"/>
  <c r="E234" i="4"/>
  <c r="F234" i="4" s="1"/>
  <c r="V233" i="4"/>
  <c r="Q233" i="4"/>
  <c r="P233" i="4"/>
  <c r="O233" i="4"/>
  <c r="N233" i="4"/>
  <c r="M233" i="4"/>
  <c r="E233" i="4"/>
  <c r="F233" i="4" s="1"/>
  <c r="G233" i="4" s="1"/>
  <c r="V232" i="4"/>
  <c r="Q232" i="4"/>
  <c r="P232" i="4"/>
  <c r="O232" i="4"/>
  <c r="M232" i="4"/>
  <c r="N232" i="4" s="1"/>
  <c r="E232" i="4"/>
  <c r="F232" i="4" s="1"/>
  <c r="V231" i="4"/>
  <c r="Q231" i="4"/>
  <c r="P231" i="4"/>
  <c r="O231" i="4"/>
  <c r="M231" i="4"/>
  <c r="N231" i="4" s="1"/>
  <c r="F231" i="4"/>
  <c r="G231" i="4" s="1"/>
  <c r="E231" i="4"/>
  <c r="V230" i="4"/>
  <c r="Q230" i="4"/>
  <c r="P230" i="4"/>
  <c r="O230" i="4"/>
  <c r="M230" i="4"/>
  <c r="N230" i="4" s="1"/>
  <c r="F230" i="4"/>
  <c r="E230" i="4"/>
  <c r="V229" i="4"/>
  <c r="Q229" i="4"/>
  <c r="P229" i="4"/>
  <c r="O229" i="4"/>
  <c r="M229" i="4"/>
  <c r="N229" i="4" s="1"/>
  <c r="E229" i="4"/>
  <c r="F229" i="4" s="1"/>
  <c r="V228" i="4"/>
  <c r="Q228" i="4"/>
  <c r="P228" i="4"/>
  <c r="O228" i="4"/>
  <c r="M228" i="4"/>
  <c r="N228" i="4" s="1"/>
  <c r="E228" i="4"/>
  <c r="F228" i="4" s="1"/>
  <c r="G228" i="4" s="1"/>
  <c r="V227" i="4"/>
  <c r="Q227" i="4"/>
  <c r="P227" i="4"/>
  <c r="O227" i="4"/>
  <c r="M227" i="4"/>
  <c r="N227" i="4" s="1"/>
  <c r="E227" i="4"/>
  <c r="F227" i="4" s="1"/>
  <c r="V226" i="4"/>
  <c r="Q226" i="4"/>
  <c r="P226" i="4"/>
  <c r="O226" i="4"/>
  <c r="M226" i="4"/>
  <c r="N226" i="4" s="1"/>
  <c r="E226" i="4"/>
  <c r="F226" i="4" s="1"/>
  <c r="V225" i="4"/>
  <c r="Q225" i="4"/>
  <c r="P225" i="4"/>
  <c r="O225" i="4"/>
  <c r="N225" i="4"/>
  <c r="M225" i="4"/>
  <c r="E225" i="4"/>
  <c r="F225" i="4" s="1"/>
  <c r="G225" i="4" s="1"/>
  <c r="V224" i="4"/>
  <c r="Q224" i="4"/>
  <c r="P224" i="4"/>
  <c r="O224" i="4"/>
  <c r="N224" i="4"/>
  <c r="M224" i="4"/>
  <c r="E224" i="4"/>
  <c r="F224" i="4" s="1"/>
  <c r="V223" i="4"/>
  <c r="Q223" i="4"/>
  <c r="P223" i="4"/>
  <c r="O223" i="4"/>
  <c r="N223" i="4"/>
  <c r="M223" i="4"/>
  <c r="E223" i="4"/>
  <c r="F223" i="4" s="1"/>
  <c r="V222" i="4"/>
  <c r="Q222" i="4"/>
  <c r="P222" i="4"/>
  <c r="O222" i="4"/>
  <c r="M222" i="4"/>
  <c r="N222" i="4" s="1"/>
  <c r="F222" i="4"/>
  <c r="G222" i="4" s="1"/>
  <c r="E222" i="4"/>
  <c r="V221" i="4"/>
  <c r="Q221" i="4"/>
  <c r="P221" i="4"/>
  <c r="O221" i="4"/>
  <c r="N221" i="4"/>
  <c r="M221" i="4"/>
  <c r="F221" i="4"/>
  <c r="E221" i="4"/>
  <c r="V220" i="4"/>
  <c r="Q220" i="4"/>
  <c r="P220" i="4"/>
  <c r="O220" i="4"/>
  <c r="M220" i="4"/>
  <c r="N220" i="4" s="1"/>
  <c r="E220" i="4"/>
  <c r="F220" i="4" s="1"/>
  <c r="V219" i="4"/>
  <c r="Q219" i="4"/>
  <c r="P219" i="4"/>
  <c r="O219" i="4"/>
  <c r="M219" i="4"/>
  <c r="N219" i="4" s="1"/>
  <c r="E219" i="4"/>
  <c r="F219" i="4" s="1"/>
  <c r="G219" i="4" s="1"/>
  <c r="V218" i="4"/>
  <c r="Q218" i="4"/>
  <c r="P218" i="4"/>
  <c r="O218" i="4"/>
  <c r="M218" i="4"/>
  <c r="N218" i="4" s="1"/>
  <c r="F218" i="4"/>
  <c r="E218" i="4"/>
  <c r="V217" i="4"/>
  <c r="Q217" i="4"/>
  <c r="P217" i="4"/>
  <c r="O217" i="4"/>
  <c r="M217" i="4"/>
  <c r="N217" i="4" s="1"/>
  <c r="F217" i="4"/>
  <c r="G217" i="4" s="1"/>
  <c r="E217" i="4"/>
  <c r="V216" i="4"/>
  <c r="Q216" i="4"/>
  <c r="P216" i="4"/>
  <c r="O216" i="4"/>
  <c r="N216" i="4"/>
  <c r="M216" i="4"/>
  <c r="F216" i="4"/>
  <c r="E216" i="4"/>
  <c r="V215" i="4"/>
  <c r="Q215" i="4"/>
  <c r="P215" i="4"/>
  <c r="O215" i="4"/>
  <c r="N215" i="4"/>
  <c r="M215" i="4"/>
  <c r="E215" i="4"/>
  <c r="F215" i="4" s="1"/>
  <c r="V214" i="4"/>
  <c r="Q214" i="4"/>
  <c r="P214" i="4"/>
  <c r="O214" i="4"/>
  <c r="M214" i="4"/>
  <c r="N214" i="4" s="1"/>
  <c r="E214" i="4"/>
  <c r="F214" i="4" s="1"/>
  <c r="G214" i="4" s="1"/>
  <c r="V213" i="4"/>
  <c r="Q213" i="4"/>
  <c r="P213" i="4"/>
  <c r="O213" i="4"/>
  <c r="M213" i="4"/>
  <c r="N213" i="4" s="1"/>
  <c r="E213" i="4"/>
  <c r="F213" i="4" s="1"/>
  <c r="V212" i="4"/>
  <c r="Q212" i="4"/>
  <c r="P212" i="4"/>
  <c r="O212" i="4"/>
  <c r="N212" i="4"/>
  <c r="M212" i="4"/>
  <c r="E212" i="4"/>
  <c r="F212" i="4" s="1"/>
  <c r="V211" i="4"/>
  <c r="Q211" i="4"/>
  <c r="P211" i="4"/>
  <c r="O211" i="4"/>
  <c r="M211" i="4"/>
  <c r="N211" i="4" s="1"/>
  <c r="E211" i="4"/>
  <c r="F211" i="4" s="1"/>
  <c r="G211" i="4" s="1"/>
  <c r="V210" i="4"/>
  <c r="Q210" i="4"/>
  <c r="P210" i="4"/>
  <c r="O210" i="4"/>
  <c r="M210" i="4"/>
  <c r="N210" i="4" s="1"/>
  <c r="E210" i="4"/>
  <c r="F210" i="4" s="1"/>
  <c r="V209" i="4"/>
  <c r="Q209" i="4"/>
  <c r="P209" i="4"/>
  <c r="O209" i="4"/>
  <c r="N209" i="4"/>
  <c r="M209" i="4"/>
  <c r="E209" i="4"/>
  <c r="F209" i="4" s="1"/>
  <c r="G209" i="4" s="1"/>
  <c r="V208" i="4"/>
  <c r="Q208" i="4"/>
  <c r="P208" i="4"/>
  <c r="O208" i="4"/>
  <c r="M208" i="4"/>
  <c r="N208" i="4" s="1"/>
  <c r="F208" i="4"/>
  <c r="E208" i="4"/>
  <c r="V207" i="4"/>
  <c r="Q207" i="4"/>
  <c r="P207" i="4"/>
  <c r="O207" i="4"/>
  <c r="M207" i="4"/>
  <c r="N207" i="4" s="1"/>
  <c r="E207" i="4"/>
  <c r="F207" i="4" s="1"/>
  <c r="G207" i="4" s="1"/>
  <c r="V206" i="4"/>
  <c r="Q206" i="4"/>
  <c r="P206" i="4"/>
  <c r="O206" i="4"/>
  <c r="M206" i="4"/>
  <c r="N206" i="4" s="1"/>
  <c r="E206" i="4"/>
  <c r="F206" i="4" s="1"/>
  <c r="V205" i="4"/>
  <c r="Q205" i="4"/>
  <c r="P205" i="4"/>
  <c r="O205" i="4"/>
  <c r="M205" i="4"/>
  <c r="N205" i="4" s="1"/>
  <c r="E205" i="4"/>
  <c r="F205" i="4" s="1"/>
  <c r="G205" i="4" s="1"/>
  <c r="V204" i="4"/>
  <c r="Q204" i="4"/>
  <c r="P204" i="4"/>
  <c r="O204" i="4"/>
  <c r="M204" i="4"/>
  <c r="N204" i="4" s="1"/>
  <c r="F204" i="4"/>
  <c r="G204" i="4" s="1"/>
  <c r="E204" i="4"/>
  <c r="V203" i="4"/>
  <c r="Q203" i="4"/>
  <c r="P203" i="4"/>
  <c r="O203" i="4"/>
  <c r="N203" i="4"/>
  <c r="M203" i="4"/>
  <c r="E203" i="4"/>
  <c r="F203" i="4" s="1"/>
  <c r="V202" i="4"/>
  <c r="Q202" i="4"/>
  <c r="P202" i="4"/>
  <c r="O202" i="4"/>
  <c r="N202" i="4"/>
  <c r="M202" i="4"/>
  <c r="F202" i="4"/>
  <c r="G202" i="4" s="1"/>
  <c r="E202" i="4"/>
  <c r="V201" i="4"/>
  <c r="Q201" i="4"/>
  <c r="P201" i="4"/>
  <c r="O201" i="4"/>
  <c r="N201" i="4"/>
  <c r="M201" i="4"/>
  <c r="E201" i="4"/>
  <c r="F201" i="4" s="1"/>
  <c r="V200" i="4"/>
  <c r="Q200" i="4"/>
  <c r="P200" i="4"/>
  <c r="O200" i="4"/>
  <c r="M200" i="4"/>
  <c r="N200" i="4" s="1"/>
  <c r="F200" i="4"/>
  <c r="G200" i="4" s="1"/>
  <c r="E200" i="4"/>
  <c r="V199" i="4"/>
  <c r="Q199" i="4"/>
  <c r="P199" i="4"/>
  <c r="O199" i="4"/>
  <c r="M199" i="4"/>
  <c r="N199" i="4" s="1"/>
  <c r="F199" i="4"/>
  <c r="G199" i="4" s="1"/>
  <c r="E199" i="4"/>
  <c r="V198" i="4"/>
  <c r="Q198" i="4"/>
  <c r="P198" i="4"/>
  <c r="O198" i="4"/>
  <c r="M198" i="4"/>
  <c r="N198" i="4" s="1"/>
  <c r="E198" i="4"/>
  <c r="F198" i="4" s="1"/>
  <c r="V197" i="4"/>
  <c r="Q197" i="4"/>
  <c r="P197" i="4"/>
  <c r="O197" i="4"/>
  <c r="M197" i="4"/>
  <c r="N197" i="4" s="1"/>
  <c r="F197" i="4"/>
  <c r="G197" i="4" s="1"/>
  <c r="E197" i="4"/>
  <c r="V196" i="4"/>
  <c r="Q196" i="4"/>
  <c r="P196" i="4"/>
  <c r="O196" i="4"/>
  <c r="M196" i="4"/>
  <c r="N196" i="4" s="1"/>
  <c r="F196" i="4"/>
  <c r="E196" i="4"/>
  <c r="V195" i="4"/>
  <c r="Q195" i="4"/>
  <c r="P195" i="4"/>
  <c r="O195" i="4"/>
  <c r="M195" i="4"/>
  <c r="N195" i="4" s="1"/>
  <c r="F195" i="4"/>
  <c r="G195" i="4" s="1"/>
  <c r="E195" i="4"/>
  <c r="V194" i="4"/>
  <c r="Q194" i="4"/>
  <c r="P194" i="4"/>
  <c r="O194" i="4"/>
  <c r="M194" i="4"/>
  <c r="N194" i="4" s="1"/>
  <c r="G194" i="4"/>
  <c r="F194" i="4"/>
  <c r="E194" i="4"/>
  <c r="V193" i="4"/>
  <c r="Q193" i="4"/>
  <c r="P193" i="4"/>
  <c r="O193" i="4"/>
  <c r="N193" i="4"/>
  <c r="M193" i="4"/>
  <c r="E193" i="4"/>
  <c r="F193" i="4" s="1"/>
  <c r="V192" i="4"/>
  <c r="Q192" i="4"/>
  <c r="P192" i="4"/>
  <c r="O192" i="4"/>
  <c r="N192" i="4"/>
  <c r="M192" i="4"/>
  <c r="E192" i="4"/>
  <c r="F192" i="4" s="1"/>
  <c r="G192" i="4" s="1"/>
  <c r="V191" i="4"/>
  <c r="Q191" i="4"/>
  <c r="P191" i="4"/>
  <c r="O191" i="4"/>
  <c r="M191" i="4"/>
  <c r="N191" i="4" s="1"/>
  <c r="E191" i="4"/>
  <c r="F191" i="4" s="1"/>
  <c r="G191" i="4" s="1"/>
  <c r="V190" i="4"/>
  <c r="Q190" i="4"/>
  <c r="P190" i="4"/>
  <c r="O190" i="4"/>
  <c r="N190" i="4"/>
  <c r="M190" i="4"/>
  <c r="E190" i="4"/>
  <c r="F190" i="4" s="1"/>
  <c r="V189" i="4"/>
  <c r="Q189" i="4"/>
  <c r="P189" i="4"/>
  <c r="O189" i="4"/>
  <c r="M189" i="4"/>
  <c r="N189" i="4" s="1"/>
  <c r="E189" i="4"/>
  <c r="F189" i="4" s="1"/>
  <c r="G189" i="4" s="1"/>
  <c r="V188" i="4"/>
  <c r="Q188" i="4"/>
  <c r="P188" i="4"/>
  <c r="O188" i="4"/>
  <c r="M188" i="4"/>
  <c r="N188" i="4" s="1"/>
  <c r="E188" i="4"/>
  <c r="F188" i="4" s="1"/>
  <c r="V187" i="4"/>
  <c r="Q187" i="4"/>
  <c r="P187" i="4"/>
  <c r="O187" i="4"/>
  <c r="N187" i="4"/>
  <c r="M187" i="4"/>
  <c r="E187" i="4"/>
  <c r="F187" i="4" s="1"/>
  <c r="G187" i="4" s="1"/>
  <c r="V186" i="4"/>
  <c r="Q186" i="4"/>
  <c r="P186" i="4"/>
  <c r="O186" i="4"/>
  <c r="M186" i="4"/>
  <c r="N186" i="4" s="1"/>
  <c r="F186" i="4"/>
  <c r="E186" i="4"/>
  <c r="V185" i="4"/>
  <c r="Q185" i="4"/>
  <c r="P185" i="4"/>
  <c r="O185" i="4"/>
  <c r="N185" i="4"/>
  <c r="M185" i="4"/>
  <c r="E185" i="4"/>
  <c r="F185" i="4" s="1"/>
  <c r="G185" i="4" s="1"/>
  <c r="V184" i="4"/>
  <c r="Q184" i="4"/>
  <c r="P184" i="4"/>
  <c r="O184" i="4"/>
  <c r="M184" i="4"/>
  <c r="N184" i="4" s="1"/>
  <c r="E184" i="4"/>
  <c r="F184" i="4" s="1"/>
  <c r="V183" i="4"/>
  <c r="Q183" i="4"/>
  <c r="P183" i="4"/>
  <c r="O183" i="4"/>
  <c r="M183" i="4"/>
  <c r="N183" i="4" s="1"/>
  <c r="E183" i="4"/>
  <c r="F183" i="4" s="1"/>
  <c r="G183" i="4" s="1"/>
  <c r="V182" i="4"/>
  <c r="Q182" i="4"/>
  <c r="P182" i="4"/>
  <c r="O182" i="4"/>
  <c r="N182" i="4"/>
  <c r="M182" i="4"/>
  <c r="G182" i="4"/>
  <c r="E182" i="4"/>
  <c r="F182" i="4" s="1"/>
  <c r="V181" i="4"/>
  <c r="Q181" i="4"/>
  <c r="P181" i="4"/>
  <c r="O181" i="4"/>
  <c r="N181" i="4"/>
  <c r="M181" i="4"/>
  <c r="E181" i="4"/>
  <c r="F181" i="4" s="1"/>
  <c r="V180" i="4"/>
  <c r="Q180" i="4"/>
  <c r="P180" i="4"/>
  <c r="O180" i="4"/>
  <c r="N180" i="4"/>
  <c r="M180" i="4"/>
  <c r="E180" i="4"/>
  <c r="F180" i="4" s="1"/>
  <c r="G180" i="4" s="1"/>
  <c r="V179" i="4"/>
  <c r="Q179" i="4"/>
  <c r="P179" i="4"/>
  <c r="O179" i="4"/>
  <c r="N179" i="4"/>
  <c r="M179" i="4"/>
  <c r="E179" i="4"/>
  <c r="F179" i="4" s="1"/>
  <c r="V178" i="4"/>
  <c r="Q178" i="4"/>
  <c r="P178" i="4"/>
  <c r="O178" i="4"/>
  <c r="M178" i="4"/>
  <c r="N178" i="4" s="1"/>
  <c r="E178" i="4"/>
  <c r="F178" i="4" s="1"/>
  <c r="V177" i="4"/>
  <c r="Q177" i="4"/>
  <c r="P177" i="4"/>
  <c r="O177" i="4"/>
  <c r="M177" i="4"/>
  <c r="N177" i="4" s="1"/>
  <c r="E177" i="4"/>
  <c r="F177" i="4" s="1"/>
  <c r="G177" i="4" s="1"/>
  <c r="V176" i="4"/>
  <c r="Q176" i="4"/>
  <c r="P176" i="4"/>
  <c r="O176" i="4"/>
  <c r="M176" i="4"/>
  <c r="N176" i="4" s="1"/>
  <c r="E176" i="4"/>
  <c r="F176" i="4" s="1"/>
  <c r="V175" i="4"/>
  <c r="Q175" i="4"/>
  <c r="P175" i="4"/>
  <c r="O175" i="4"/>
  <c r="M175" i="4"/>
  <c r="N175" i="4" s="1"/>
  <c r="F175" i="4"/>
  <c r="G175" i="4" s="1"/>
  <c r="E175" i="4"/>
  <c r="V174" i="4"/>
  <c r="Q174" i="4"/>
  <c r="P174" i="4"/>
  <c r="O174" i="4"/>
  <c r="M174" i="4"/>
  <c r="N174" i="4" s="1"/>
  <c r="F174" i="4"/>
  <c r="G174" i="4" s="1"/>
  <c r="E174" i="4"/>
  <c r="V173" i="4"/>
  <c r="Q173" i="4"/>
  <c r="P173" i="4"/>
  <c r="O173" i="4"/>
  <c r="M173" i="4"/>
  <c r="N173" i="4" s="1"/>
  <c r="F173" i="4"/>
  <c r="G173" i="4" s="1"/>
  <c r="E173" i="4"/>
  <c r="V172" i="4"/>
  <c r="Q172" i="4"/>
  <c r="P172" i="4"/>
  <c r="O172" i="4"/>
  <c r="M172" i="4"/>
  <c r="N172" i="4" s="1"/>
  <c r="F172" i="4"/>
  <c r="E172" i="4"/>
  <c r="V171" i="4"/>
  <c r="Q171" i="4"/>
  <c r="P171" i="4"/>
  <c r="O171" i="4"/>
  <c r="N171" i="4"/>
  <c r="M171" i="4"/>
  <c r="E171" i="4"/>
  <c r="F171" i="4" s="1"/>
  <c r="V170" i="4"/>
  <c r="Q170" i="4"/>
  <c r="P170" i="4"/>
  <c r="O170" i="4"/>
  <c r="N170" i="4"/>
  <c r="M170" i="4"/>
  <c r="E170" i="4"/>
  <c r="F170" i="4" s="1"/>
  <c r="G170" i="4" s="1"/>
  <c r="V169" i="4"/>
  <c r="Q169" i="4"/>
  <c r="P169" i="4"/>
  <c r="O169" i="4"/>
  <c r="M169" i="4"/>
  <c r="N169" i="4" s="1"/>
  <c r="E169" i="4"/>
  <c r="F169" i="4" s="1"/>
  <c r="V168" i="4"/>
  <c r="Q168" i="4"/>
  <c r="P168" i="4"/>
  <c r="O168" i="4"/>
  <c r="M168" i="4"/>
  <c r="N168" i="4" s="1"/>
  <c r="E168" i="4"/>
  <c r="F168" i="4" s="1"/>
  <c r="G168" i="4" s="1"/>
  <c r="V167" i="4"/>
  <c r="Q167" i="4"/>
  <c r="P167" i="4"/>
  <c r="O167" i="4"/>
  <c r="M167" i="4"/>
  <c r="N167" i="4" s="1"/>
  <c r="E167" i="4"/>
  <c r="F167" i="4" s="1"/>
  <c r="G167" i="4" s="1"/>
  <c r="V166" i="4"/>
  <c r="Q166" i="4"/>
  <c r="P166" i="4"/>
  <c r="O166" i="4"/>
  <c r="M166" i="4"/>
  <c r="N166" i="4" s="1"/>
  <c r="E166" i="4"/>
  <c r="F166" i="4" s="1"/>
  <c r="V165" i="4"/>
  <c r="Q165" i="4"/>
  <c r="P165" i="4"/>
  <c r="O165" i="4"/>
  <c r="M165" i="4"/>
  <c r="N165" i="4" s="1"/>
  <c r="E165" i="4"/>
  <c r="F165" i="4" s="1"/>
  <c r="G165" i="4" s="1"/>
  <c r="V164" i="4"/>
  <c r="Q164" i="4"/>
  <c r="P164" i="4"/>
  <c r="O164" i="4"/>
  <c r="M164" i="4"/>
  <c r="N164" i="4" s="1"/>
  <c r="F164" i="4"/>
  <c r="E164" i="4"/>
  <c r="V163" i="4"/>
  <c r="Q163" i="4"/>
  <c r="P163" i="4"/>
  <c r="O163" i="4"/>
  <c r="M163" i="4"/>
  <c r="N163" i="4" s="1"/>
  <c r="E163" i="4"/>
  <c r="F163" i="4" s="1"/>
  <c r="G163" i="4" s="1"/>
  <c r="V162" i="4"/>
  <c r="Q162" i="4"/>
  <c r="P162" i="4"/>
  <c r="O162" i="4"/>
  <c r="M162" i="4"/>
  <c r="N162" i="4" s="1"/>
  <c r="E162" i="4"/>
  <c r="F162" i="4" s="1"/>
  <c r="G162" i="4" s="1"/>
  <c r="V161" i="4"/>
  <c r="Q161" i="4"/>
  <c r="P161" i="4"/>
  <c r="O161" i="4"/>
  <c r="M161" i="4"/>
  <c r="N161" i="4" s="1"/>
  <c r="F161" i="4"/>
  <c r="E161" i="4"/>
  <c r="V160" i="4"/>
  <c r="Q160" i="4"/>
  <c r="P160" i="4"/>
  <c r="O160" i="4"/>
  <c r="N160" i="4"/>
  <c r="M160" i="4"/>
  <c r="F160" i="4"/>
  <c r="G160" i="4" s="1"/>
  <c r="E160" i="4"/>
  <c r="V159" i="4"/>
  <c r="Q159" i="4"/>
  <c r="P159" i="4"/>
  <c r="O159" i="4"/>
  <c r="N159" i="4"/>
  <c r="M159" i="4"/>
  <c r="E159" i="4"/>
  <c r="F159" i="4" s="1"/>
  <c r="V158" i="4"/>
  <c r="Q158" i="4"/>
  <c r="P158" i="4"/>
  <c r="O158" i="4"/>
  <c r="N158" i="4"/>
  <c r="M158" i="4"/>
  <c r="F158" i="4"/>
  <c r="G158" i="4" s="1"/>
  <c r="E158" i="4"/>
  <c r="V157" i="4"/>
  <c r="Q157" i="4"/>
  <c r="P157" i="4"/>
  <c r="O157" i="4"/>
  <c r="N157" i="4"/>
  <c r="M157" i="4"/>
  <c r="E157" i="4"/>
  <c r="F157" i="4" s="1"/>
  <c r="G157" i="4" s="1"/>
  <c r="V156" i="4"/>
  <c r="Q156" i="4"/>
  <c r="P156" i="4"/>
  <c r="O156" i="4"/>
  <c r="M156" i="4"/>
  <c r="N156" i="4" s="1"/>
  <c r="F156" i="4"/>
  <c r="E156" i="4"/>
  <c r="V155" i="4"/>
  <c r="Q155" i="4"/>
  <c r="P155" i="4"/>
  <c r="O155" i="4"/>
  <c r="M155" i="4"/>
  <c r="N155" i="4" s="1"/>
  <c r="E155" i="4"/>
  <c r="F155" i="4" s="1"/>
  <c r="G155" i="4" s="1"/>
  <c r="Q154" i="4"/>
  <c r="P154" i="4"/>
  <c r="O154" i="4"/>
  <c r="N154" i="4"/>
  <c r="M154" i="4"/>
  <c r="E154" i="4"/>
  <c r="F154" i="4" s="1"/>
  <c r="Q153" i="4"/>
  <c r="P153" i="4"/>
  <c r="O153" i="4"/>
  <c r="N153" i="4"/>
  <c r="M153" i="4"/>
  <c r="E153" i="4"/>
  <c r="F153" i="4" s="1"/>
  <c r="G153" i="4" s="1"/>
  <c r="Q152" i="4"/>
  <c r="P152" i="4"/>
  <c r="O152" i="4"/>
  <c r="M152" i="4"/>
  <c r="N152" i="4" s="1"/>
  <c r="E152" i="4"/>
  <c r="F152" i="4" s="1"/>
  <c r="Q151" i="4"/>
  <c r="P151" i="4"/>
  <c r="O151" i="4"/>
  <c r="N151" i="4"/>
  <c r="M151" i="4"/>
  <c r="E151" i="4"/>
  <c r="F151" i="4" s="1"/>
  <c r="G151" i="4" s="1"/>
  <c r="Q150" i="4"/>
  <c r="P150" i="4"/>
  <c r="O150" i="4"/>
  <c r="N150" i="4"/>
  <c r="M150" i="4"/>
  <c r="F150" i="4"/>
  <c r="G150" i="4" s="1"/>
  <c r="E150" i="4"/>
  <c r="Q149" i="4"/>
  <c r="P149" i="4"/>
  <c r="O149" i="4"/>
  <c r="N149" i="4"/>
  <c r="M149" i="4"/>
  <c r="E149" i="4"/>
  <c r="F149" i="4" s="1"/>
  <c r="Q148" i="4"/>
  <c r="P148" i="4"/>
  <c r="O148" i="4"/>
  <c r="M148" i="4"/>
  <c r="N148" i="4" s="1"/>
  <c r="E148" i="4"/>
  <c r="F148" i="4" s="1"/>
  <c r="G148" i="4" s="1"/>
  <c r="Q147" i="4"/>
  <c r="P147" i="4"/>
  <c r="O147" i="4"/>
  <c r="N147" i="4"/>
  <c r="M147" i="4"/>
  <c r="F147" i="4"/>
  <c r="G147" i="4" s="1"/>
  <c r="E147" i="4"/>
  <c r="Q146" i="4"/>
  <c r="P146" i="4"/>
  <c r="O146" i="4"/>
  <c r="M146" i="4"/>
  <c r="N146" i="4" s="1"/>
  <c r="E146" i="4"/>
  <c r="F146" i="4" s="1"/>
  <c r="Q145" i="4"/>
  <c r="P145" i="4"/>
  <c r="O145" i="4"/>
  <c r="M145" i="4"/>
  <c r="N145" i="4" s="1"/>
  <c r="E145" i="4"/>
  <c r="F145" i="4" s="1"/>
  <c r="Q144" i="4"/>
  <c r="P144" i="4"/>
  <c r="O144" i="4"/>
  <c r="M144" i="4"/>
  <c r="N144" i="4" s="1"/>
  <c r="F144" i="4"/>
  <c r="G144" i="4" s="1"/>
  <c r="E144" i="4"/>
  <c r="Q143" i="4"/>
  <c r="P143" i="4"/>
  <c r="O143" i="4"/>
  <c r="N143" i="4"/>
  <c r="M143" i="4"/>
  <c r="E143" i="4"/>
  <c r="F143" i="4" s="1"/>
  <c r="Q142" i="4"/>
  <c r="P142" i="4"/>
  <c r="O142" i="4"/>
  <c r="N142" i="4"/>
  <c r="M142" i="4"/>
  <c r="E142" i="4"/>
  <c r="F142" i="4" s="1"/>
  <c r="G142" i="4" s="1"/>
  <c r="Q141" i="4"/>
  <c r="P141" i="4"/>
  <c r="O141" i="4"/>
  <c r="M141" i="4"/>
  <c r="N141" i="4" s="1"/>
  <c r="E141" i="4"/>
  <c r="F141" i="4" s="1"/>
  <c r="G141" i="4" s="1"/>
  <c r="Q140" i="4"/>
  <c r="P140" i="4"/>
  <c r="O140" i="4"/>
  <c r="N140" i="4"/>
  <c r="M140" i="4"/>
  <c r="E140" i="4"/>
  <c r="F140" i="4" s="1"/>
  <c r="Q139" i="4"/>
  <c r="P139" i="4"/>
  <c r="O139" i="4"/>
  <c r="M139" i="4"/>
  <c r="N139" i="4" s="1"/>
  <c r="E139" i="4"/>
  <c r="F139" i="4" s="1"/>
  <c r="Q138" i="4"/>
  <c r="P138" i="4"/>
  <c r="O138" i="4"/>
  <c r="N138" i="4"/>
  <c r="M138" i="4"/>
  <c r="E138" i="4"/>
  <c r="F138" i="4" s="1"/>
  <c r="Q137" i="4"/>
  <c r="P137" i="4"/>
  <c r="O137" i="4"/>
  <c r="M137" i="4"/>
  <c r="N137" i="4" s="1"/>
  <c r="E137" i="4"/>
  <c r="F137" i="4" s="1"/>
  <c r="G137" i="4" s="1"/>
  <c r="Q136" i="4"/>
  <c r="P136" i="4"/>
  <c r="O136" i="4"/>
  <c r="N136" i="4"/>
  <c r="M136" i="4"/>
  <c r="F136" i="4"/>
  <c r="E136" i="4"/>
  <c r="Q135" i="4"/>
  <c r="P135" i="4"/>
  <c r="O135" i="4"/>
  <c r="M135" i="4"/>
  <c r="N135" i="4" s="1"/>
  <c r="E135" i="4"/>
  <c r="F135" i="4" s="1"/>
  <c r="Q134" i="4"/>
  <c r="P134" i="4"/>
  <c r="O134" i="4"/>
  <c r="M134" i="4"/>
  <c r="N134" i="4" s="1"/>
  <c r="F134" i="4"/>
  <c r="G134" i="4" s="1"/>
  <c r="E134" i="4"/>
  <c r="Q133" i="4"/>
  <c r="P133" i="4"/>
  <c r="O133" i="4"/>
  <c r="M133" i="4"/>
  <c r="N133" i="4" s="1"/>
  <c r="E133" i="4"/>
  <c r="F133" i="4" s="1"/>
  <c r="Q132" i="4"/>
  <c r="P132" i="4"/>
  <c r="O132" i="4"/>
  <c r="N132" i="4"/>
  <c r="M132" i="4"/>
  <c r="E132" i="4"/>
  <c r="F132" i="4" s="1"/>
  <c r="Q131" i="4"/>
  <c r="P131" i="4"/>
  <c r="O131" i="4"/>
  <c r="M131" i="4"/>
  <c r="N131" i="4" s="1"/>
  <c r="E131" i="4"/>
  <c r="F131" i="4" s="1"/>
  <c r="G131" i="4" s="1"/>
  <c r="Q130" i="4"/>
  <c r="P130" i="4"/>
  <c r="O130" i="4"/>
  <c r="M130" i="4"/>
  <c r="N130" i="4" s="1"/>
  <c r="E130" i="4"/>
  <c r="F130" i="4" s="1"/>
  <c r="Q129" i="4"/>
  <c r="P129" i="4"/>
  <c r="O129" i="4"/>
  <c r="N129" i="4"/>
  <c r="M129" i="4"/>
  <c r="E129" i="4"/>
  <c r="F129" i="4" s="1"/>
  <c r="Q128" i="4"/>
  <c r="P128" i="4"/>
  <c r="O128" i="4"/>
  <c r="M128" i="4"/>
  <c r="N128" i="4" s="1"/>
  <c r="E128" i="4"/>
  <c r="F128" i="4" s="1"/>
  <c r="G128" i="4" s="1"/>
  <c r="Q127" i="4"/>
  <c r="P127" i="4"/>
  <c r="O127" i="4"/>
  <c r="N127" i="4"/>
  <c r="M127" i="4"/>
  <c r="E127" i="4"/>
  <c r="F127" i="4" s="1"/>
  <c r="Q126" i="4"/>
  <c r="P126" i="4"/>
  <c r="O126" i="4"/>
  <c r="M126" i="4"/>
  <c r="N126" i="4" s="1"/>
  <c r="E126" i="4"/>
  <c r="F126" i="4" s="1"/>
  <c r="Q125" i="4"/>
  <c r="P125" i="4"/>
  <c r="O125" i="4"/>
  <c r="M125" i="4"/>
  <c r="N125" i="4" s="1"/>
  <c r="E125" i="4"/>
  <c r="F125" i="4" s="1"/>
  <c r="G125" i="4" s="1"/>
  <c r="Q124" i="4"/>
  <c r="P124" i="4"/>
  <c r="O124" i="4"/>
  <c r="M124" i="4"/>
  <c r="N124" i="4" s="1"/>
  <c r="E124" i="4"/>
  <c r="F124" i="4" s="1"/>
  <c r="Q123" i="4"/>
  <c r="P123" i="4"/>
  <c r="O123" i="4"/>
  <c r="M123" i="4"/>
  <c r="N123" i="4" s="1"/>
  <c r="E123" i="4"/>
  <c r="F123" i="4" s="1"/>
  <c r="Q122" i="4"/>
  <c r="P122" i="4"/>
  <c r="O122" i="4"/>
  <c r="M122" i="4"/>
  <c r="N122" i="4" s="1"/>
  <c r="E122" i="4"/>
  <c r="F122" i="4" s="1"/>
  <c r="G122" i="4" s="1"/>
  <c r="Q121" i="4"/>
  <c r="P121" i="4"/>
  <c r="O121" i="4"/>
  <c r="N121" i="4"/>
  <c r="M121" i="4"/>
  <c r="E121" i="4"/>
  <c r="F121" i="4" s="1"/>
  <c r="Q120" i="4"/>
  <c r="P120" i="4"/>
  <c r="O120" i="4"/>
  <c r="M120" i="4"/>
  <c r="N120" i="4" s="1"/>
  <c r="E120" i="4"/>
  <c r="F120" i="4" s="1"/>
  <c r="G120" i="4" s="1"/>
  <c r="Q119" i="4"/>
  <c r="P119" i="4"/>
  <c r="O119" i="4"/>
  <c r="M119" i="4"/>
  <c r="N119" i="4" s="1"/>
  <c r="G119" i="4"/>
  <c r="E119" i="4"/>
  <c r="F119" i="4" s="1"/>
  <c r="Q118" i="4"/>
  <c r="P118" i="4"/>
  <c r="O118" i="4"/>
  <c r="N118" i="4"/>
  <c r="M118" i="4"/>
  <c r="E118" i="4"/>
  <c r="F118" i="4" s="1"/>
  <c r="Q117" i="4"/>
  <c r="P117" i="4"/>
  <c r="O117" i="4"/>
  <c r="M117" i="4"/>
  <c r="N117" i="4" s="1"/>
  <c r="E117" i="4"/>
  <c r="F117" i="4" s="1"/>
  <c r="Q116" i="4"/>
  <c r="O116" i="4"/>
  <c r="F116" i="4"/>
  <c r="E116" i="4"/>
  <c r="Q115" i="4"/>
  <c r="P115" i="4"/>
  <c r="O115" i="4"/>
  <c r="M115" i="4"/>
  <c r="N115" i="4" s="1"/>
  <c r="E115" i="4"/>
  <c r="F115" i="4" s="1"/>
  <c r="G115" i="4" s="1"/>
  <c r="Q114" i="4"/>
  <c r="P114" i="4"/>
  <c r="O114" i="4"/>
  <c r="N114" i="4"/>
  <c r="M114" i="4"/>
  <c r="E114" i="4"/>
  <c r="F114" i="4" s="1"/>
  <c r="G114" i="4" s="1"/>
  <c r="Q113" i="4"/>
  <c r="P113" i="4"/>
  <c r="O113" i="4"/>
  <c r="M113" i="4"/>
  <c r="N113" i="4" s="1"/>
  <c r="E113" i="4"/>
  <c r="F113" i="4" s="1"/>
  <c r="Q112" i="4"/>
  <c r="P112" i="4"/>
  <c r="O112" i="4"/>
  <c r="M112" i="4"/>
  <c r="N112" i="4" s="1"/>
  <c r="E112" i="4"/>
  <c r="F112" i="4" s="1"/>
  <c r="G112" i="4" s="1"/>
  <c r="Q111" i="4"/>
  <c r="P111" i="4"/>
  <c r="O111" i="4"/>
  <c r="M111" i="4"/>
  <c r="N111" i="4" s="1"/>
  <c r="G111" i="4"/>
  <c r="E111" i="4"/>
  <c r="F111" i="4" s="1"/>
  <c r="Q110" i="4"/>
  <c r="P110" i="4"/>
  <c r="O110" i="4"/>
  <c r="M110" i="4"/>
  <c r="N110" i="4" s="1"/>
  <c r="F110" i="4"/>
  <c r="E110" i="4"/>
  <c r="Q109" i="4"/>
  <c r="P109" i="4"/>
  <c r="O109" i="4"/>
  <c r="M109" i="4"/>
  <c r="N109" i="4" s="1"/>
  <c r="E109" i="4"/>
  <c r="F109" i="4" s="1"/>
  <c r="Q108" i="4"/>
  <c r="P108" i="4"/>
  <c r="O108" i="4"/>
  <c r="M108" i="4"/>
  <c r="N108" i="4" s="1"/>
  <c r="F108" i="4"/>
  <c r="G108" i="4" s="1"/>
  <c r="E108" i="4"/>
  <c r="Q107" i="4"/>
  <c r="P107" i="4"/>
  <c r="O107" i="4"/>
  <c r="M107" i="4"/>
  <c r="N107" i="4" s="1"/>
  <c r="F107" i="4"/>
  <c r="E107" i="4"/>
  <c r="Q106" i="4"/>
  <c r="P106" i="4"/>
  <c r="O106" i="4"/>
  <c r="M106" i="4"/>
  <c r="N106" i="4" s="1"/>
  <c r="E106" i="4"/>
  <c r="F106" i="4" s="1"/>
  <c r="Q105" i="4"/>
  <c r="P105" i="4"/>
  <c r="O105" i="4"/>
  <c r="N105" i="4"/>
  <c r="M105" i="4"/>
  <c r="F105" i="4"/>
  <c r="G105" i="4" s="1"/>
  <c r="E105" i="4"/>
  <c r="Q104" i="4"/>
  <c r="P104" i="4"/>
  <c r="O104" i="4"/>
  <c r="M104" i="4"/>
  <c r="N104" i="4" s="1"/>
  <c r="E104" i="4"/>
  <c r="F104" i="4" s="1"/>
  <c r="Q103" i="4"/>
  <c r="P103" i="4"/>
  <c r="O103" i="4"/>
  <c r="M103" i="4"/>
  <c r="N103" i="4" s="1"/>
  <c r="F103" i="4"/>
  <c r="G103" i="4" s="1"/>
  <c r="E103" i="4"/>
  <c r="Q102" i="4"/>
  <c r="P102" i="4"/>
  <c r="O102" i="4"/>
  <c r="M102" i="4"/>
  <c r="N102" i="4" s="1"/>
  <c r="E102" i="4"/>
  <c r="F102" i="4" s="1"/>
  <c r="Q101" i="4"/>
  <c r="P101" i="4"/>
  <c r="O101" i="4"/>
  <c r="M101" i="4"/>
  <c r="N101" i="4" s="1"/>
  <c r="E101" i="4"/>
  <c r="F101" i="4" s="1"/>
  <c r="G101" i="4" s="1"/>
  <c r="Q100" i="4"/>
  <c r="P100" i="4"/>
  <c r="O100" i="4"/>
  <c r="M100" i="4"/>
  <c r="N100" i="4" s="1"/>
  <c r="E100" i="4"/>
  <c r="F100" i="4" s="1"/>
  <c r="G100" i="4" s="1"/>
  <c r="Q99" i="4"/>
  <c r="P99" i="4"/>
  <c r="O99" i="4"/>
  <c r="M99" i="4"/>
  <c r="N99" i="4" s="1"/>
  <c r="F99" i="4"/>
  <c r="G99" i="4" s="1"/>
  <c r="E99" i="4"/>
  <c r="Q98" i="4"/>
  <c r="P98" i="4"/>
  <c r="O98" i="4"/>
  <c r="M98" i="4"/>
  <c r="N98" i="4" s="1"/>
  <c r="F98" i="4"/>
  <c r="E98" i="4"/>
  <c r="Q97" i="4"/>
  <c r="P97" i="4"/>
  <c r="O97" i="4"/>
  <c r="M97" i="4"/>
  <c r="N97" i="4" s="1"/>
  <c r="E97" i="4"/>
  <c r="F97" i="4" s="1"/>
  <c r="G97" i="4" s="1"/>
  <c r="Q96" i="4"/>
  <c r="P96" i="4"/>
  <c r="O96" i="4"/>
  <c r="M96" i="4"/>
  <c r="N96" i="4" s="1"/>
  <c r="F96" i="4"/>
  <c r="G96" i="4" s="1"/>
  <c r="E96" i="4"/>
  <c r="Q95" i="4"/>
  <c r="P95" i="4"/>
  <c r="O95" i="4"/>
  <c r="N95" i="4"/>
  <c r="M95" i="4"/>
  <c r="F95" i="4"/>
  <c r="G95" i="4" s="1"/>
  <c r="E95" i="4"/>
  <c r="Q94" i="4"/>
  <c r="P94" i="4"/>
  <c r="O94" i="4"/>
  <c r="M94" i="4"/>
  <c r="N94" i="4" s="1"/>
  <c r="F94" i="4"/>
  <c r="E94" i="4"/>
  <c r="Q93" i="4"/>
  <c r="P93" i="4"/>
  <c r="O93" i="4"/>
  <c r="M93" i="4"/>
  <c r="N93" i="4" s="1"/>
  <c r="E93" i="4"/>
  <c r="F93" i="4" s="1"/>
  <c r="Q92" i="4"/>
  <c r="P92" i="4"/>
  <c r="O92" i="4"/>
  <c r="N92" i="4"/>
  <c r="M92" i="4"/>
  <c r="E92" i="4"/>
  <c r="F92" i="4" s="1"/>
  <c r="G92" i="4" s="1"/>
  <c r="Q91" i="4"/>
  <c r="P91" i="4"/>
  <c r="O91" i="4"/>
  <c r="N91" i="4"/>
  <c r="M91" i="4"/>
  <c r="E91" i="4"/>
  <c r="F91" i="4" s="1"/>
  <c r="Q90" i="4"/>
  <c r="P90" i="4"/>
  <c r="O90" i="4"/>
  <c r="M90" i="4"/>
  <c r="N90" i="4" s="1"/>
  <c r="F90" i="4"/>
  <c r="G90" i="4" s="1"/>
  <c r="E90" i="4"/>
  <c r="Q89" i="4"/>
  <c r="P89" i="4"/>
  <c r="O89" i="4"/>
  <c r="N89" i="4"/>
  <c r="M89" i="4"/>
  <c r="F89" i="4"/>
  <c r="G89" i="4" s="1"/>
  <c r="E89" i="4"/>
  <c r="Q88" i="4"/>
  <c r="P88" i="4"/>
  <c r="O88" i="4"/>
  <c r="M88" i="4"/>
  <c r="N88" i="4" s="1"/>
  <c r="F88" i="4"/>
  <c r="E88" i="4"/>
  <c r="Q87" i="4"/>
  <c r="O87" i="4"/>
  <c r="E87" i="4"/>
  <c r="F87" i="4" s="1"/>
  <c r="Q86" i="4"/>
  <c r="O86" i="4"/>
  <c r="E86" i="4"/>
  <c r="F86" i="4" s="1"/>
  <c r="G86" i="4" s="1"/>
  <c r="Q85" i="4"/>
  <c r="O85" i="4"/>
  <c r="F85" i="4"/>
  <c r="G85" i="4" s="1"/>
  <c r="E85" i="4"/>
  <c r="Q84" i="4"/>
  <c r="O84" i="4"/>
  <c r="E84" i="4"/>
  <c r="F84" i="4" s="1"/>
  <c r="Q83" i="4"/>
  <c r="P83" i="4"/>
  <c r="O83" i="4"/>
  <c r="M83" i="4"/>
  <c r="N83" i="4" s="1"/>
  <c r="E83" i="4"/>
  <c r="F83" i="4" s="1"/>
  <c r="Q82" i="4"/>
  <c r="P82" i="4"/>
  <c r="O82" i="4"/>
  <c r="M82" i="4"/>
  <c r="N82" i="4" s="1"/>
  <c r="G82" i="4"/>
  <c r="F82" i="4"/>
  <c r="E82" i="4"/>
  <c r="Q81" i="4"/>
  <c r="P81" i="4"/>
  <c r="O81" i="4"/>
  <c r="M81" i="4"/>
  <c r="N81" i="4" s="1"/>
  <c r="F81" i="4"/>
  <c r="E81" i="4"/>
  <c r="Q80" i="4"/>
  <c r="P80" i="4"/>
  <c r="O80" i="4"/>
  <c r="M80" i="4"/>
  <c r="N80" i="4" s="1"/>
  <c r="E80" i="4"/>
  <c r="F80" i="4" s="1"/>
  <c r="Q79" i="4"/>
  <c r="P79" i="4"/>
  <c r="O79" i="4"/>
  <c r="N79" i="4"/>
  <c r="M79" i="4"/>
  <c r="E79" i="4"/>
  <c r="F79" i="4" s="1"/>
  <c r="G79" i="4" s="1"/>
  <c r="Q78" i="4"/>
  <c r="P78" i="4"/>
  <c r="O78" i="4"/>
  <c r="M78" i="4"/>
  <c r="N78" i="4" s="1"/>
  <c r="F78" i="4"/>
  <c r="G78" i="4" s="1"/>
  <c r="E78" i="4"/>
  <c r="Q77" i="4"/>
  <c r="P77" i="4"/>
  <c r="O77" i="4"/>
  <c r="M77" i="4"/>
  <c r="N77" i="4" s="1"/>
  <c r="E77" i="4"/>
  <c r="F77" i="4" s="1"/>
  <c r="Q76" i="4"/>
  <c r="P76" i="4"/>
  <c r="O76" i="4"/>
  <c r="N76" i="4"/>
  <c r="M76" i="4"/>
  <c r="F76" i="4"/>
  <c r="E76" i="4"/>
  <c r="Q75" i="4"/>
  <c r="P75" i="4"/>
  <c r="O75" i="4"/>
  <c r="M75" i="4"/>
  <c r="N75" i="4" s="1"/>
  <c r="E75" i="4"/>
  <c r="F75" i="4" s="1"/>
  <c r="Q74" i="4"/>
  <c r="O74" i="4"/>
  <c r="G74" i="4"/>
  <c r="F74" i="4"/>
  <c r="E74" i="4"/>
  <c r="Q73" i="4"/>
  <c r="O73" i="4"/>
  <c r="E73" i="4"/>
  <c r="F73" i="4" s="1"/>
  <c r="G73" i="4" s="1"/>
  <c r="Q72" i="4"/>
  <c r="O72" i="4"/>
  <c r="E72" i="4"/>
  <c r="F72" i="4" s="1"/>
  <c r="Q71" i="4"/>
  <c r="P71" i="4"/>
  <c r="O71" i="4"/>
  <c r="N71" i="4"/>
  <c r="M71" i="4"/>
  <c r="E71" i="4"/>
  <c r="F71" i="4" s="1"/>
  <c r="Q70" i="4"/>
  <c r="P70" i="4"/>
  <c r="O70" i="4"/>
  <c r="M70" i="4"/>
  <c r="N70" i="4" s="1"/>
  <c r="G70" i="4"/>
  <c r="E70" i="4"/>
  <c r="F70" i="4" s="1"/>
  <c r="Q69" i="4"/>
  <c r="P69" i="4"/>
  <c r="O69" i="4"/>
  <c r="N69" i="4"/>
  <c r="M69" i="4"/>
  <c r="E69" i="4"/>
  <c r="F69" i="4" s="1"/>
  <c r="Q68" i="4"/>
  <c r="O68" i="4"/>
  <c r="E68" i="4"/>
  <c r="F68" i="4" s="1"/>
  <c r="Q67" i="4"/>
  <c r="P67" i="4"/>
  <c r="O67" i="4"/>
  <c r="M67" i="4"/>
  <c r="N67" i="4" s="1"/>
  <c r="E67" i="4"/>
  <c r="F67" i="4" s="1"/>
  <c r="G67" i="4" s="1"/>
  <c r="Q66" i="4"/>
  <c r="P66" i="4"/>
  <c r="O66" i="4"/>
  <c r="M66" i="4"/>
  <c r="N66" i="4" s="1"/>
  <c r="E66" i="4"/>
  <c r="F66" i="4" s="1"/>
  <c r="Q65" i="4"/>
  <c r="P65" i="4"/>
  <c r="O65" i="4"/>
  <c r="M65" i="4"/>
  <c r="N65" i="4" s="1"/>
  <c r="F65" i="4"/>
  <c r="E65" i="4"/>
  <c r="Q64" i="4"/>
  <c r="P64" i="4"/>
  <c r="O64" i="4"/>
  <c r="N64" i="4"/>
  <c r="M64" i="4"/>
  <c r="E64" i="4"/>
  <c r="F64" i="4" s="1"/>
  <c r="G64" i="4" s="1"/>
  <c r="Q63" i="4"/>
  <c r="P63" i="4"/>
  <c r="O63" i="4"/>
  <c r="M63" i="4"/>
  <c r="N63" i="4" s="1"/>
  <c r="F63" i="4"/>
  <c r="E63" i="4"/>
  <c r="Q62" i="4"/>
  <c r="P62" i="4"/>
  <c r="O62" i="4"/>
  <c r="N62" i="4"/>
  <c r="M62" i="4"/>
  <c r="F62" i="4"/>
  <c r="G62" i="4" s="1"/>
  <c r="E62" i="4"/>
  <c r="Q61" i="4"/>
  <c r="P61" i="4"/>
  <c r="O61" i="4"/>
  <c r="M61" i="4"/>
  <c r="N61" i="4" s="1"/>
  <c r="E61" i="4"/>
  <c r="F61" i="4" s="1"/>
  <c r="G61" i="4" s="1"/>
  <c r="Q60" i="4"/>
  <c r="P60" i="4"/>
  <c r="O60" i="4"/>
  <c r="M60" i="4"/>
  <c r="N60" i="4" s="1"/>
  <c r="F60" i="4"/>
  <c r="E60" i="4"/>
  <c r="Q59" i="4"/>
  <c r="P59" i="4"/>
  <c r="O59" i="4"/>
  <c r="N59" i="4"/>
  <c r="M59" i="4"/>
  <c r="F59" i="4"/>
  <c r="G59" i="4" s="1"/>
  <c r="E59" i="4"/>
  <c r="Q58" i="4"/>
  <c r="P58" i="4"/>
  <c r="O58" i="4"/>
  <c r="M58" i="4"/>
  <c r="N58" i="4" s="1"/>
  <c r="G58" i="4"/>
  <c r="F58" i="4"/>
  <c r="E58" i="4"/>
  <c r="Q57" i="4"/>
  <c r="P57" i="4"/>
  <c r="O57" i="4"/>
  <c r="M57" i="4"/>
  <c r="N57" i="4" s="1"/>
  <c r="E57" i="4"/>
  <c r="F57" i="4" s="1"/>
  <c r="Q56" i="4"/>
  <c r="P56" i="4"/>
  <c r="O56" i="4"/>
  <c r="M56" i="4"/>
  <c r="N56" i="4" s="1"/>
  <c r="E56" i="4"/>
  <c r="F56" i="4" s="1"/>
  <c r="G56" i="4" s="1"/>
  <c r="Q55" i="4"/>
  <c r="P55" i="4"/>
  <c r="O55" i="4"/>
  <c r="N55" i="4"/>
  <c r="M55" i="4"/>
  <c r="E55" i="4"/>
  <c r="F55" i="4" s="1"/>
  <c r="Q54" i="4"/>
  <c r="P54" i="4"/>
  <c r="O54" i="4"/>
  <c r="M54" i="4"/>
  <c r="N54" i="4" s="1"/>
  <c r="E54" i="4"/>
  <c r="F54" i="4" s="1"/>
  <c r="G54" i="4" s="1"/>
  <c r="Q53" i="4"/>
  <c r="P53" i="4"/>
  <c r="O53" i="4"/>
  <c r="M53" i="4"/>
  <c r="N53" i="4" s="1"/>
  <c r="E53" i="4"/>
  <c r="F53" i="4" s="1"/>
  <c r="G53" i="4" s="1"/>
  <c r="Q52" i="4"/>
  <c r="P52" i="4"/>
  <c r="O52" i="4"/>
  <c r="M52" i="4"/>
  <c r="N52" i="4" s="1"/>
  <c r="F52" i="4"/>
  <c r="E52" i="4"/>
  <c r="Q51" i="4"/>
  <c r="P51" i="4"/>
  <c r="O51" i="4"/>
  <c r="N51" i="4"/>
  <c r="M51" i="4"/>
  <c r="E51" i="4"/>
  <c r="F51" i="4" s="1"/>
  <c r="G51" i="4" s="1"/>
  <c r="Q50" i="4"/>
  <c r="P50" i="4"/>
  <c r="O50" i="4"/>
  <c r="M50" i="4"/>
  <c r="N50" i="4" s="1"/>
  <c r="E50" i="4"/>
  <c r="F50" i="4" s="1"/>
  <c r="G50" i="4" s="1"/>
  <c r="Q49" i="4"/>
  <c r="P49" i="4"/>
  <c r="O49" i="4"/>
  <c r="M49" i="4"/>
  <c r="N49" i="4" s="1"/>
  <c r="F49" i="4"/>
  <c r="G49" i="4" s="1"/>
  <c r="E49" i="4"/>
  <c r="Q48" i="4"/>
  <c r="P48" i="4"/>
  <c r="O48" i="4"/>
  <c r="M48" i="4"/>
  <c r="N48" i="4" s="1"/>
  <c r="F48" i="4"/>
  <c r="G48" i="4" s="1"/>
  <c r="E48" i="4"/>
  <c r="Q47" i="4"/>
  <c r="P47" i="4"/>
  <c r="O47" i="4"/>
  <c r="M47" i="4"/>
  <c r="N47" i="4" s="1"/>
  <c r="F47" i="4"/>
  <c r="E47" i="4"/>
  <c r="Q46" i="4"/>
  <c r="P46" i="4"/>
  <c r="O46" i="4"/>
  <c r="M46" i="4"/>
  <c r="N46" i="4" s="1"/>
  <c r="E46" i="4"/>
  <c r="F46" i="4" s="1"/>
  <c r="Q45" i="4"/>
  <c r="P45" i="4"/>
  <c r="O45" i="4"/>
  <c r="M45" i="4"/>
  <c r="N45" i="4" s="1"/>
  <c r="E45" i="4"/>
  <c r="F45" i="4" s="1"/>
  <c r="G45" i="4" s="1"/>
  <c r="Q44" i="4"/>
  <c r="P44" i="4"/>
  <c r="O44" i="4"/>
  <c r="M44" i="4"/>
  <c r="N44" i="4" s="1"/>
  <c r="E44" i="4"/>
  <c r="F44" i="4" s="1"/>
  <c r="Q43" i="4"/>
  <c r="P43" i="4"/>
  <c r="O43" i="4"/>
  <c r="M43" i="4"/>
  <c r="N43" i="4" s="1"/>
  <c r="E43" i="4"/>
  <c r="F43" i="4" s="1"/>
  <c r="Q42" i="4"/>
  <c r="P42" i="4"/>
  <c r="O42" i="4"/>
  <c r="M42" i="4"/>
  <c r="N42" i="4" s="1"/>
  <c r="E42" i="4"/>
  <c r="F42" i="4" s="1"/>
  <c r="G42" i="4" s="1"/>
  <c r="Q41" i="4"/>
  <c r="P41" i="4"/>
  <c r="O41" i="4"/>
  <c r="M41" i="4"/>
  <c r="N41" i="4" s="1"/>
  <c r="F41" i="4"/>
  <c r="E41" i="4"/>
  <c r="Q40" i="4"/>
  <c r="P40" i="4"/>
  <c r="O40" i="4"/>
  <c r="M40" i="4"/>
  <c r="N40" i="4" s="1"/>
  <c r="E40" i="4"/>
  <c r="F40" i="4" s="1"/>
  <c r="Q39" i="4"/>
  <c r="P39" i="4"/>
  <c r="O39" i="4"/>
  <c r="M39" i="4"/>
  <c r="N39" i="4" s="1"/>
  <c r="E39" i="4"/>
  <c r="F39" i="4" s="1"/>
  <c r="G39" i="4" s="1"/>
  <c r="Q38" i="4"/>
  <c r="P38" i="4"/>
  <c r="O38" i="4"/>
  <c r="M38" i="4"/>
  <c r="N38" i="4" s="1"/>
  <c r="F38" i="4"/>
  <c r="E38" i="4"/>
  <c r="Q37" i="4"/>
  <c r="P37" i="4"/>
  <c r="O37" i="4"/>
  <c r="M37" i="4"/>
  <c r="N37" i="4" s="1"/>
  <c r="E37" i="4"/>
  <c r="F37" i="4" s="1"/>
  <c r="Q36" i="4"/>
  <c r="P36" i="4"/>
  <c r="O36" i="4"/>
  <c r="M36" i="4"/>
  <c r="N36" i="4" s="1"/>
  <c r="G36" i="4"/>
  <c r="F36" i="4"/>
  <c r="E36" i="4"/>
  <c r="Q35" i="4"/>
  <c r="P35" i="4"/>
  <c r="O35" i="4"/>
  <c r="M35" i="4"/>
  <c r="N35" i="4" s="1"/>
  <c r="E35" i="4"/>
  <c r="F35" i="4" s="1"/>
  <c r="Q34" i="4"/>
  <c r="P34" i="4"/>
  <c r="O34" i="4"/>
  <c r="M34" i="4"/>
  <c r="N34" i="4" s="1"/>
  <c r="E34" i="4"/>
  <c r="F34" i="4" s="1"/>
  <c r="G34" i="4" s="1"/>
  <c r="Q33" i="4"/>
  <c r="P33" i="4"/>
  <c r="O33" i="4"/>
  <c r="M33" i="4"/>
  <c r="N33" i="4" s="1"/>
  <c r="E33" i="4"/>
  <c r="F33" i="4" s="1"/>
  <c r="Q32" i="4"/>
  <c r="P32" i="4"/>
  <c r="O32" i="4"/>
  <c r="M32" i="4"/>
  <c r="N32" i="4" s="1"/>
  <c r="E32" i="4"/>
  <c r="F32" i="4" s="1"/>
  <c r="G32" i="4" s="1"/>
  <c r="Q31" i="4"/>
  <c r="P31" i="4"/>
  <c r="O31" i="4"/>
  <c r="N31" i="4"/>
  <c r="M31" i="4"/>
  <c r="F31" i="4"/>
  <c r="G31" i="4" s="1"/>
  <c r="E31" i="4"/>
  <c r="Q30" i="4"/>
  <c r="P30" i="4"/>
  <c r="O30" i="4"/>
  <c r="M30" i="4"/>
  <c r="N30" i="4" s="1"/>
  <c r="F30" i="4"/>
  <c r="E30" i="4"/>
  <c r="Q29" i="4"/>
  <c r="P29" i="4"/>
  <c r="O29" i="4"/>
  <c r="N29" i="4"/>
  <c r="M29" i="4"/>
  <c r="E29" i="4"/>
  <c r="F29" i="4" s="1"/>
  <c r="G29" i="4" s="1"/>
  <c r="Q28" i="4"/>
  <c r="P28" i="4"/>
  <c r="O28" i="4"/>
  <c r="N28" i="4"/>
  <c r="M28" i="4"/>
  <c r="F28" i="4"/>
  <c r="G28" i="4" s="1"/>
  <c r="E28" i="4"/>
  <c r="Q27" i="4"/>
  <c r="P27" i="4"/>
  <c r="O27" i="4"/>
  <c r="M27" i="4"/>
  <c r="N27" i="4" s="1"/>
  <c r="F27" i="4"/>
  <c r="G27" i="4" s="1"/>
  <c r="E27" i="4"/>
  <c r="Q26" i="4"/>
  <c r="P26" i="4"/>
  <c r="O26" i="4"/>
  <c r="M26" i="4"/>
  <c r="N26" i="4" s="1"/>
  <c r="G26" i="4"/>
  <c r="E26" i="4"/>
  <c r="F26" i="4" s="1"/>
  <c r="Q25" i="4"/>
  <c r="P25" i="4"/>
  <c r="O25" i="4"/>
  <c r="N25" i="4"/>
  <c r="M25" i="4"/>
  <c r="F25" i="4"/>
  <c r="E25" i="4"/>
  <c r="Q24" i="4"/>
  <c r="P24" i="4"/>
  <c r="O24" i="4"/>
  <c r="M24" i="4"/>
  <c r="N24" i="4" s="1"/>
  <c r="E24" i="4"/>
  <c r="F24" i="4" s="1"/>
  <c r="G24" i="4" s="1"/>
  <c r="Q23" i="4"/>
  <c r="P23" i="4"/>
  <c r="O23" i="4"/>
  <c r="M23" i="4"/>
  <c r="N23" i="4" s="1"/>
  <c r="F23" i="4"/>
  <c r="G23" i="4" s="1"/>
  <c r="E23" i="4"/>
  <c r="Q22" i="4"/>
  <c r="P22" i="4"/>
  <c r="O22" i="4"/>
  <c r="M22" i="4"/>
  <c r="N22" i="4" s="1"/>
  <c r="E22" i="4"/>
  <c r="F22" i="4" s="1"/>
  <c r="Q21" i="4"/>
  <c r="P21" i="4"/>
  <c r="O21" i="4"/>
  <c r="M21" i="4"/>
  <c r="N21" i="4" s="1"/>
  <c r="E21" i="4"/>
  <c r="F21" i="4" s="1"/>
  <c r="G21" i="4" s="1"/>
  <c r="Q20" i="4"/>
  <c r="P20" i="4"/>
  <c r="O20" i="4"/>
  <c r="N20" i="4"/>
  <c r="M20" i="4"/>
  <c r="F20" i="4"/>
  <c r="G20" i="4" s="1"/>
  <c r="E20" i="4"/>
  <c r="Q19" i="4"/>
  <c r="P19" i="4"/>
  <c r="O19" i="4"/>
  <c r="M19" i="4"/>
  <c r="N19" i="4" s="1"/>
  <c r="F19" i="4"/>
  <c r="E19" i="4"/>
  <c r="Q18" i="4"/>
  <c r="P18" i="4"/>
  <c r="O18" i="4"/>
  <c r="M18" i="4"/>
  <c r="N18" i="4" s="1"/>
  <c r="E18" i="4"/>
  <c r="F18" i="4" s="1"/>
  <c r="Q17" i="4"/>
  <c r="P17" i="4"/>
  <c r="O17" i="4"/>
  <c r="M17" i="4"/>
  <c r="N17" i="4" s="1"/>
  <c r="E17" i="4"/>
  <c r="F17" i="4" s="1"/>
  <c r="G17" i="4" s="1"/>
  <c r="Q16" i="4"/>
  <c r="P16" i="4"/>
  <c r="O16" i="4"/>
  <c r="M16" i="4"/>
  <c r="N16" i="4" s="1"/>
  <c r="F16" i="4"/>
  <c r="E16" i="4"/>
  <c r="Q15" i="4"/>
  <c r="P15" i="4"/>
  <c r="O15" i="4"/>
  <c r="M15" i="4"/>
  <c r="N15" i="4" s="1"/>
  <c r="E15" i="4"/>
  <c r="F15" i="4" s="1"/>
  <c r="G15" i="4" s="1"/>
  <c r="Q14" i="4"/>
  <c r="P14" i="4"/>
  <c r="O14" i="4"/>
  <c r="M14" i="4"/>
  <c r="N14" i="4" s="1"/>
  <c r="G14" i="4"/>
  <c r="F14" i="4"/>
  <c r="E14" i="4"/>
  <c r="Q13" i="4"/>
  <c r="P13" i="4"/>
  <c r="O13" i="4"/>
  <c r="M13" i="4"/>
  <c r="N13" i="4" s="1"/>
  <c r="E13" i="4"/>
  <c r="F13" i="4" s="1"/>
  <c r="Q12" i="4"/>
  <c r="P12" i="4"/>
  <c r="O12" i="4"/>
  <c r="N12" i="4"/>
  <c r="M12" i="4"/>
  <c r="E12" i="4"/>
  <c r="F12" i="4" s="1"/>
  <c r="Q11" i="4"/>
  <c r="P11" i="4"/>
  <c r="O11" i="4"/>
  <c r="M11" i="4"/>
  <c r="N11" i="4" s="1"/>
  <c r="E11" i="4"/>
  <c r="F11" i="4" s="1"/>
  <c r="G11" i="4" s="1"/>
  <c r="Q10" i="4"/>
  <c r="P10" i="4"/>
  <c r="O10" i="4"/>
  <c r="M10" i="4"/>
  <c r="N10" i="4" s="1"/>
  <c r="E10" i="4"/>
  <c r="F10" i="4" s="1"/>
  <c r="Q9" i="4"/>
  <c r="P9" i="4"/>
  <c r="O9" i="4"/>
  <c r="M9" i="4"/>
  <c r="N9" i="4" s="1"/>
  <c r="E9" i="4"/>
  <c r="F9" i="4" s="1"/>
  <c r="G9" i="4" s="1"/>
  <c r="Q8" i="4"/>
  <c r="P8" i="4"/>
  <c r="O8" i="4"/>
  <c r="M8" i="4"/>
  <c r="N8" i="4" s="1"/>
  <c r="F8" i="4"/>
  <c r="E8" i="4"/>
  <c r="Q7" i="4"/>
  <c r="P7" i="4"/>
  <c r="O7" i="4"/>
  <c r="N7" i="4"/>
  <c r="M7" i="4"/>
  <c r="E7" i="4"/>
  <c r="F7" i="4" s="1"/>
  <c r="G7" i="4" s="1"/>
  <c r="Q6" i="4"/>
  <c r="P6" i="4"/>
  <c r="O6" i="4"/>
  <c r="M6" i="4"/>
  <c r="N6" i="4" s="1"/>
  <c r="E6" i="4"/>
  <c r="F6" i="4" s="1"/>
  <c r="G6" i="4" s="1"/>
  <c r="Q5" i="4"/>
  <c r="O5" i="4"/>
  <c r="M5" i="4"/>
  <c r="E5" i="4"/>
  <c r="Q4" i="4"/>
  <c r="P4" i="4"/>
  <c r="O4" i="4"/>
  <c r="M4" i="4"/>
  <c r="N4" i="4" s="1"/>
  <c r="F4" i="4"/>
  <c r="G5" i="4" s="1"/>
  <c r="E4" i="4"/>
  <c r="Q3" i="4"/>
  <c r="P3" i="4"/>
  <c r="O3" i="4"/>
  <c r="M3" i="4"/>
  <c r="N3" i="4" s="1"/>
  <c r="E3" i="4"/>
  <c r="F3" i="4" s="1"/>
  <c r="N19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X100" i="2" a="1"/>
  <c r="X119" i="2" s="1"/>
  <c r="Z119" i="2" s="1"/>
  <c r="Q113" i="2"/>
  <c r="Q111" i="2"/>
  <c r="P111" i="2"/>
  <c r="R111" i="2" s="1"/>
  <c r="Q110" i="2"/>
  <c r="P100" i="2" a="1"/>
  <c r="Q115" i="2" s="1"/>
  <c r="I100" i="2" a="1"/>
  <c r="I121" i="2" s="1"/>
  <c r="K121" i="2" s="1"/>
  <c r="E100" i="2" a="1"/>
  <c r="F113" i="2" s="1"/>
  <c r="H113" i="2" s="1"/>
  <c r="A100" i="2" a="1"/>
  <c r="B124" i="2" s="1"/>
  <c r="A85" i="2"/>
  <c r="D85" i="2" s="1"/>
  <c r="B84" i="2"/>
  <c r="E84" i="2" s="1"/>
  <c r="A84" i="2"/>
  <c r="D84" i="2" s="1"/>
  <c r="A83" i="2"/>
  <c r="D83" i="2" s="1"/>
  <c r="A82" i="2"/>
  <c r="D82" i="2" s="1"/>
  <c r="D81" i="2"/>
  <c r="A81" i="2"/>
  <c r="A80" i="2"/>
  <c r="D80" i="2" s="1"/>
  <c r="A79" i="2"/>
  <c r="D79" i="2" s="1"/>
  <c r="A78" i="2"/>
  <c r="D78" i="2" s="1"/>
  <c r="D77" i="2"/>
  <c r="A77" i="2"/>
  <c r="A76" i="2"/>
  <c r="D76" i="2" s="1"/>
  <c r="A75" i="2"/>
  <c r="D75" i="2" s="1"/>
  <c r="A74" i="2"/>
  <c r="D74" i="2" s="1"/>
  <c r="A67" i="2"/>
  <c r="A68" i="2" s="1"/>
  <c r="A69" i="2" s="1"/>
  <c r="A64" i="2"/>
  <c r="C146" i="2" s="1"/>
  <c r="D146" i="2" s="1"/>
  <c r="A62" i="2"/>
  <c r="A61" i="2"/>
  <c r="A63" i="2" s="1"/>
  <c r="B78" i="2" s="1"/>
  <c r="E78" i="2" s="1"/>
  <c r="A60" i="2"/>
  <c r="F59" i="2"/>
  <c r="F55" i="2"/>
  <c r="F56" i="2" s="1"/>
  <c r="F54" i="2"/>
  <c r="F53" i="2"/>
  <c r="F52" i="2"/>
  <c r="G52" i="2" s="1"/>
  <c r="F51" i="2"/>
  <c r="G51" i="2" s="1"/>
  <c r="F50" i="2"/>
  <c r="F49" i="2"/>
  <c r="F48" i="2"/>
  <c r="F47" i="2"/>
  <c r="F46" i="2"/>
  <c r="P45" i="2"/>
  <c r="F45" i="2"/>
  <c r="F44" i="2"/>
  <c r="J39" i="2"/>
  <c r="F39" i="2"/>
  <c r="P56" i="2" s="1"/>
  <c r="F38" i="2"/>
  <c r="X37" i="2"/>
  <c r="F37" i="2"/>
  <c r="P53" i="2" s="1"/>
  <c r="AA37" i="2"/>
  <c r="X36" i="2"/>
  <c r="F36" i="2"/>
  <c r="P52" i="2" s="1"/>
  <c r="E36" i="2"/>
  <c r="AB35" i="2"/>
  <c r="X35" i="2"/>
  <c r="F35" i="2"/>
  <c r="AB34" i="2"/>
  <c r="X34" i="2"/>
  <c r="F34" i="2"/>
  <c r="P49" i="2" s="1"/>
  <c r="AB33" i="2"/>
  <c r="X33" i="2"/>
  <c r="F33" i="2"/>
  <c r="P48" i="2" s="1"/>
  <c r="X32" i="2"/>
  <c r="F32" i="2"/>
  <c r="P47" i="2" s="1"/>
  <c r="AB31" i="2"/>
  <c r="X31" i="2"/>
  <c r="F31" i="2"/>
  <c r="P44" i="2" s="1"/>
  <c r="E31" i="2"/>
  <c r="F23" i="2"/>
  <c r="F22" i="2"/>
  <c r="F21" i="2"/>
  <c r="F20" i="2"/>
  <c r="G20" i="2" s="1"/>
  <c r="B20" i="2"/>
  <c r="H20" i="2" s="1"/>
  <c r="F19" i="2"/>
  <c r="F18" i="2"/>
  <c r="G18" i="2" s="1"/>
  <c r="F17" i="2"/>
  <c r="F16" i="2"/>
  <c r="X16" i="2" s="1"/>
  <c r="V10" i="2"/>
  <c r="F10" i="2"/>
  <c r="AB38" i="2" s="1"/>
  <c r="F9" i="2"/>
  <c r="AB37" i="2" s="1"/>
  <c r="E9" i="2"/>
  <c r="B9" i="2"/>
  <c r="F8" i="2"/>
  <c r="E8" i="2"/>
  <c r="B8" i="2"/>
  <c r="H8" i="2" s="1"/>
  <c r="Z7" i="2"/>
  <c r="G7" i="2"/>
  <c r="F7" i="2"/>
  <c r="E7" i="2"/>
  <c r="B7" i="2"/>
  <c r="F6" i="2"/>
  <c r="J6" i="2"/>
  <c r="B6" i="2"/>
  <c r="F5" i="2"/>
  <c r="E5" i="2"/>
  <c r="B5" i="2"/>
  <c r="H5" i="2" s="1"/>
  <c r="F4" i="2"/>
  <c r="AB32" i="2" s="1"/>
  <c r="B4" i="2"/>
  <c r="F3" i="2"/>
  <c r="X3" i="2" s="1"/>
  <c r="E3" i="2"/>
  <c r="B3" i="2"/>
  <c r="B10" i="2" s="1"/>
  <c r="L1" i="2"/>
  <c r="I50" i="1"/>
  <c r="E50" i="1"/>
  <c r="I49" i="1"/>
  <c r="E49" i="1"/>
  <c r="I48" i="1"/>
  <c r="E48" i="1"/>
  <c r="I47" i="1"/>
  <c r="E47" i="1"/>
  <c r="B47" i="1"/>
  <c r="I46" i="1"/>
  <c r="E46" i="1"/>
  <c r="I45" i="1"/>
  <c r="E45" i="1"/>
  <c r="I44" i="1"/>
  <c r="E44" i="1"/>
  <c r="B44" i="1"/>
  <c r="I43" i="1"/>
  <c r="E43" i="1"/>
  <c r="I42" i="1"/>
  <c r="J42" i="1" s="1"/>
  <c r="H42" i="1"/>
  <c r="F42" i="1"/>
  <c r="E42" i="1"/>
  <c r="D42" i="1"/>
  <c r="B42" i="1"/>
  <c r="J41" i="1"/>
  <c r="I41" i="1"/>
  <c r="H41" i="1"/>
  <c r="F41" i="1"/>
  <c r="E41" i="1"/>
  <c r="D41" i="1" s="1"/>
  <c r="B41" i="1"/>
  <c r="I40" i="1"/>
  <c r="F40" i="1"/>
  <c r="E40" i="1"/>
  <c r="D40" i="1"/>
  <c r="B40" i="1"/>
  <c r="I39" i="1"/>
  <c r="E39" i="1"/>
  <c r="D39" i="1"/>
  <c r="I38" i="1"/>
  <c r="E38" i="1"/>
  <c r="B38" i="1"/>
  <c r="I37" i="1"/>
  <c r="E37" i="1"/>
  <c r="B37" i="1"/>
  <c r="I36" i="1"/>
  <c r="E36" i="1"/>
  <c r="B36" i="1"/>
  <c r="I35" i="1"/>
  <c r="E35" i="1"/>
  <c r="B35" i="1"/>
  <c r="W34" i="1"/>
  <c r="I34" i="1"/>
  <c r="E34" i="1"/>
  <c r="B34" i="1"/>
  <c r="I33" i="1"/>
  <c r="E33" i="1"/>
  <c r="B33" i="1"/>
  <c r="W32" i="1"/>
  <c r="I32" i="1"/>
  <c r="E32" i="1"/>
  <c r="B32" i="1"/>
  <c r="W31" i="1"/>
  <c r="I31" i="1"/>
  <c r="E31" i="1"/>
  <c r="I30" i="1"/>
  <c r="E30" i="1"/>
  <c r="I29" i="1"/>
  <c r="E29" i="1"/>
  <c r="B29" i="1"/>
  <c r="I28" i="1"/>
  <c r="E28" i="1"/>
  <c r="W27" i="1"/>
  <c r="I27" i="1"/>
  <c r="E27" i="1"/>
  <c r="W26" i="1"/>
  <c r="I26" i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7" i="1"/>
  <c r="E17" i="1"/>
  <c r="B17" i="1"/>
  <c r="I16" i="1"/>
  <c r="E16" i="1"/>
  <c r="B16" i="1"/>
  <c r="I15" i="1"/>
  <c r="E15" i="1"/>
  <c r="B15" i="1"/>
  <c r="I14" i="1"/>
  <c r="E14" i="1"/>
  <c r="B14" i="1"/>
  <c r="I13" i="1"/>
  <c r="E13" i="1"/>
  <c r="B13" i="1"/>
  <c r="I12" i="1"/>
  <c r="E12" i="1"/>
  <c r="B12" i="1"/>
  <c r="I11" i="1"/>
  <c r="E11" i="1"/>
  <c r="B11" i="1"/>
  <c r="I10" i="1"/>
  <c r="E10" i="1"/>
  <c r="I9" i="1"/>
  <c r="E9" i="1"/>
  <c r="I8" i="1"/>
  <c r="E8" i="1"/>
  <c r="I7" i="1"/>
  <c r="E7" i="1"/>
  <c r="I6" i="1"/>
  <c r="E6" i="1"/>
  <c r="I5" i="1"/>
  <c r="E5" i="1"/>
  <c r="B5" i="1"/>
  <c r="I4" i="1"/>
  <c r="E4" i="1"/>
  <c r="B4" i="1"/>
  <c r="AB658" i="4" l="1"/>
  <c r="M658" i="4"/>
  <c r="N658" i="4" s="1"/>
  <c r="AC643" i="4"/>
  <c r="N985" i="4"/>
  <c r="AA651" i="4"/>
  <c r="I650" i="4"/>
  <c r="AA652" i="4"/>
  <c r="AA658" i="4"/>
  <c r="W1004" i="4"/>
  <c r="AA656" i="4"/>
  <c r="AA655" i="4"/>
  <c r="Q669" i="4"/>
  <c r="J37" i="2"/>
  <c r="Q668" i="4"/>
  <c r="AA667" i="4"/>
  <c r="F605" i="4"/>
  <c r="M28" i="1" s="1"/>
  <c r="L28" i="1"/>
  <c r="O602" i="4"/>
  <c r="B31" i="1"/>
  <c r="O449" i="4"/>
  <c r="O511" i="4"/>
  <c r="O557" i="4"/>
  <c r="V604" i="4"/>
  <c r="V435" i="4"/>
  <c r="O437" i="4"/>
  <c r="V447" i="4"/>
  <c r="V513" i="4"/>
  <c r="O534" i="4"/>
  <c r="E625" i="4"/>
  <c r="E656" i="4"/>
  <c r="F656" i="4" s="1"/>
  <c r="E511" i="4"/>
  <c r="F511" i="4" s="1"/>
  <c r="O402" i="4"/>
  <c r="O451" i="4"/>
  <c r="O457" i="4"/>
  <c r="O492" i="4"/>
  <c r="E534" i="4"/>
  <c r="F534" i="4" s="1"/>
  <c r="G535" i="4" s="1"/>
  <c r="E379" i="4"/>
  <c r="F379" i="4" s="1"/>
  <c r="E427" i="4"/>
  <c r="F427" i="4" s="1"/>
  <c r="E503" i="4"/>
  <c r="F503" i="4" s="1"/>
  <c r="V627" i="4"/>
  <c r="E652" i="4"/>
  <c r="F652" i="4" s="1"/>
  <c r="E627" i="4"/>
  <c r="F627" i="4" s="1"/>
  <c r="E541" i="4"/>
  <c r="F541" i="4" s="1"/>
  <c r="O392" i="4"/>
  <c r="E491" i="4"/>
  <c r="O564" i="4"/>
  <c r="O386" i="4"/>
  <c r="V379" i="4"/>
  <c r="V427" i="4"/>
  <c r="O497" i="4"/>
  <c r="V533" i="4"/>
  <c r="O541" i="4"/>
  <c r="O585" i="4"/>
  <c r="G385" i="4"/>
  <c r="O537" i="4"/>
  <c r="O429" i="4"/>
  <c r="V401" i="4"/>
  <c r="X401" i="4" s="1"/>
  <c r="V481" i="4"/>
  <c r="E512" i="4"/>
  <c r="F512" i="4" s="1"/>
  <c r="V556" i="4"/>
  <c r="V605" i="4"/>
  <c r="O613" i="4"/>
  <c r="V512" i="4"/>
  <c r="E401" i="4"/>
  <c r="F401" i="4" s="1"/>
  <c r="V446" i="4"/>
  <c r="B23" i="1"/>
  <c r="B46" i="1"/>
  <c r="V558" i="4"/>
  <c r="V648" i="4"/>
  <c r="L14" i="1"/>
  <c r="F591" i="4"/>
  <c r="M14" i="1" s="1"/>
  <c r="F622" i="4"/>
  <c r="M46" i="1" s="1"/>
  <c r="L46" i="1"/>
  <c r="F641" i="4"/>
  <c r="E373" i="4"/>
  <c r="F373" i="4" s="1"/>
  <c r="O384" i="4"/>
  <c r="O389" i="4"/>
  <c r="E394" i="4"/>
  <c r="F394" i="4" s="1"/>
  <c r="G395" i="4" s="1"/>
  <c r="O409" i="4"/>
  <c r="V434" i="4"/>
  <c r="W482" i="4" s="1"/>
  <c r="F457" i="4"/>
  <c r="O520" i="4"/>
  <c r="E533" i="4"/>
  <c r="F533" i="4" s="1"/>
  <c r="O575" i="4"/>
  <c r="O580" i="4"/>
  <c r="O591" i="4"/>
  <c r="O595" i="4"/>
  <c r="E619" i="4"/>
  <c r="V620" i="4"/>
  <c r="V622" i="4"/>
  <c r="AL626" i="4"/>
  <c r="O637" i="4"/>
  <c r="F654" i="4"/>
  <c r="V655" i="4"/>
  <c r="AB659" i="4"/>
  <c r="AA659" i="4" s="1"/>
  <c r="F675" i="4"/>
  <c r="G503" i="4"/>
  <c r="E580" i="4"/>
  <c r="F580" i="4" s="1"/>
  <c r="F584" i="4"/>
  <c r="M7" i="1" s="1"/>
  <c r="B107" i="2"/>
  <c r="B120" i="2"/>
  <c r="W406" i="4"/>
  <c r="E633" i="4"/>
  <c r="F633" i="4" s="1"/>
  <c r="P657" i="4"/>
  <c r="B108" i="2"/>
  <c r="A122" i="2"/>
  <c r="C122" i="2" s="1" a="1"/>
  <c r="C122" i="2" s="1"/>
  <c r="Q112" i="2"/>
  <c r="V466" i="4"/>
  <c r="V490" i="4"/>
  <c r="O514" i="4"/>
  <c r="O542" i="4"/>
  <c r="O568" i="4"/>
  <c r="AL627" i="4"/>
  <c r="C668" i="4"/>
  <c r="F468" i="4"/>
  <c r="E584" i="4"/>
  <c r="L7" i="1" s="1"/>
  <c r="E606" i="4"/>
  <c r="L29" i="1" s="1"/>
  <c r="E615" i="4"/>
  <c r="AK626" i="4"/>
  <c r="E626" i="4"/>
  <c r="L50" i="1" s="1"/>
  <c r="A108" i="2"/>
  <c r="C108" i="2" s="1" a="1"/>
  <c r="C108" i="2" s="1"/>
  <c r="A121" i="2"/>
  <c r="C121" i="2" s="1" a="1"/>
  <c r="C121" i="2" s="1"/>
  <c r="P112" i="2"/>
  <c r="R112" i="2" s="1"/>
  <c r="B43" i="1"/>
  <c r="B49" i="1"/>
  <c r="B25" i="1"/>
  <c r="Y31" i="2"/>
  <c r="E34" i="2"/>
  <c r="A109" i="2"/>
  <c r="B122" i="2"/>
  <c r="P113" i="2"/>
  <c r="R113" i="2" s="1"/>
  <c r="O584" i="4"/>
  <c r="O599" i="4"/>
  <c r="O615" i="4"/>
  <c r="AL630" i="4"/>
  <c r="I651" i="4"/>
  <c r="F663" i="4"/>
  <c r="F670" i="4"/>
  <c r="J9" i="2"/>
  <c r="A120" i="2"/>
  <c r="C120" i="2" s="1" a="1"/>
  <c r="C120" i="2" s="1"/>
  <c r="G379" i="4"/>
  <c r="V384" i="4"/>
  <c r="W396" i="4" s="1"/>
  <c r="V520" i="4"/>
  <c r="W532" i="4" s="1"/>
  <c r="F570" i="4"/>
  <c r="O606" i="4"/>
  <c r="AK631" i="4"/>
  <c r="O626" i="4"/>
  <c r="O633" i="4"/>
  <c r="E6" i="2"/>
  <c r="A110" i="2"/>
  <c r="P114" i="2"/>
  <c r="V373" i="4"/>
  <c r="E387" i="4"/>
  <c r="F387" i="4" s="1"/>
  <c r="E399" i="4"/>
  <c r="F399" i="4" s="1"/>
  <c r="E478" i="4"/>
  <c r="F478" i="4" s="1"/>
  <c r="E483" i="4"/>
  <c r="F483" i="4" s="1"/>
  <c r="E544" i="4"/>
  <c r="E563" i="4"/>
  <c r="F563" i="4" s="1"/>
  <c r="G563" i="4" s="1"/>
  <c r="E570" i="4"/>
  <c r="E577" i="4"/>
  <c r="F577" i="4" s="1"/>
  <c r="E586" i="4"/>
  <c r="L9" i="1" s="1"/>
  <c r="O619" i="4"/>
  <c r="AL631" i="4"/>
  <c r="F628" i="4"/>
  <c r="G628" i="4" s="1"/>
  <c r="G397" i="4"/>
  <c r="O412" i="4"/>
  <c r="O590" i="4"/>
  <c r="V615" i="4"/>
  <c r="W639" i="4" s="1"/>
  <c r="AK632" i="4"/>
  <c r="E111" i="2"/>
  <c r="G111" i="2" s="1"/>
  <c r="W25" i="1"/>
  <c r="B111" i="2"/>
  <c r="Y118" i="2"/>
  <c r="O414" i="4"/>
  <c r="O472" i="4"/>
  <c r="E498" i="4"/>
  <c r="F498" i="4" s="1"/>
  <c r="O563" i="4"/>
  <c r="O570" i="4"/>
  <c r="E574" i="4"/>
  <c r="F574" i="4" s="1"/>
  <c r="G574" i="4" s="1"/>
  <c r="V575" i="4"/>
  <c r="E603" i="4"/>
  <c r="L26" i="1" s="1"/>
  <c r="V606" i="4"/>
  <c r="W618" i="4" s="1"/>
  <c r="AL632" i="4"/>
  <c r="M651" i="4"/>
  <c r="N651" i="4" s="1"/>
  <c r="M663" i="4"/>
  <c r="AA668" i="4"/>
  <c r="Q671" i="4"/>
  <c r="D695" i="4" s="1"/>
  <c r="Q695" i="4" s="1"/>
  <c r="D719" i="4" s="1"/>
  <c r="B20" i="1"/>
  <c r="W28" i="1"/>
  <c r="E32" i="2"/>
  <c r="A112" i="2"/>
  <c r="F111" i="2"/>
  <c r="O374" i="4"/>
  <c r="E395" i="4"/>
  <c r="F395" i="4" s="1"/>
  <c r="G396" i="4" s="1"/>
  <c r="V429" i="4"/>
  <c r="E450" i="4"/>
  <c r="F450" i="4" s="1"/>
  <c r="O478" i="4"/>
  <c r="O535" i="4"/>
  <c r="E537" i="4"/>
  <c r="V542" i="4"/>
  <c r="O577" i="4"/>
  <c r="O605" i="4"/>
  <c r="AK633" i="4"/>
  <c r="AA649" i="4"/>
  <c r="P651" i="4"/>
  <c r="I656" i="4"/>
  <c r="M660" i="4"/>
  <c r="N660" i="4" s="1"/>
  <c r="A111" i="2"/>
  <c r="C111" i="2" s="1" a="1"/>
  <c r="C111" i="2" s="1"/>
  <c r="A114" i="2"/>
  <c r="C114" i="2" s="1" a="1"/>
  <c r="C114" i="2" s="1"/>
  <c r="E112" i="2"/>
  <c r="G112" i="2" s="1"/>
  <c r="V412" i="4"/>
  <c r="V544" i="4"/>
  <c r="V584" i="4"/>
  <c r="V586" i="4"/>
  <c r="AL633" i="4"/>
  <c r="A100" i="2"/>
  <c r="C100" i="2" s="1" a="1"/>
  <c r="C100" i="2" s="1"/>
  <c r="B114" i="2"/>
  <c r="F112" i="2"/>
  <c r="H112" i="2" s="1"/>
  <c r="V414" i="4"/>
  <c r="V444" i="4"/>
  <c r="V459" i="4"/>
  <c r="E513" i="4"/>
  <c r="F513" i="4" s="1"/>
  <c r="G513" i="4" s="1"/>
  <c r="V570" i="4"/>
  <c r="W582" i="4" s="1"/>
  <c r="O574" i="4"/>
  <c r="E598" i="4"/>
  <c r="L21" i="1" s="1"/>
  <c r="AK634" i="4"/>
  <c r="V626" i="4"/>
  <c r="O628" i="4"/>
  <c r="F642" i="4"/>
  <c r="G642" i="4" s="1"/>
  <c r="C669" i="4"/>
  <c r="B18" i="2" s="1"/>
  <c r="H18" i="2" s="1"/>
  <c r="X18" i="2" s="1"/>
  <c r="V387" i="4"/>
  <c r="W411" i="4" s="1"/>
  <c r="V399" i="4"/>
  <c r="G437" i="4"/>
  <c r="W35" i="1"/>
  <c r="G19" i="2"/>
  <c r="G32" i="2"/>
  <c r="B100" i="2"/>
  <c r="A115" i="2"/>
  <c r="C115" i="2" s="1" a="1"/>
  <c r="C115" i="2" s="1"/>
  <c r="E113" i="2"/>
  <c r="G113" i="2" s="1"/>
  <c r="E424" i="4"/>
  <c r="F424" i="4" s="1"/>
  <c r="O498" i="4"/>
  <c r="F506" i="4"/>
  <c r="V535" i="4"/>
  <c r="V577" i="4"/>
  <c r="AL634" i="4"/>
  <c r="E642" i="4"/>
  <c r="AC651" i="4"/>
  <c r="M653" i="4"/>
  <c r="N653" i="4" s="1"/>
  <c r="AA663" i="4"/>
  <c r="B109" i="2"/>
  <c r="C109" i="2" s="1" a="1"/>
  <c r="C109" i="2" s="1"/>
  <c r="E35" i="2"/>
  <c r="E38" i="2"/>
  <c r="A103" i="2"/>
  <c r="C103" i="2" s="1" a="1"/>
  <c r="C103" i="2" s="1"/>
  <c r="A116" i="2"/>
  <c r="C116" i="2" s="1" a="1"/>
  <c r="C116" i="2" s="1"/>
  <c r="E114" i="2"/>
  <c r="E419" i="4"/>
  <c r="F419" i="4" s="1"/>
  <c r="V450" i="4"/>
  <c r="O454" i="4"/>
  <c r="F464" i="4"/>
  <c r="F497" i="4"/>
  <c r="O517" i="4"/>
  <c r="V526" i="4"/>
  <c r="W538" i="4" s="1"/>
  <c r="O546" i="4"/>
  <c r="O569" i="4"/>
  <c r="AL635" i="4"/>
  <c r="V628" i="4"/>
  <c r="J31" i="2"/>
  <c r="A107" i="2"/>
  <c r="C107" i="2" s="1" a="1"/>
  <c r="C107" i="2" s="1"/>
  <c r="A123" i="2"/>
  <c r="C123" i="2" s="1" a="1"/>
  <c r="C123" i="2" s="1"/>
  <c r="G34" i="2"/>
  <c r="I34" i="2" s="1"/>
  <c r="B8" i="1"/>
  <c r="A101" i="2"/>
  <c r="AK635" i="4"/>
  <c r="B103" i="2"/>
  <c r="B116" i="2"/>
  <c r="O506" i="4"/>
  <c r="V579" i="4"/>
  <c r="AL636" i="4"/>
  <c r="C667" i="4"/>
  <c r="B17" i="2" s="1"/>
  <c r="C673" i="4"/>
  <c r="A104" i="2"/>
  <c r="A117" i="2"/>
  <c r="C117" i="2" s="1" a="1"/>
  <c r="C117" i="2" s="1"/>
  <c r="I105" i="2"/>
  <c r="V395" i="4"/>
  <c r="X395" i="4" s="1"/>
  <c r="V424" i="4"/>
  <c r="F434" i="4"/>
  <c r="O439" i="4"/>
  <c r="E508" i="4"/>
  <c r="F508" i="4" s="1"/>
  <c r="V598" i="4"/>
  <c r="W610" i="4" s="1"/>
  <c r="E602" i="4"/>
  <c r="L25" i="1" s="1"/>
  <c r="AL642" i="4"/>
  <c r="V625" i="4"/>
  <c r="W649" i="4" s="1"/>
  <c r="X649" i="4" s="1"/>
  <c r="O642" i="4"/>
  <c r="J7" i="2"/>
  <c r="J3" i="2"/>
  <c r="G21" i="2"/>
  <c r="AK643" i="4"/>
  <c r="R653" i="4"/>
  <c r="B119" i="2"/>
  <c r="E470" i="4"/>
  <c r="F470" i="4" s="1"/>
  <c r="G471" i="4" s="1"/>
  <c r="X20" i="2"/>
  <c r="B115" i="2"/>
  <c r="B104" i="2"/>
  <c r="B117" i="2"/>
  <c r="J120" i="2"/>
  <c r="G22" i="2"/>
  <c r="A105" i="2"/>
  <c r="C105" i="2" s="1" a="1"/>
  <c r="C105" i="2" s="1"/>
  <c r="A118" i="2"/>
  <c r="C118" i="2" s="1" a="1"/>
  <c r="C118" i="2" s="1"/>
  <c r="E372" i="4"/>
  <c r="E378" i="4"/>
  <c r="F378" i="4" s="1"/>
  <c r="O434" i="4"/>
  <c r="V493" i="4"/>
  <c r="E525" i="4"/>
  <c r="F525" i="4" s="1"/>
  <c r="E545" i="4"/>
  <c r="F545" i="4" s="1"/>
  <c r="F558" i="4"/>
  <c r="V581" i="4"/>
  <c r="AL643" i="4"/>
  <c r="S653" i="4"/>
  <c r="F655" i="4"/>
  <c r="B106" i="2"/>
  <c r="W33" i="1"/>
  <c r="AK644" i="4"/>
  <c r="AA638" i="4"/>
  <c r="E641" i="4"/>
  <c r="V642" i="4"/>
  <c r="Q664" i="4"/>
  <c r="Q673" i="4"/>
  <c r="D697" i="4" s="1"/>
  <c r="B105" i="2"/>
  <c r="B118" i="2"/>
  <c r="B10" i="1"/>
  <c r="J4" i="2"/>
  <c r="G33" i="2"/>
  <c r="A106" i="2"/>
  <c r="C106" i="2" s="1" a="1"/>
  <c r="C106" i="2" s="1"/>
  <c r="A119" i="2"/>
  <c r="C119" i="2" s="1" a="1"/>
  <c r="C119" i="2" s="1"/>
  <c r="Q107" i="2"/>
  <c r="V415" i="4"/>
  <c r="V508" i="4"/>
  <c r="V530" i="4"/>
  <c r="W554" i="4" s="1"/>
  <c r="V569" i="4"/>
  <c r="W581" i="4" s="1"/>
  <c r="AK624" i="4"/>
  <c r="AL644" i="4"/>
  <c r="AA642" i="4"/>
  <c r="AA653" i="4"/>
  <c r="R659" i="4"/>
  <c r="C145" i="2"/>
  <c r="D145" i="2" s="1"/>
  <c r="G47" i="2"/>
  <c r="O47" i="2"/>
  <c r="Q47" i="2" s="1"/>
  <c r="G123" i="4"/>
  <c r="F409" i="4"/>
  <c r="J115" i="2"/>
  <c r="J104" i="2"/>
  <c r="I115" i="2"/>
  <c r="K115" i="2" s="1"/>
  <c r="I104" i="2"/>
  <c r="J114" i="2"/>
  <c r="J103" i="2"/>
  <c r="I114" i="2"/>
  <c r="I103" i="2"/>
  <c r="K103" i="2" s="1"/>
  <c r="J124" i="2"/>
  <c r="J113" i="2"/>
  <c r="J102" i="2"/>
  <c r="J123" i="2"/>
  <c r="J112" i="2"/>
  <c r="J101" i="2"/>
  <c r="I123" i="2"/>
  <c r="K123" i="2" s="1"/>
  <c r="I112" i="2"/>
  <c r="K112" i="2" s="1"/>
  <c r="I101" i="2"/>
  <c r="K101" i="2" s="1"/>
  <c r="I122" i="2"/>
  <c r="K122" i="2" s="1"/>
  <c r="I111" i="2"/>
  <c r="K111" i="2" s="1"/>
  <c r="I100" i="2"/>
  <c r="K100" i="2" s="1"/>
  <c r="I118" i="2"/>
  <c r="K118" i="2" s="1"/>
  <c r="J117" i="2"/>
  <c r="J121" i="2"/>
  <c r="I117" i="2"/>
  <c r="K117" i="2" s="1"/>
  <c r="I124" i="2"/>
  <c r="K124" i="2" s="1"/>
  <c r="K126" i="2" s="1"/>
  <c r="J107" i="2"/>
  <c r="J116" i="2"/>
  <c r="I116" i="2"/>
  <c r="K116" i="2" s="1"/>
  <c r="J106" i="2"/>
  <c r="I113" i="2"/>
  <c r="K113" i="2" s="1"/>
  <c r="J108" i="2"/>
  <c r="J111" i="2"/>
  <c r="J110" i="2"/>
  <c r="I110" i="2"/>
  <c r="K110" i="2" s="1"/>
  <c r="I108" i="2"/>
  <c r="K108" i="2" s="1"/>
  <c r="J109" i="2"/>
  <c r="I109" i="2"/>
  <c r="K109" i="2" s="1"/>
  <c r="J122" i="2"/>
  <c r="I107" i="2"/>
  <c r="H39" i="2"/>
  <c r="H9" i="2"/>
  <c r="X9" i="2" s="1"/>
  <c r="H34" i="2"/>
  <c r="Y34" i="2" s="1"/>
  <c r="H17" i="2"/>
  <c r="X17" i="2" s="1"/>
  <c r="O49" i="2"/>
  <c r="Q49" i="2" s="1"/>
  <c r="G50" i="2"/>
  <c r="J100" i="2"/>
  <c r="G226" i="4"/>
  <c r="AA36" i="2"/>
  <c r="H36" i="2"/>
  <c r="Y36" i="2" s="1"/>
  <c r="J36" i="2"/>
  <c r="H40" i="1" s="1"/>
  <c r="I20" i="2"/>
  <c r="O44" i="2"/>
  <c r="Q44" i="2" s="1"/>
  <c r="B77" i="2"/>
  <c r="E77" i="2" s="1"/>
  <c r="G355" i="4"/>
  <c r="G356" i="4"/>
  <c r="G49" i="2"/>
  <c r="O54" i="2"/>
  <c r="G54" i="2"/>
  <c r="I102" i="2"/>
  <c r="K102" i="2" s="1"/>
  <c r="G272" i="4"/>
  <c r="AH672" i="4"/>
  <c r="AG672" i="4" s="1"/>
  <c r="F674" i="4"/>
  <c r="C674" i="4"/>
  <c r="B22" i="2" s="1"/>
  <c r="J5" i="2"/>
  <c r="V417" i="4"/>
  <c r="O417" i="4"/>
  <c r="V391" i="4"/>
  <c r="W403" i="4" s="1"/>
  <c r="O391" i="4"/>
  <c r="N47" i="2"/>
  <c r="O45" i="2"/>
  <c r="J105" i="2"/>
  <c r="Y115" i="2"/>
  <c r="Y104" i="2"/>
  <c r="X115" i="2"/>
  <c r="Z115" i="2" s="1"/>
  <c r="X104" i="2"/>
  <c r="Z104" i="2" s="1"/>
  <c r="Y114" i="2"/>
  <c r="Y103" i="2"/>
  <c r="X114" i="2"/>
  <c r="Z114" i="2" s="1"/>
  <c r="X103" i="2"/>
  <c r="Y124" i="2"/>
  <c r="Y113" i="2"/>
  <c r="Y102" i="2"/>
  <c r="Y123" i="2"/>
  <c r="Y112" i="2"/>
  <c r="Y101" i="2"/>
  <c r="X123" i="2"/>
  <c r="Z123" i="2" s="1"/>
  <c r="X112" i="2"/>
  <c r="Z112" i="2" s="1"/>
  <c r="X101" i="2"/>
  <c r="Z101" i="2" s="1"/>
  <c r="X122" i="2"/>
  <c r="Z122" i="2" s="1"/>
  <c r="X111" i="2"/>
  <c r="Z111" i="2" s="1"/>
  <c r="X100" i="2"/>
  <c r="X116" i="2"/>
  <c r="X113" i="2"/>
  <c r="X121" i="2"/>
  <c r="Z121" i="2" s="1"/>
  <c r="X102" i="2"/>
  <c r="Y111" i="2"/>
  <c r="Y106" i="2"/>
  <c r="Y120" i="2"/>
  <c r="Y105" i="2"/>
  <c r="Y110" i="2"/>
  <c r="X110" i="2"/>
  <c r="Y121" i="2"/>
  <c r="Y119" i="2"/>
  <c r="Y109" i="2"/>
  <c r="X109" i="2"/>
  <c r="Z109" i="2" s="1"/>
  <c r="Y108" i="2"/>
  <c r="X108" i="2"/>
  <c r="Z108" i="2" s="1"/>
  <c r="X106" i="2"/>
  <c r="Z106" i="2" s="1"/>
  <c r="X124" i="2"/>
  <c r="Z124" i="2" s="1"/>
  <c r="Z126" i="2" s="1"/>
  <c r="Y107" i="2"/>
  <c r="Y122" i="2"/>
  <c r="X107" i="2"/>
  <c r="Z107" i="2" s="1"/>
  <c r="X120" i="2"/>
  <c r="Z120" i="2" s="1"/>
  <c r="X105" i="2"/>
  <c r="G12" i="4"/>
  <c r="G109" i="4"/>
  <c r="V441" i="4"/>
  <c r="O441" i="4"/>
  <c r="L120" i="2"/>
  <c r="O477" i="4"/>
  <c r="V477" i="4"/>
  <c r="E477" i="4"/>
  <c r="F477" i="4" s="1"/>
  <c r="E391" i="4"/>
  <c r="F391" i="4" s="1"/>
  <c r="I106" i="2"/>
  <c r="K106" i="2" s="1"/>
  <c r="Y100" i="2"/>
  <c r="G102" i="4"/>
  <c r="E441" i="4"/>
  <c r="F441" i="4" s="1"/>
  <c r="E536" i="4"/>
  <c r="F536" i="4" s="1"/>
  <c r="G536" i="4" s="1"/>
  <c r="V536" i="4"/>
  <c r="W560" i="4" s="1"/>
  <c r="O536" i="4"/>
  <c r="G6" i="2"/>
  <c r="I6" i="2" s="1"/>
  <c r="X5" i="2"/>
  <c r="G18" i="4"/>
  <c r="G5" i="2"/>
  <c r="I5" i="2" s="1"/>
  <c r="V463" i="4"/>
  <c r="O463" i="4"/>
  <c r="H32" i="2"/>
  <c r="I32" i="2" s="1"/>
  <c r="AA32" i="2"/>
  <c r="Q45" i="2"/>
  <c r="J118" i="2"/>
  <c r="Y116" i="2"/>
  <c r="H111" i="2"/>
  <c r="U111" i="2"/>
  <c r="M111" i="2"/>
  <c r="H7" i="2"/>
  <c r="G35" i="2"/>
  <c r="P50" i="2"/>
  <c r="I119" i="2"/>
  <c r="K119" i="2" s="1"/>
  <c r="X117" i="2"/>
  <c r="Z117" i="2" s="1"/>
  <c r="G106" i="4"/>
  <c r="J1009" i="4"/>
  <c r="N611" i="4"/>
  <c r="N51" i="2"/>
  <c r="B82" i="2"/>
  <c r="E82" i="2" s="1"/>
  <c r="L48" i="2"/>
  <c r="N48" i="2" s="1"/>
  <c r="L53" i="2"/>
  <c r="N53" i="2" s="1"/>
  <c r="B76" i="2"/>
  <c r="E76" i="2" s="1"/>
  <c r="L51" i="2"/>
  <c r="B75" i="2"/>
  <c r="E75" i="2" s="1"/>
  <c r="L56" i="2"/>
  <c r="N56" i="2" s="1"/>
  <c r="B80" i="2"/>
  <c r="E80" i="2" s="1"/>
  <c r="L44" i="2"/>
  <c r="B83" i="2"/>
  <c r="E83" i="2" s="1"/>
  <c r="O48" i="2"/>
  <c r="Q48" i="2" s="1"/>
  <c r="L54" i="2"/>
  <c r="L49" i="2"/>
  <c r="N49" i="2" s="1"/>
  <c r="B74" i="2"/>
  <c r="E74" i="2" s="1"/>
  <c r="O55" i="2"/>
  <c r="O50" i="2"/>
  <c r="B81" i="2"/>
  <c r="E81" i="2" s="1"/>
  <c r="B79" i="2"/>
  <c r="E79" i="2" s="1"/>
  <c r="L55" i="2"/>
  <c r="N55" i="2" s="1"/>
  <c r="L50" i="2"/>
  <c r="N50" i="2" s="1"/>
  <c r="L47" i="2"/>
  <c r="L45" i="2"/>
  <c r="N45" i="2" s="1"/>
  <c r="L52" i="2"/>
  <c r="N52" i="2" s="1"/>
  <c r="B85" i="2"/>
  <c r="E85" i="2" s="1"/>
  <c r="W398" i="4"/>
  <c r="X398" i="4" s="1"/>
  <c r="W410" i="4"/>
  <c r="X410" i="4" s="1"/>
  <c r="E417" i="4"/>
  <c r="G52" i="4"/>
  <c r="F417" i="4"/>
  <c r="E463" i="4"/>
  <c r="F463" i="4" s="1"/>
  <c r="L46" i="2"/>
  <c r="N46" i="2" s="1"/>
  <c r="O56" i="2"/>
  <c r="Q56" i="2" s="1"/>
  <c r="G56" i="2"/>
  <c r="J119" i="2"/>
  <c r="Y117" i="2"/>
  <c r="G145" i="4"/>
  <c r="V524" i="4"/>
  <c r="O524" i="4"/>
  <c r="K1009" i="4"/>
  <c r="N623" i="4"/>
  <c r="J1011" i="4" s="1"/>
  <c r="G229" i="4"/>
  <c r="O51" i="2"/>
  <c r="I120" i="2"/>
  <c r="K120" i="2" s="1"/>
  <c r="X118" i="2"/>
  <c r="Z118" i="2" s="1"/>
  <c r="E524" i="4"/>
  <c r="F524" i="4" s="1"/>
  <c r="W502" i="4"/>
  <c r="X502" i="4" s="1"/>
  <c r="E120" i="2"/>
  <c r="G120" i="2" s="1"/>
  <c r="E109" i="2"/>
  <c r="G109" i="2" s="1"/>
  <c r="F119" i="2"/>
  <c r="F108" i="2"/>
  <c r="E119" i="2"/>
  <c r="G119" i="2" s="1"/>
  <c r="E108" i="2"/>
  <c r="F118" i="2"/>
  <c r="F107" i="2"/>
  <c r="E118" i="2"/>
  <c r="G118" i="2" s="1"/>
  <c r="E107" i="2"/>
  <c r="E117" i="2"/>
  <c r="G117" i="2" s="1"/>
  <c r="E106" i="2"/>
  <c r="F116" i="2"/>
  <c r="F105" i="2"/>
  <c r="F115" i="2"/>
  <c r="F104" i="2"/>
  <c r="F114" i="2"/>
  <c r="G83" i="4"/>
  <c r="H6" i="2"/>
  <c r="X6" i="2" s="1"/>
  <c r="P54" i="2"/>
  <c r="Q54" i="2" s="1"/>
  <c r="G38" i="2"/>
  <c r="AH640" i="4"/>
  <c r="AI640" i="4" s="1"/>
  <c r="AH649" i="4"/>
  <c r="AI649" i="4" s="1"/>
  <c r="AH639" i="4"/>
  <c r="AI639" i="4" s="1"/>
  <c r="AG666" i="4"/>
  <c r="AH642" i="4"/>
  <c r="AI642" i="4" s="1"/>
  <c r="AG673" i="4"/>
  <c r="AG659" i="4"/>
  <c r="AH651" i="4"/>
  <c r="AG670" i="4"/>
  <c r="AG662" i="4"/>
  <c r="AH641" i="4"/>
  <c r="AI641" i="4" s="1"/>
  <c r="AH645" i="4"/>
  <c r="AI645" i="4" s="1"/>
  <c r="AG669" i="4"/>
  <c r="AG663" i="4"/>
  <c r="C148" i="2"/>
  <c r="D148" i="2" s="1"/>
  <c r="C155" i="2"/>
  <c r="D155" i="2" s="1"/>
  <c r="C147" i="2"/>
  <c r="D147" i="2" s="1"/>
  <c r="C150" i="2"/>
  <c r="D150" i="2" s="1"/>
  <c r="C149" i="2"/>
  <c r="D149" i="2" s="1"/>
  <c r="AH650" i="4"/>
  <c r="C156" i="2"/>
  <c r="D156" i="2" s="1"/>
  <c r="F101" i="2"/>
  <c r="F120" i="2"/>
  <c r="Q100" i="2"/>
  <c r="G71" i="4"/>
  <c r="G72" i="4"/>
  <c r="G135" i="4"/>
  <c r="G190" i="4"/>
  <c r="G258" i="4"/>
  <c r="G295" i="4"/>
  <c r="V430" i="4"/>
  <c r="O430" i="4"/>
  <c r="V560" i="4"/>
  <c r="O560" i="4"/>
  <c r="E560" i="4"/>
  <c r="F560" i="4" s="1"/>
  <c r="G75" i="4"/>
  <c r="W425" i="4"/>
  <c r="V438" i="4"/>
  <c r="W474" i="4" s="1"/>
  <c r="O438" i="4"/>
  <c r="E438" i="4"/>
  <c r="F438" i="4" s="1"/>
  <c r="G438" i="4" s="1"/>
  <c r="V531" i="4"/>
  <c r="O531" i="4"/>
  <c r="E531" i="4"/>
  <c r="F531" i="4" s="1"/>
  <c r="N1014" i="4"/>
  <c r="N1001" i="4"/>
  <c r="Z1001" i="4" s="1"/>
  <c r="V456" i="4"/>
  <c r="O456" i="4"/>
  <c r="P121" i="2"/>
  <c r="R121" i="2" s="1"/>
  <c r="P110" i="2"/>
  <c r="R110" i="2" s="1"/>
  <c r="Q120" i="2"/>
  <c r="Q109" i="2"/>
  <c r="P120" i="2"/>
  <c r="R120" i="2" s="1"/>
  <c r="P109" i="2"/>
  <c r="R109" i="2" s="1"/>
  <c r="Q119" i="2"/>
  <c r="Q108" i="2"/>
  <c r="P119" i="2"/>
  <c r="R119" i="2" s="1"/>
  <c r="P108" i="2"/>
  <c r="R108" i="2" s="1"/>
  <c r="P118" i="2"/>
  <c r="R118" i="2" s="1"/>
  <c r="P107" i="2"/>
  <c r="R107" i="2" s="1"/>
  <c r="Q117" i="2"/>
  <c r="Q106" i="2"/>
  <c r="Q116" i="2"/>
  <c r="Q105" i="2"/>
  <c r="P1000" i="4"/>
  <c r="P1011" i="4" s="1"/>
  <c r="G36" i="2"/>
  <c r="G45" i="2"/>
  <c r="E101" i="2"/>
  <c r="P100" i="2"/>
  <c r="F521" i="4"/>
  <c r="G521" i="4" s="1"/>
  <c r="G17" i="2"/>
  <c r="H38" i="2"/>
  <c r="Y38" i="2" s="1"/>
  <c r="G55" i="2"/>
  <c r="A65" i="2"/>
  <c r="E102" i="2"/>
  <c r="E121" i="2"/>
  <c r="G121" i="2" s="1"/>
  <c r="P101" i="2"/>
  <c r="P116" i="2"/>
  <c r="R116" i="2" s="1"/>
  <c r="G43" i="4"/>
  <c r="G76" i="4"/>
  <c r="G139" i="4"/>
  <c r="G261" i="4"/>
  <c r="G270" i="4"/>
  <c r="V469" i="4"/>
  <c r="O469" i="4"/>
  <c r="E469" i="4"/>
  <c r="F469" i="4" s="1"/>
  <c r="V476" i="4"/>
  <c r="O476" i="4"/>
  <c r="G138" i="4"/>
  <c r="G186" i="4"/>
  <c r="G254" i="4"/>
  <c r="G310" i="4"/>
  <c r="N54" i="2"/>
  <c r="F100" i="2"/>
  <c r="G223" i="4"/>
  <c r="P115" i="2"/>
  <c r="R115" i="2" s="1"/>
  <c r="G208" i="4"/>
  <c r="G304" i="4"/>
  <c r="F102" i="2"/>
  <c r="F121" i="2"/>
  <c r="Q101" i="2"/>
  <c r="P117" i="2"/>
  <c r="R117" i="2" s="1"/>
  <c r="C151" i="2"/>
  <c r="D151" i="2" s="1"/>
  <c r="G178" i="4"/>
  <c r="G292" i="4"/>
  <c r="F430" i="4"/>
  <c r="G430" i="4" s="1"/>
  <c r="E476" i="4"/>
  <c r="F476" i="4" s="1"/>
  <c r="I652" i="4"/>
  <c r="Q652" i="4"/>
  <c r="T653" i="4"/>
  <c r="M652" i="4"/>
  <c r="N652" i="4" s="1"/>
  <c r="G117" i="4"/>
  <c r="O52" i="2"/>
  <c r="Q52" i="2" s="1"/>
  <c r="E103" i="2"/>
  <c r="G103" i="2" s="1"/>
  <c r="E122" i="2"/>
  <c r="G122" i="2" s="1"/>
  <c r="P102" i="2"/>
  <c r="R102" i="2" s="1"/>
  <c r="Q118" i="2"/>
  <c r="G80" i="4"/>
  <c r="G255" i="4"/>
  <c r="G289" i="4"/>
  <c r="G311" i="4"/>
  <c r="O375" i="4"/>
  <c r="F375" i="4"/>
  <c r="V375" i="4"/>
  <c r="V383" i="4"/>
  <c r="W395" i="4" s="1"/>
  <c r="O383" i="4"/>
  <c r="F383" i="4"/>
  <c r="V408" i="4"/>
  <c r="W432" i="4" s="1"/>
  <c r="X432" i="4" s="1"/>
  <c r="O408" i="4"/>
  <c r="V423" i="4"/>
  <c r="O423" i="4"/>
  <c r="O571" i="4"/>
  <c r="V571" i="4"/>
  <c r="E571" i="4"/>
  <c r="F571" i="4" s="1"/>
  <c r="G98" i="4"/>
  <c r="W421" i="4"/>
  <c r="V519" i="4"/>
  <c r="O519" i="4"/>
  <c r="E519" i="4"/>
  <c r="F519" i="4" s="1"/>
  <c r="G23" i="2"/>
  <c r="C104" i="2" a="1"/>
  <c r="C104" i="2" s="1"/>
  <c r="F103" i="2"/>
  <c r="F122" i="2"/>
  <c r="Q102" i="2"/>
  <c r="Q121" i="2"/>
  <c r="G40" i="4"/>
  <c r="G84" i="4"/>
  <c r="G118" i="4"/>
  <c r="G132" i="4"/>
  <c r="G172" i="4"/>
  <c r="G286" i="4"/>
  <c r="G320" i="4"/>
  <c r="G321" i="4"/>
  <c r="G363" i="4"/>
  <c r="E408" i="4"/>
  <c r="F408" i="4" s="1"/>
  <c r="E423" i="4"/>
  <c r="F423" i="4" s="1"/>
  <c r="G423" i="4" s="1"/>
  <c r="V425" i="4"/>
  <c r="O425" i="4"/>
  <c r="V474" i="4"/>
  <c r="W510" i="4" s="1"/>
  <c r="O474" i="4"/>
  <c r="E474" i="4"/>
  <c r="F474" i="4" s="1"/>
  <c r="Q648" i="4"/>
  <c r="N983" i="4"/>
  <c r="T650" i="4"/>
  <c r="I648" i="4"/>
  <c r="M1006" i="4"/>
  <c r="M1007" i="4" s="1"/>
  <c r="AC648" i="4"/>
  <c r="G171" i="4"/>
  <c r="G37" i="2"/>
  <c r="P51" i="2"/>
  <c r="Q51" i="2" s="1"/>
  <c r="V403" i="4"/>
  <c r="O403" i="4"/>
  <c r="F403" i="4"/>
  <c r="G48" i="2"/>
  <c r="E104" i="2"/>
  <c r="G104" i="2" s="1"/>
  <c r="E123" i="2"/>
  <c r="G123" i="2" s="1"/>
  <c r="P103" i="2"/>
  <c r="P122" i="2"/>
  <c r="R122" i="2" s="1"/>
  <c r="C152" i="2"/>
  <c r="D152" i="2" s="1"/>
  <c r="G33" i="4"/>
  <c r="G169" i="4"/>
  <c r="G212" i="4"/>
  <c r="G221" i="4"/>
  <c r="G224" i="4"/>
  <c r="G227" i="4"/>
  <c r="E406" i="4"/>
  <c r="F406" i="4" s="1"/>
  <c r="V406" i="4"/>
  <c r="V505" i="4"/>
  <c r="O505" i="4"/>
  <c r="E505" i="4"/>
  <c r="F505" i="4" s="1"/>
  <c r="G505" i="4" s="1"/>
  <c r="N44" i="2"/>
  <c r="G116" i="4"/>
  <c r="G220" i="4"/>
  <c r="F484" i="4"/>
  <c r="V484" i="4"/>
  <c r="O484" i="4"/>
  <c r="H4" i="2"/>
  <c r="X4" i="2" s="1"/>
  <c r="G9" i="2"/>
  <c r="E105" i="2"/>
  <c r="G105" i="2" s="1"/>
  <c r="F123" i="2"/>
  <c r="Q103" i="2"/>
  <c r="Q122" i="2"/>
  <c r="G136" i="4"/>
  <c r="F372" i="4"/>
  <c r="F425" i="4"/>
  <c r="G434" i="4"/>
  <c r="V555" i="4"/>
  <c r="O555" i="4"/>
  <c r="Y32" i="2"/>
  <c r="V510" i="4"/>
  <c r="W546" i="4" s="1"/>
  <c r="X546" i="4" s="1"/>
  <c r="O510" i="4"/>
  <c r="E510" i="4"/>
  <c r="F510" i="4" s="1"/>
  <c r="AA35" i="2"/>
  <c r="H35" i="2"/>
  <c r="Y35" i="2" s="1"/>
  <c r="H37" i="2"/>
  <c r="Y37" i="2" s="1"/>
  <c r="G53" i="2"/>
  <c r="P55" i="2"/>
  <c r="Q55" i="2" s="1"/>
  <c r="F106" i="2"/>
  <c r="E124" i="2"/>
  <c r="G124" i="2" s="1"/>
  <c r="G126" i="2" s="1"/>
  <c r="P104" i="2"/>
  <c r="R104" i="2" s="1"/>
  <c r="P123" i="2"/>
  <c r="R123" i="2" s="1"/>
  <c r="G37" i="4"/>
  <c r="G77" i="4"/>
  <c r="G129" i="4"/>
  <c r="G130" i="4"/>
  <c r="G154" i="4"/>
  <c r="G166" i="4"/>
  <c r="G274" i="4"/>
  <c r="O406" i="4"/>
  <c r="E555" i="4"/>
  <c r="F555" i="4" s="1"/>
  <c r="P990" i="4"/>
  <c r="J32" i="2"/>
  <c r="G152" i="4"/>
  <c r="J8" i="2"/>
  <c r="E100" i="2"/>
  <c r="G100" i="2" s="1"/>
  <c r="E115" i="2"/>
  <c r="G115" i="2" s="1"/>
  <c r="G46" i="4"/>
  <c r="G47" i="4"/>
  <c r="G156" i="4"/>
  <c r="X8" i="2"/>
  <c r="G8" i="2"/>
  <c r="I8" i="2" s="1"/>
  <c r="AB36" i="2"/>
  <c r="F117" i="2"/>
  <c r="F109" i="2"/>
  <c r="F124" i="2"/>
  <c r="Q104" i="2"/>
  <c r="Q123" i="2"/>
  <c r="C153" i="2"/>
  <c r="D153" i="2" s="1"/>
  <c r="G10" i="4"/>
  <c r="G206" i="4"/>
  <c r="G237" i="4"/>
  <c r="G238" i="4"/>
  <c r="G249" i="4"/>
  <c r="G324" i="4"/>
  <c r="W456" i="4"/>
  <c r="V448" i="4"/>
  <c r="O448" i="4"/>
  <c r="F448" i="4"/>
  <c r="O500" i="4"/>
  <c r="V500" i="4"/>
  <c r="E500" i="4"/>
  <c r="F500" i="4" s="1"/>
  <c r="G114" i="2"/>
  <c r="G25" i="4"/>
  <c r="E116" i="2"/>
  <c r="G116" i="2" s="1"/>
  <c r="Q114" i="2"/>
  <c r="R114" i="2" s="1"/>
  <c r="E456" i="4"/>
  <c r="F456" i="4" s="1"/>
  <c r="G4" i="4"/>
  <c r="E4" i="2"/>
  <c r="H21" i="2"/>
  <c r="X21" i="2" s="1"/>
  <c r="H33" i="2"/>
  <c r="Y33" i="2" s="1"/>
  <c r="J35" i="2"/>
  <c r="G39" i="2"/>
  <c r="O53" i="2"/>
  <c r="Q53" i="2" s="1"/>
  <c r="E110" i="2"/>
  <c r="G110" i="2" s="1"/>
  <c r="P105" i="2"/>
  <c r="R105" i="2" s="1"/>
  <c r="P124" i="2"/>
  <c r="R124" i="2" s="1"/>
  <c r="R126" i="2" s="1"/>
  <c r="G30" i="4"/>
  <c r="G55" i="4"/>
  <c r="G81" i="4"/>
  <c r="G93" i="4"/>
  <c r="G94" i="4"/>
  <c r="G188" i="4"/>
  <c r="G203" i="4"/>
  <c r="O614" i="4"/>
  <c r="V614" i="4"/>
  <c r="W497" i="4"/>
  <c r="X497" i="4" s="1"/>
  <c r="J38" i="2"/>
  <c r="G8" i="4"/>
  <c r="G245" i="4"/>
  <c r="G273" i="4"/>
  <c r="G4" i="2"/>
  <c r="O46" i="2"/>
  <c r="G46" i="2"/>
  <c r="F110" i="2"/>
  <c r="P106" i="2"/>
  <c r="Q124" i="2"/>
  <c r="C154" i="2"/>
  <c r="D154" i="2" s="1"/>
  <c r="G65" i="4"/>
  <c r="G126" i="4"/>
  <c r="G133" i="4"/>
  <c r="G256" i="4"/>
  <c r="G287" i="4"/>
  <c r="G327" i="4"/>
  <c r="O372" i="4"/>
  <c r="W402" i="4"/>
  <c r="X402" i="4" s="1"/>
  <c r="G420" i="4"/>
  <c r="E490" i="4"/>
  <c r="F490" i="4" s="1"/>
  <c r="G490" i="4" s="1"/>
  <c r="E614" i="4"/>
  <c r="G68" i="4"/>
  <c r="G215" i="4"/>
  <c r="G232" i="4"/>
  <c r="G235" i="4"/>
  <c r="G252" i="4"/>
  <c r="G335" i="4"/>
  <c r="O422" i="4"/>
  <c r="F422" i="4"/>
  <c r="V422" i="4"/>
  <c r="V453" i="4"/>
  <c r="O453" i="4"/>
  <c r="F453" i="4"/>
  <c r="V489" i="4"/>
  <c r="O489" i="4"/>
  <c r="F489" i="4"/>
  <c r="V540" i="4"/>
  <c r="O540" i="4"/>
  <c r="F540" i="4"/>
  <c r="V566" i="4"/>
  <c r="O566" i="4"/>
  <c r="G113" i="4"/>
  <c r="G281" i="4"/>
  <c r="G338" i="4"/>
  <c r="O988" i="4"/>
  <c r="B984" i="4"/>
  <c r="V601" i="4"/>
  <c r="O601" i="4"/>
  <c r="AH648" i="4"/>
  <c r="AI648" i="4" s="1"/>
  <c r="G87" i="4"/>
  <c r="G149" i="4"/>
  <c r="G198" i="4"/>
  <c r="G298" i="4"/>
  <c r="G301" i="4"/>
  <c r="G315" i="4"/>
  <c r="G318" i="4"/>
  <c r="G344" i="4"/>
  <c r="G350" i="4"/>
  <c r="V651" i="4"/>
  <c r="O651" i="4"/>
  <c r="G69" i="4"/>
  <c r="G91" i="4"/>
  <c r="G201" i="4"/>
  <c r="G218" i="4"/>
  <c r="G264" i="4"/>
  <c r="G353" i="4"/>
  <c r="V381" i="4"/>
  <c r="O381" i="4"/>
  <c r="V445" i="4"/>
  <c r="W469" i="4" s="1"/>
  <c r="E445" i="4"/>
  <c r="F445" i="4" s="1"/>
  <c r="E496" i="4"/>
  <c r="F496" i="4" s="1"/>
  <c r="F601" i="4"/>
  <c r="E651" i="4"/>
  <c r="F651" i="4" s="1"/>
  <c r="B110" i="2"/>
  <c r="C110" i="2" s="1" a="1"/>
  <c r="C110" i="2" s="1"/>
  <c r="B121" i="2"/>
  <c r="G22" i="4"/>
  <c r="G110" i="4"/>
  <c r="G181" i="4"/>
  <c r="G267" i="4"/>
  <c r="G284" i="4"/>
  <c r="G347" i="4"/>
  <c r="E381" i="4"/>
  <c r="F381" i="4" s="1"/>
  <c r="V640" i="4"/>
  <c r="O640" i="4"/>
  <c r="E640" i="4"/>
  <c r="F640" i="4" s="1"/>
  <c r="G104" i="4"/>
  <c r="G107" i="4"/>
  <c r="G146" i="4"/>
  <c r="G161" i="4"/>
  <c r="G184" i="4"/>
  <c r="G247" i="4"/>
  <c r="G330" i="4"/>
  <c r="W455" i="4"/>
  <c r="X455" i="4" s="1"/>
  <c r="V460" i="4"/>
  <c r="O460" i="4"/>
  <c r="O636" i="4"/>
  <c r="V636" i="4"/>
  <c r="W660" i="4" s="1"/>
  <c r="X660" i="4" s="1"/>
  <c r="C681" i="4"/>
  <c r="F681" i="4"/>
  <c r="E682" i="4"/>
  <c r="G13" i="4"/>
  <c r="G16" i="4"/>
  <c r="G19" i="4"/>
  <c r="G44" i="4"/>
  <c r="G88" i="4"/>
  <c r="G127" i="4"/>
  <c r="G143" i="4"/>
  <c r="G164" i="4"/>
  <c r="G250" i="4"/>
  <c r="G333" i="4"/>
  <c r="G368" i="4"/>
  <c r="O394" i="4"/>
  <c r="W414" i="4"/>
  <c r="X414" i="4" s="1"/>
  <c r="W422" i="4"/>
  <c r="O445" i="4"/>
  <c r="E460" i="4"/>
  <c r="F460" i="4" s="1"/>
  <c r="O470" i="4"/>
  <c r="V516" i="4"/>
  <c r="O516" i="4"/>
  <c r="E516" i="4"/>
  <c r="F516" i="4" s="1"/>
  <c r="G561" i="4"/>
  <c r="E636" i="4"/>
  <c r="F636" i="4" s="1"/>
  <c r="P649" i="4"/>
  <c r="M984" i="4"/>
  <c r="M649" i="4"/>
  <c r="O984" i="4" s="1"/>
  <c r="S650" i="4"/>
  <c r="AB657" i="4"/>
  <c r="AA657" i="4" s="1"/>
  <c r="T659" i="4"/>
  <c r="Q657" i="4"/>
  <c r="D693" i="4" s="1"/>
  <c r="G140" i="4"/>
  <c r="G193" i="4"/>
  <c r="G210" i="4"/>
  <c r="G213" i="4"/>
  <c r="G230" i="4"/>
  <c r="G313" i="4"/>
  <c r="O390" i="4"/>
  <c r="E409" i="4"/>
  <c r="E418" i="4"/>
  <c r="F418" i="4" s="1"/>
  <c r="V452" i="4"/>
  <c r="O452" i="4"/>
  <c r="V467" i="4"/>
  <c r="W515" i="4" s="1"/>
  <c r="O467" i="4"/>
  <c r="F528" i="4"/>
  <c r="V589" i="4"/>
  <c r="O589" i="4"/>
  <c r="O629" i="4"/>
  <c r="V629" i="4"/>
  <c r="W665" i="4" s="1"/>
  <c r="B101" i="2"/>
  <c r="C101" i="2" s="1" a="1"/>
  <c r="C101" i="2" s="1"/>
  <c r="B112" i="2"/>
  <c r="B123" i="2"/>
  <c r="G35" i="4"/>
  <c r="G38" i="4"/>
  <c r="G41" i="4"/>
  <c r="G66" i="4"/>
  <c r="G259" i="4"/>
  <c r="G276" i="4"/>
  <c r="G279" i="4"/>
  <c r="G316" i="4"/>
  <c r="E390" i="4"/>
  <c r="F390" i="4" s="1"/>
  <c r="V426" i="4"/>
  <c r="O426" i="4"/>
  <c r="F426" i="4"/>
  <c r="G427" i="4" s="1"/>
  <c r="E452" i="4"/>
  <c r="F452" i="4" s="1"/>
  <c r="E467" i="4"/>
  <c r="F467" i="4" s="1"/>
  <c r="O496" i="4"/>
  <c r="V547" i="4"/>
  <c r="O547" i="4"/>
  <c r="E547" i="4"/>
  <c r="F547" i="4" s="1"/>
  <c r="E589" i="4"/>
  <c r="L12" i="1" s="1"/>
  <c r="E629" i="4"/>
  <c r="F629" i="4" s="1"/>
  <c r="G629" i="4" s="1"/>
  <c r="P46" i="2"/>
  <c r="A102" i="2"/>
  <c r="A113" i="2"/>
  <c r="A124" i="2"/>
  <c r="C124" i="2" s="1"/>
  <c r="C126" i="2" s="1"/>
  <c r="G124" i="4"/>
  <c r="G176" i="4"/>
  <c r="G216" i="4"/>
  <c r="G293" i="4"/>
  <c r="G296" i="4"/>
  <c r="G299" i="4"/>
  <c r="G339" i="4"/>
  <c r="G351" i="4"/>
  <c r="G384" i="4"/>
  <c r="C1011" i="4"/>
  <c r="V549" i="4"/>
  <c r="O549" i="4"/>
  <c r="W632" i="4"/>
  <c r="AB677" i="4"/>
  <c r="Q677" i="4"/>
  <c r="D701" i="4" s="1"/>
  <c r="B102" i="2"/>
  <c r="B113" i="2"/>
  <c r="G57" i="4"/>
  <c r="G60" i="4"/>
  <c r="G63" i="4"/>
  <c r="G121" i="4"/>
  <c r="G159" i="4"/>
  <c r="G179" i="4"/>
  <c r="G196" i="4"/>
  <c r="G242" i="4"/>
  <c r="G325" i="4"/>
  <c r="G342" i="4"/>
  <c r="G345" i="4"/>
  <c r="W490" i="4"/>
  <c r="V532" i="4"/>
  <c r="O532" i="4"/>
  <c r="E532" i="4"/>
  <c r="F532" i="4" s="1"/>
  <c r="E549" i="4"/>
  <c r="F549" i="4" s="1"/>
  <c r="C670" i="4"/>
  <c r="AG677" i="4"/>
  <c r="V385" i="4"/>
  <c r="W397" i="4" s="1"/>
  <c r="X397" i="4" s="1"/>
  <c r="O385" i="4"/>
  <c r="V396" i="4"/>
  <c r="O396" i="4"/>
  <c r="O411" i="4"/>
  <c r="E411" i="4"/>
  <c r="F411" i="4" s="1"/>
  <c r="W495" i="4"/>
  <c r="W514" i="4"/>
  <c r="X514" i="4" s="1"/>
  <c r="W562" i="4"/>
  <c r="V573" i="4"/>
  <c r="O573" i="4"/>
  <c r="AH643" i="4"/>
  <c r="AI643" i="4" s="1"/>
  <c r="O649" i="4"/>
  <c r="L984" i="4"/>
  <c r="R650" i="4"/>
  <c r="O1014" i="4"/>
  <c r="O1001" i="4"/>
  <c r="N601" i="4"/>
  <c r="O989" i="4"/>
  <c r="N606" i="4"/>
  <c r="P989" i="4" s="1"/>
  <c r="E405" i="4"/>
  <c r="F405" i="4" s="1"/>
  <c r="V411" i="4"/>
  <c r="E413" i="4"/>
  <c r="F413" i="4" s="1"/>
  <c r="V416" i="4"/>
  <c r="W452" i="4" s="1"/>
  <c r="O416" i="4"/>
  <c r="E421" i="4"/>
  <c r="F421" i="4" s="1"/>
  <c r="G421" i="4" s="1"/>
  <c r="V482" i="4"/>
  <c r="O482" i="4"/>
  <c r="O483" i="4"/>
  <c r="E507" i="4"/>
  <c r="F507" i="4" s="1"/>
  <c r="V393" i="4"/>
  <c r="O393" i="4"/>
  <c r="V400" i="4"/>
  <c r="O400" i="4"/>
  <c r="E416" i="4"/>
  <c r="F416" i="4" s="1"/>
  <c r="O433" i="4"/>
  <c r="E440" i="4"/>
  <c r="E455" i="4"/>
  <c r="E462" i="4"/>
  <c r="E482" i="4"/>
  <c r="F482" i="4" s="1"/>
  <c r="V495" i="4"/>
  <c r="O495" i="4"/>
  <c r="O502" i="4"/>
  <c r="O518" i="4"/>
  <c r="E518" i="4"/>
  <c r="F518" i="4" s="1"/>
  <c r="D1009" i="4"/>
  <c r="V554" i="4"/>
  <c r="O554" i="4"/>
  <c r="E554" i="4"/>
  <c r="F554" i="4" s="1"/>
  <c r="G554" i="4" s="1"/>
  <c r="W580" i="4"/>
  <c r="X580" i="4" s="1"/>
  <c r="O986" i="4"/>
  <c r="N603" i="4"/>
  <c r="P986" i="4" s="1"/>
  <c r="E393" i="4"/>
  <c r="F393" i="4" s="1"/>
  <c r="E400" i="4"/>
  <c r="F400" i="4" s="1"/>
  <c r="G400" i="4" s="1"/>
  <c r="V407" i="4"/>
  <c r="O407" i="4"/>
  <c r="E410" i="4"/>
  <c r="F410" i="4" s="1"/>
  <c r="E432" i="4"/>
  <c r="F432" i="4" s="1"/>
  <c r="F440" i="4"/>
  <c r="W461" i="4"/>
  <c r="F455" i="4"/>
  <c r="F462" i="4"/>
  <c r="E495" i="4"/>
  <c r="F495" i="4" s="1"/>
  <c r="N540" i="4"/>
  <c r="D1011" i="4" s="1"/>
  <c r="E548" i="4"/>
  <c r="F548" i="4" s="1"/>
  <c r="V583" i="4"/>
  <c r="O583" i="4"/>
  <c r="E371" i="4"/>
  <c r="F371" i="4" s="1"/>
  <c r="G371" i="4" s="1"/>
  <c r="O421" i="4"/>
  <c r="W426" i="4"/>
  <c r="V475" i="4"/>
  <c r="W523" i="4" s="1"/>
  <c r="O475" i="4"/>
  <c r="V488" i="4"/>
  <c r="O488" i="4"/>
  <c r="O507" i="4"/>
  <c r="V523" i="4"/>
  <c r="O523" i="4"/>
  <c r="E523" i="4"/>
  <c r="F523" i="4" s="1"/>
  <c r="G523" i="4" s="1"/>
  <c r="E529" i="4"/>
  <c r="F529" i="4" s="1"/>
  <c r="E567" i="4"/>
  <c r="F567" i="4" s="1"/>
  <c r="G567" i="4" s="1"/>
  <c r="E583" i="4"/>
  <c r="B988" i="4"/>
  <c r="O593" i="4"/>
  <c r="V593" i="4"/>
  <c r="P988" i="4"/>
  <c r="E660" i="4"/>
  <c r="Q662" i="4"/>
  <c r="D686" i="4" s="1"/>
  <c r="AB662" i="4"/>
  <c r="AA662" i="4" s="1"/>
  <c r="E376" i="4"/>
  <c r="F376" i="4" s="1"/>
  <c r="G376" i="4" s="1"/>
  <c r="F407" i="4"/>
  <c r="O410" i="4"/>
  <c r="E447" i="4"/>
  <c r="F447" i="4" s="1"/>
  <c r="E475" i="4"/>
  <c r="E488" i="4"/>
  <c r="F488" i="4" s="1"/>
  <c r="G504" i="4"/>
  <c r="V509" i="4"/>
  <c r="W533" i="4" s="1"/>
  <c r="O509" i="4"/>
  <c r="E509" i="4"/>
  <c r="F509" i="4" s="1"/>
  <c r="E556" i="4"/>
  <c r="F556" i="4" s="1"/>
  <c r="G556" i="4" s="1"/>
  <c r="V572" i="4"/>
  <c r="O572" i="4"/>
  <c r="E572" i="4"/>
  <c r="F572" i="4" s="1"/>
  <c r="G573" i="4" s="1"/>
  <c r="O578" i="4"/>
  <c r="V578" i="4"/>
  <c r="W602" i="4" s="1"/>
  <c r="E593" i="4"/>
  <c r="F593" i="4" s="1"/>
  <c r="V639" i="4"/>
  <c r="O639" i="4"/>
  <c r="AH647" i="4"/>
  <c r="AI647" i="4" s="1"/>
  <c r="F660" i="4"/>
  <c r="M662" i="4"/>
  <c r="N662" i="4" s="1"/>
  <c r="AH678" i="4"/>
  <c r="AG678" i="4" s="1"/>
  <c r="Q680" i="4"/>
  <c r="F680" i="4"/>
  <c r="C680" i="4"/>
  <c r="G366" i="4"/>
  <c r="E382" i="4"/>
  <c r="F382" i="4" s="1"/>
  <c r="W401" i="4"/>
  <c r="O405" i="4"/>
  <c r="E428" i="4"/>
  <c r="F428" i="4" s="1"/>
  <c r="V437" i="4"/>
  <c r="V461" i="4"/>
  <c r="O461" i="4"/>
  <c r="F475" i="4"/>
  <c r="V501" i="4"/>
  <c r="W525" i="4" s="1"/>
  <c r="X525" i="4" s="1"/>
  <c r="O501" i="4"/>
  <c r="G506" i="4"/>
  <c r="O515" i="4"/>
  <c r="V515" i="4"/>
  <c r="W539" i="4" s="1"/>
  <c r="O529" i="4"/>
  <c r="D999" i="4"/>
  <c r="D1001" i="4" s="1"/>
  <c r="V539" i="4"/>
  <c r="W587" i="4" s="1"/>
  <c r="O539" i="4"/>
  <c r="O559" i="4"/>
  <c r="F559" i="4"/>
  <c r="E559" i="4"/>
  <c r="V559" i="4"/>
  <c r="E578" i="4"/>
  <c r="F578" i="4" s="1"/>
  <c r="W603" i="4"/>
  <c r="X603" i="4" s="1"/>
  <c r="E639" i="4"/>
  <c r="F639" i="4" s="1"/>
  <c r="O371" i="4"/>
  <c r="E374" i="4"/>
  <c r="F374" i="4" s="1"/>
  <c r="V380" i="4"/>
  <c r="O380" i="4"/>
  <c r="W400" i="4"/>
  <c r="V421" i="4"/>
  <c r="W445" i="4" s="1"/>
  <c r="E431" i="4"/>
  <c r="F431" i="4" s="1"/>
  <c r="G431" i="4" s="1"/>
  <c r="O440" i="4"/>
  <c r="O455" i="4"/>
  <c r="E461" i="4"/>
  <c r="F461" i="4" s="1"/>
  <c r="O462" i="4"/>
  <c r="O494" i="4"/>
  <c r="E494" i="4"/>
  <c r="F494" i="4" s="1"/>
  <c r="G494" i="4" s="1"/>
  <c r="E501" i="4"/>
  <c r="F501" i="4" s="1"/>
  <c r="V507" i="4"/>
  <c r="E515" i="4"/>
  <c r="F515" i="4" s="1"/>
  <c r="E539" i="4"/>
  <c r="F539" i="4" s="1"/>
  <c r="F1009" i="4"/>
  <c r="V617" i="4"/>
  <c r="O617" i="4"/>
  <c r="E617" i="4"/>
  <c r="L41" i="1" s="1"/>
  <c r="E380" i="4"/>
  <c r="F380" i="4" s="1"/>
  <c r="G380" i="4" s="1"/>
  <c r="O382" i="4"/>
  <c r="E386" i="4"/>
  <c r="F386" i="4" s="1"/>
  <c r="E404" i="4"/>
  <c r="F404" i="4" s="1"/>
  <c r="O428" i="4"/>
  <c r="O432" i="4"/>
  <c r="E454" i="4"/>
  <c r="F454" i="4" s="1"/>
  <c r="G542" i="4"/>
  <c r="O548" i="4"/>
  <c r="N564" i="4"/>
  <c r="F1011" i="4" s="1"/>
  <c r="P656" i="4"/>
  <c r="M656" i="4"/>
  <c r="N656" i="4" s="1"/>
  <c r="F388" i="4"/>
  <c r="G388" i="4" s="1"/>
  <c r="F439" i="4"/>
  <c r="E446" i="4"/>
  <c r="F446" i="4" s="1"/>
  <c r="V468" i="4"/>
  <c r="O468" i="4"/>
  <c r="V518" i="4"/>
  <c r="W526" i="4"/>
  <c r="V529" i="4"/>
  <c r="W553" i="4" s="1"/>
  <c r="X553" i="4" s="1"/>
  <c r="O567" i="4"/>
  <c r="O660" i="4"/>
  <c r="W598" i="4"/>
  <c r="B992" i="4"/>
  <c r="V597" i="4"/>
  <c r="O597" i="4"/>
  <c r="AG658" i="4"/>
  <c r="AG676" i="4"/>
  <c r="Q1000" i="4"/>
  <c r="Q1011" i="4" s="1"/>
  <c r="C1009" i="4"/>
  <c r="F562" i="4"/>
  <c r="G562" i="4" s="1"/>
  <c r="E597" i="4"/>
  <c r="O990" i="4"/>
  <c r="V659" i="4"/>
  <c r="N999" i="4"/>
  <c r="C678" i="4"/>
  <c r="X988" i="4"/>
  <c r="F481" i="4"/>
  <c r="W540" i="4"/>
  <c r="E585" i="4"/>
  <c r="L8" i="1" s="1"/>
  <c r="V588" i="4"/>
  <c r="O588" i="4"/>
  <c r="E643" i="4"/>
  <c r="F643" i="4" s="1"/>
  <c r="G643" i="4" s="1"/>
  <c r="V643" i="4"/>
  <c r="O643" i="4"/>
  <c r="M657" i="4"/>
  <c r="N657" i="4" s="1"/>
  <c r="F659" i="4"/>
  <c r="E459" i="4"/>
  <c r="F459" i="4" s="1"/>
  <c r="G459" i="4" s="1"/>
  <c r="E466" i="4"/>
  <c r="F466" i="4" s="1"/>
  <c r="E473" i="4"/>
  <c r="F473" i="4" s="1"/>
  <c r="E487" i="4"/>
  <c r="F487" i="4" s="1"/>
  <c r="E588" i="4"/>
  <c r="F588" i="4" s="1"/>
  <c r="W615" i="4"/>
  <c r="E415" i="4"/>
  <c r="F415" i="4" s="1"/>
  <c r="G415" i="4" s="1"/>
  <c r="E444" i="4"/>
  <c r="F444" i="4" s="1"/>
  <c r="G444" i="4" s="1"/>
  <c r="E451" i="4"/>
  <c r="F451" i="4" s="1"/>
  <c r="E458" i="4"/>
  <c r="F458" i="4" s="1"/>
  <c r="G458" i="4" s="1"/>
  <c r="E493" i="4"/>
  <c r="F493" i="4" s="1"/>
  <c r="E526" i="4"/>
  <c r="F526" i="4" s="1"/>
  <c r="O562" i="4"/>
  <c r="V610" i="4"/>
  <c r="O610" i="4"/>
  <c r="AH644" i="4"/>
  <c r="AI644" i="4" s="1"/>
  <c r="O650" i="4"/>
  <c r="V650" i="4"/>
  <c r="O657" i="4"/>
  <c r="D690" i="4"/>
  <c r="V538" i="4"/>
  <c r="O538" i="4"/>
  <c r="G1011" i="4"/>
  <c r="V582" i="4"/>
  <c r="O582" i="4"/>
  <c r="E582" i="4"/>
  <c r="L5" i="1" s="1"/>
  <c r="B989" i="4"/>
  <c r="V989" i="4" s="1"/>
  <c r="V594" i="4"/>
  <c r="O594" i="4"/>
  <c r="V618" i="4"/>
  <c r="O618" i="4"/>
  <c r="W631" i="4"/>
  <c r="F632" i="4"/>
  <c r="V632" i="4"/>
  <c r="W656" i="4" s="1"/>
  <c r="X656" i="4" s="1"/>
  <c r="L999" i="4"/>
  <c r="L1001" i="4" s="1"/>
  <c r="O635" i="4"/>
  <c r="V635" i="4"/>
  <c r="X985" i="4"/>
  <c r="E480" i="4"/>
  <c r="F480" i="4" s="1"/>
  <c r="O481" i="4"/>
  <c r="E499" i="4"/>
  <c r="F499" i="4" s="1"/>
  <c r="G499" i="4" s="1"/>
  <c r="E522" i="4"/>
  <c r="F522" i="4" s="1"/>
  <c r="E530" i="4"/>
  <c r="F530" i="4" s="1"/>
  <c r="E538" i="4"/>
  <c r="F538" i="4" s="1"/>
  <c r="H1009" i="4"/>
  <c r="N588" i="4"/>
  <c r="H1011" i="4" s="1"/>
  <c r="E594" i="4"/>
  <c r="N602" i="4"/>
  <c r="F610" i="4"/>
  <c r="W623" i="4"/>
  <c r="E618" i="4"/>
  <c r="L42" i="1" s="1"/>
  <c r="V624" i="4"/>
  <c r="O624" i="4"/>
  <c r="E632" i="4"/>
  <c r="E635" i="4"/>
  <c r="F635" i="4" s="1"/>
  <c r="AH646" i="4"/>
  <c r="AI646" i="4" s="1"/>
  <c r="F672" i="4"/>
  <c r="E377" i="4"/>
  <c r="F377" i="4" s="1"/>
  <c r="E392" i="4"/>
  <c r="F392" i="4" s="1"/>
  <c r="E465" i="4"/>
  <c r="F465" i="4" s="1"/>
  <c r="G465" i="4" s="1"/>
  <c r="E472" i="4"/>
  <c r="F472" i="4" s="1"/>
  <c r="G472" i="4" s="1"/>
  <c r="E479" i="4"/>
  <c r="F479" i="4" s="1"/>
  <c r="G479" i="4" s="1"/>
  <c r="E486" i="4"/>
  <c r="F486" i="4" s="1"/>
  <c r="E546" i="4"/>
  <c r="F546" i="4" s="1"/>
  <c r="V561" i="4"/>
  <c r="O561" i="4"/>
  <c r="V562" i="4"/>
  <c r="W586" i="4" s="1"/>
  <c r="X586" i="4" s="1"/>
  <c r="E568" i="4"/>
  <c r="F568" i="4" s="1"/>
  <c r="G568" i="4" s="1"/>
  <c r="E579" i="4"/>
  <c r="F579" i="4" s="1"/>
  <c r="B991" i="4"/>
  <c r="V991" i="4" s="1"/>
  <c r="V596" i="4"/>
  <c r="O596" i="4"/>
  <c r="F596" i="4"/>
  <c r="E624" i="4"/>
  <c r="L48" i="1" s="1"/>
  <c r="AG661" i="4"/>
  <c r="O522" i="4"/>
  <c r="V585" i="4"/>
  <c r="H999" i="4"/>
  <c r="V587" i="4"/>
  <c r="W611" i="4" s="1"/>
  <c r="X611" i="4" s="1"/>
  <c r="O587" i="4"/>
  <c r="E607" i="4"/>
  <c r="L30" i="1" s="1"/>
  <c r="O993" i="4"/>
  <c r="K999" i="4"/>
  <c r="V623" i="4"/>
  <c r="O623" i="4"/>
  <c r="M999" i="4"/>
  <c r="V647" i="4"/>
  <c r="E389" i="4"/>
  <c r="F389" i="4" s="1"/>
  <c r="E398" i="4"/>
  <c r="F398" i="4" s="1"/>
  <c r="E402" i="4"/>
  <c r="F402" i="4" s="1"/>
  <c r="G402" i="4" s="1"/>
  <c r="E435" i="4"/>
  <c r="F435" i="4" s="1"/>
  <c r="E442" i="4"/>
  <c r="F442" i="4" s="1"/>
  <c r="E449" i="4"/>
  <c r="F449" i="4" s="1"/>
  <c r="E485" i="4"/>
  <c r="E492" i="4"/>
  <c r="F492" i="4" s="1"/>
  <c r="O499" i="4"/>
  <c r="E517" i="4"/>
  <c r="F517" i="4" s="1"/>
  <c r="E587" i="4"/>
  <c r="L10" i="1" s="1"/>
  <c r="N610" i="4"/>
  <c r="P993" i="4" s="1"/>
  <c r="E623" i="4"/>
  <c r="E647" i="4"/>
  <c r="O648" i="4"/>
  <c r="E664" i="4"/>
  <c r="F664" i="4" s="1"/>
  <c r="AG665" i="4"/>
  <c r="AG679" i="4"/>
  <c r="F485" i="4"/>
  <c r="G485" i="4" s="1"/>
  <c r="F491" i="4"/>
  <c r="F587" i="4"/>
  <c r="E631" i="4"/>
  <c r="F631" i="4" s="1"/>
  <c r="V631" i="4"/>
  <c r="M1000" i="4"/>
  <c r="L982" i="4"/>
  <c r="R647" i="4"/>
  <c r="O647" i="4"/>
  <c r="M647" i="4"/>
  <c r="O994" i="4" s="1"/>
  <c r="AG660" i="4"/>
  <c r="V609" i="4"/>
  <c r="O609" i="4"/>
  <c r="O659" i="4"/>
  <c r="Q672" i="4"/>
  <c r="B987" i="4"/>
  <c r="V987" i="4" s="1"/>
  <c r="E592" i="4"/>
  <c r="E604" i="4"/>
  <c r="L27" i="1" s="1"/>
  <c r="E609" i="4"/>
  <c r="L32" i="1" s="1"/>
  <c r="E621" i="4"/>
  <c r="L45" i="1" s="1"/>
  <c r="E638" i="4"/>
  <c r="V646" i="4"/>
  <c r="O646" i="4"/>
  <c r="AC652" i="4"/>
  <c r="I655" i="4"/>
  <c r="E661" i="4"/>
  <c r="F666" i="4"/>
  <c r="Q675" i="4"/>
  <c r="B983" i="4"/>
  <c r="E600" i="4"/>
  <c r="F638" i="4"/>
  <c r="E646" i="4"/>
  <c r="F646" i="4" s="1"/>
  <c r="E999" i="4"/>
  <c r="E1001" i="4" s="1"/>
  <c r="E552" i="4"/>
  <c r="E565" i="4"/>
  <c r="F565" i="4" s="1"/>
  <c r="E581" i="4"/>
  <c r="E634" i="4"/>
  <c r="F634" i="4" s="1"/>
  <c r="M985" i="4"/>
  <c r="P650" i="4"/>
  <c r="M650" i="4"/>
  <c r="AG681" i="4"/>
  <c r="B990" i="4"/>
  <c r="V595" i="4"/>
  <c r="W619" i="4" s="1"/>
  <c r="X619" i="4" s="1"/>
  <c r="O987" i="4"/>
  <c r="Q656" i="4"/>
  <c r="D692" i="4" s="1"/>
  <c r="AG664" i="4"/>
  <c r="F671" i="4"/>
  <c r="AG680" i="4"/>
  <c r="X987" i="4"/>
  <c r="F537" i="4"/>
  <c r="F544" i="4"/>
  <c r="F551" i="4"/>
  <c r="F586" i="4"/>
  <c r="E595" i="4"/>
  <c r="O600" i="4"/>
  <c r="N604" i="4"/>
  <c r="P987" i="4" s="1"/>
  <c r="E608" i="4"/>
  <c r="L31" i="1" s="1"/>
  <c r="P992" i="4"/>
  <c r="O621" i="4"/>
  <c r="O631" i="4"/>
  <c r="E649" i="4"/>
  <c r="F649" i="4" s="1"/>
  <c r="M655" i="4"/>
  <c r="N655" i="4" s="1"/>
  <c r="R656" i="4"/>
  <c r="AG675" i="4"/>
  <c r="E514" i="4"/>
  <c r="E521" i="4"/>
  <c r="E1009" i="4"/>
  <c r="G999" i="4"/>
  <c r="G1001" i="4" s="1"/>
  <c r="E576" i="4"/>
  <c r="B986" i="4"/>
  <c r="O604" i="4"/>
  <c r="E612" i="4"/>
  <c r="L35" i="1" s="1"/>
  <c r="V616" i="4"/>
  <c r="W664" i="4" s="1"/>
  <c r="O616" i="4"/>
  <c r="V630" i="4"/>
  <c r="O630" i="4"/>
  <c r="O634" i="4"/>
  <c r="S656" i="4"/>
  <c r="O661" i="4"/>
  <c r="C665" i="4"/>
  <c r="Q666" i="4"/>
  <c r="AB666" i="4"/>
  <c r="AA666" i="4" s="1"/>
  <c r="F676" i="4"/>
  <c r="G676" i="4" s="1"/>
  <c r="C676" i="4"/>
  <c r="B23" i="2" s="1"/>
  <c r="AH674" i="4"/>
  <c r="AG674" i="4" s="1"/>
  <c r="Q679" i="4"/>
  <c r="D703" i="4" s="1"/>
  <c r="Q703" i="4" s="1"/>
  <c r="F682" i="4"/>
  <c r="G682" i="4" s="1"/>
  <c r="X1000" i="4"/>
  <c r="E1011" i="4"/>
  <c r="V592" i="4"/>
  <c r="W616" i="4" s="1"/>
  <c r="O991" i="4"/>
  <c r="N608" i="4"/>
  <c r="P991" i="4" s="1"/>
  <c r="AK636" i="4"/>
  <c r="AK625" i="4"/>
  <c r="AL641" i="4"/>
  <c r="AK630" i="4"/>
  <c r="AK641" i="4"/>
  <c r="AL629" i="4"/>
  <c r="AL640" i="4"/>
  <c r="AK629" i="4"/>
  <c r="AK640" i="4"/>
  <c r="AL628" i="4"/>
  <c r="AL639" i="4"/>
  <c r="AK628" i="4"/>
  <c r="AL638" i="4"/>
  <c r="AK627" i="4"/>
  <c r="AK638" i="4"/>
  <c r="AL637" i="4"/>
  <c r="E630" i="4"/>
  <c r="F630" i="4" s="1"/>
  <c r="O638" i="4"/>
  <c r="O645" i="4"/>
  <c r="E645" i="4"/>
  <c r="F645" i="4" s="1"/>
  <c r="E543" i="4"/>
  <c r="F543" i="4" s="1"/>
  <c r="G543" i="4" s="1"/>
  <c r="E550" i="4"/>
  <c r="F550" i="4" s="1"/>
  <c r="E557" i="4"/>
  <c r="F557" i="4" s="1"/>
  <c r="E564" i="4"/>
  <c r="F564" i="4" s="1"/>
  <c r="F569" i="4"/>
  <c r="F575" i="4"/>
  <c r="E590" i="4"/>
  <c r="L13" i="1" s="1"/>
  <c r="V600" i="4"/>
  <c r="J999" i="4"/>
  <c r="J1001" i="4" s="1"/>
  <c r="F616" i="4"/>
  <c r="V621" i="4"/>
  <c r="W657" i="4" s="1"/>
  <c r="X657" i="4" s="1"/>
  <c r="AK623" i="4"/>
  <c r="AK639" i="4"/>
  <c r="E637" i="4"/>
  <c r="F637" i="4" s="1"/>
  <c r="T656" i="4"/>
  <c r="Q661" i="4"/>
  <c r="D685" i="4" s="1"/>
  <c r="Q685" i="4" s="1"/>
  <c r="AB661" i="4"/>
  <c r="AA661" i="4" s="1"/>
  <c r="F665" i="4"/>
  <c r="C999" i="4"/>
  <c r="C1001" i="4" s="1"/>
  <c r="O551" i="4"/>
  <c r="F999" i="4"/>
  <c r="F1001" i="4" s="1"/>
  <c r="G1009" i="4"/>
  <c r="B985" i="4"/>
  <c r="V985" i="4" s="1"/>
  <c r="V602" i="4"/>
  <c r="E611" i="4"/>
  <c r="AL623" i="4"/>
  <c r="AK642" i="4"/>
  <c r="V634" i="4"/>
  <c r="I653" i="4"/>
  <c r="AC653" i="4"/>
  <c r="Q655" i="4"/>
  <c r="D691" i="4" s="1"/>
  <c r="M661" i="4"/>
  <c r="N661" i="4" s="1"/>
  <c r="O664" i="4"/>
  <c r="AG668" i="4"/>
  <c r="Q682" i="4"/>
  <c r="M1003" i="4"/>
  <c r="M1004" i="4" s="1"/>
  <c r="O1005" i="4"/>
  <c r="O1002" i="4" s="1"/>
  <c r="AA1006" i="4"/>
  <c r="Z1006" i="4"/>
  <c r="F669" i="4"/>
  <c r="G670" i="4" s="1"/>
  <c r="Q676" i="4"/>
  <c r="L983" i="4"/>
  <c r="AC641" i="4"/>
  <c r="AA641" i="4"/>
  <c r="E644" i="4"/>
  <c r="F644" i="4" s="1"/>
  <c r="E658" i="4"/>
  <c r="F658" i="4" s="1"/>
  <c r="M664" i="4"/>
  <c r="N664" i="4" s="1"/>
  <c r="AH667" i="4"/>
  <c r="AG667" i="4" s="1"/>
  <c r="M983" i="4"/>
  <c r="I994" i="4"/>
  <c r="H994" i="4"/>
  <c r="O992" i="4"/>
  <c r="Q660" i="4"/>
  <c r="D684" i="4" s="1"/>
  <c r="Q678" i="4"/>
  <c r="D702" i="4" s="1"/>
  <c r="D689" i="4"/>
  <c r="Q1010" i="4"/>
  <c r="Q670" i="4"/>
  <c r="D694" i="4" s="1"/>
  <c r="AB670" i="4"/>
  <c r="AA670" i="4" s="1"/>
  <c r="AH671" i="4"/>
  <c r="AG671" i="4" s="1"/>
  <c r="F673" i="4"/>
  <c r="G673" i="4" s="1"/>
  <c r="W994" i="4"/>
  <c r="I999" i="4"/>
  <c r="I1001" i="4" s="1"/>
  <c r="B982" i="4"/>
  <c r="L1009" i="4"/>
  <c r="M648" i="4"/>
  <c r="AC654" i="4"/>
  <c r="M659" i="4"/>
  <c r="N659" i="4" s="1"/>
  <c r="O663" i="4"/>
  <c r="R1000" i="4"/>
  <c r="E599" i="4"/>
  <c r="E613" i="4"/>
  <c r="E620" i="4"/>
  <c r="N635" i="4"/>
  <c r="K1011" i="4" s="1"/>
  <c r="E657" i="4"/>
  <c r="E662" i="4"/>
  <c r="F662" i="4" s="1"/>
  <c r="F667" i="4"/>
  <c r="G668" i="4" s="1"/>
  <c r="S1000" i="4"/>
  <c r="F599" i="4"/>
  <c r="F657" i="4"/>
  <c r="Q663" i="4"/>
  <c r="D687" i="4" s="1"/>
  <c r="N663" i="4"/>
  <c r="I992" i="4"/>
  <c r="X992" i="4"/>
  <c r="T1000" i="4"/>
  <c r="I1009" i="4"/>
  <c r="AB660" i="4"/>
  <c r="AA660" i="4" s="1"/>
  <c r="F677" i="4"/>
  <c r="G678" i="4" s="1"/>
  <c r="V1003" i="4"/>
  <c r="V1004" i="4" s="1"/>
  <c r="V1011" i="4"/>
  <c r="B993" i="4"/>
  <c r="AA637" i="4"/>
  <c r="F653" i="4"/>
  <c r="G653" i="4" s="1"/>
  <c r="I991" i="4"/>
  <c r="X991" i="4"/>
  <c r="C978" i="4"/>
  <c r="F679" i="4"/>
  <c r="G679" i="4" s="1"/>
  <c r="D978" i="4"/>
  <c r="H1001" i="4"/>
  <c r="N984" i="4"/>
  <c r="Q674" i="4"/>
  <c r="D698" i="4" s="1"/>
  <c r="AA644" i="4"/>
  <c r="Q701" i="4"/>
  <c r="X993" i="4"/>
  <c r="I983" i="4"/>
  <c r="W986" i="4"/>
  <c r="X994" i="4"/>
  <c r="D1004" i="4"/>
  <c r="H985" i="4"/>
  <c r="Y1003" i="4"/>
  <c r="Y1011" i="4"/>
  <c r="G1004" i="4"/>
  <c r="Z1005" i="4"/>
  <c r="X1011" i="4"/>
  <c r="W990" i="4"/>
  <c r="I993" i="4"/>
  <c r="H987" i="4"/>
  <c r="I987" i="4"/>
  <c r="W1011" i="4"/>
  <c r="X990" i="4"/>
  <c r="O1010" i="4"/>
  <c r="P1010" i="4"/>
  <c r="D688" i="4" l="1"/>
  <c r="Q688" i="4" s="1"/>
  <c r="D700" i="4"/>
  <c r="D712" i="4"/>
  <c r="J18" i="2"/>
  <c r="D707" i="4"/>
  <c r="Q707" i="4" s="1"/>
  <c r="D731" i="4" s="1"/>
  <c r="J52" i="2"/>
  <c r="G475" i="4"/>
  <c r="X490" i="4"/>
  <c r="G484" i="4"/>
  <c r="G575" i="4"/>
  <c r="G440" i="4"/>
  <c r="G531" i="4"/>
  <c r="W413" i="4"/>
  <c r="X413" i="4" s="1"/>
  <c r="G498" i="4"/>
  <c r="G638" i="4"/>
  <c r="G374" i="4"/>
  <c r="X598" i="4"/>
  <c r="X533" i="4"/>
  <c r="G509" i="4"/>
  <c r="F625" i="4"/>
  <c r="M49" i="1" s="1"/>
  <c r="L49" i="1"/>
  <c r="G663" i="4"/>
  <c r="G534" i="4"/>
  <c r="F598" i="4"/>
  <c r="F993" i="4" s="1"/>
  <c r="G546" i="4"/>
  <c r="G447" i="4"/>
  <c r="G645" i="4"/>
  <c r="X526" i="4"/>
  <c r="F618" i="4"/>
  <c r="G457" i="4"/>
  <c r="G512" i="4"/>
  <c r="G571" i="4"/>
  <c r="G496" i="4"/>
  <c r="G497" i="4"/>
  <c r="G391" i="4"/>
  <c r="X581" i="4"/>
  <c r="G486" i="4"/>
  <c r="I39" i="2"/>
  <c r="G476" i="4"/>
  <c r="D706" i="4"/>
  <c r="Q706" i="4" s="1"/>
  <c r="D709" i="4"/>
  <c r="Q709" i="4" s="1"/>
  <c r="F609" i="4"/>
  <c r="W637" i="4"/>
  <c r="X637" i="4" s="1"/>
  <c r="W511" i="4"/>
  <c r="X511" i="4" s="1"/>
  <c r="J56" i="2"/>
  <c r="C56" i="2" s="1"/>
  <c r="E56" i="2" s="1"/>
  <c r="G526" i="4"/>
  <c r="J22" i="2"/>
  <c r="E986" i="4"/>
  <c r="W558" i="4"/>
  <c r="X558" i="4" s="1"/>
  <c r="F604" i="4"/>
  <c r="G605" i="4" s="1"/>
  <c r="X615" i="4"/>
  <c r="W470" i="4"/>
  <c r="X470" i="4" s="1"/>
  <c r="F589" i="4"/>
  <c r="M12" i="1" s="1"/>
  <c r="G510" i="4"/>
  <c r="I37" i="2"/>
  <c r="F608" i="4"/>
  <c r="W516" i="4"/>
  <c r="F615" i="4"/>
  <c r="L39" i="1"/>
  <c r="L38" i="1"/>
  <c r="G517" i="4"/>
  <c r="G522" i="4"/>
  <c r="F602" i="4"/>
  <c r="G602" i="4" s="1"/>
  <c r="F617" i="4"/>
  <c r="G618" i="4" s="1"/>
  <c r="G462" i="4"/>
  <c r="W503" i="4"/>
  <c r="X503" i="4" s="1"/>
  <c r="G401" i="4"/>
  <c r="W409" i="4"/>
  <c r="X409" i="4" s="1"/>
  <c r="W477" i="4"/>
  <c r="G451" i="4"/>
  <c r="W617" i="4"/>
  <c r="W407" i="4"/>
  <c r="X407" i="4" s="1"/>
  <c r="G492" i="4"/>
  <c r="G425" i="4"/>
  <c r="R48" i="2"/>
  <c r="W568" i="4"/>
  <c r="X568" i="4" s="1"/>
  <c r="R53" i="2"/>
  <c r="F612" i="4"/>
  <c r="E993" i="4"/>
  <c r="M1001" i="4"/>
  <c r="G382" i="4"/>
  <c r="G529" i="4"/>
  <c r="W446" i="4"/>
  <c r="X446" i="4" s="1"/>
  <c r="W627" i="4"/>
  <c r="X627" i="4" s="1"/>
  <c r="W499" i="4"/>
  <c r="X499" i="4" s="1"/>
  <c r="F626" i="4"/>
  <c r="F985" i="4" s="1"/>
  <c r="G634" i="4"/>
  <c r="G381" i="4"/>
  <c r="W593" i="4"/>
  <c r="G578" i="4"/>
  <c r="R45" i="2"/>
  <c r="I18" i="2"/>
  <c r="G404" i="4"/>
  <c r="G631" i="4"/>
  <c r="K105" i="2"/>
  <c r="G408" i="4"/>
  <c r="G455" i="4"/>
  <c r="G410" i="4"/>
  <c r="F603" i="4"/>
  <c r="F986" i="4" s="1"/>
  <c r="G680" i="4"/>
  <c r="G488" i="4"/>
  <c r="W491" i="4"/>
  <c r="X491" i="4" s="1"/>
  <c r="W596" i="4"/>
  <c r="X596" i="4" s="1"/>
  <c r="G549" i="4"/>
  <c r="G461" i="4"/>
  <c r="F582" i="4"/>
  <c r="G582" i="4" s="1"/>
  <c r="G630" i="4"/>
  <c r="G377" i="4"/>
  <c r="W399" i="4"/>
  <c r="X399" i="4" s="1"/>
  <c r="G559" i="4"/>
  <c r="D704" i="4"/>
  <c r="Q704" i="4" s="1"/>
  <c r="G500" i="4"/>
  <c r="R47" i="2"/>
  <c r="F619" i="4"/>
  <c r="M43" i="1" s="1"/>
  <c r="L43" i="1"/>
  <c r="G551" i="4"/>
  <c r="I38" i="2"/>
  <c r="M126" i="2"/>
  <c r="F606" i="4"/>
  <c r="I36" i="2"/>
  <c r="G639" i="4"/>
  <c r="G389" i="4"/>
  <c r="D705" i="4"/>
  <c r="Q705" i="4" s="1"/>
  <c r="D729" i="4" s="1"/>
  <c r="G655" i="4"/>
  <c r="G656" i="4"/>
  <c r="I21" i="2"/>
  <c r="Q687" i="4"/>
  <c r="D711" i="4" s="1"/>
  <c r="G469" i="4"/>
  <c r="G470" i="4"/>
  <c r="G413" i="4"/>
  <c r="G414" i="4"/>
  <c r="G477" i="4"/>
  <c r="G478" i="4"/>
  <c r="G405" i="4"/>
  <c r="G432" i="4"/>
  <c r="G433" i="4"/>
  <c r="G658" i="4"/>
  <c r="G442" i="4"/>
  <c r="G443" i="4"/>
  <c r="W597" i="4"/>
  <c r="X597" i="4" s="1"/>
  <c r="H106" i="2"/>
  <c r="U106" i="2"/>
  <c r="M106" i="2"/>
  <c r="G657" i="4"/>
  <c r="G398" i="4"/>
  <c r="G399" i="4"/>
  <c r="W647" i="4"/>
  <c r="X647" i="4" s="1"/>
  <c r="W671" i="4"/>
  <c r="W460" i="4"/>
  <c r="X460" i="4" s="1"/>
  <c r="U102" i="2"/>
  <c r="V102" i="2" s="1"/>
  <c r="H102" i="2"/>
  <c r="M102" i="2"/>
  <c r="W633" i="4"/>
  <c r="X633" i="4" s="1"/>
  <c r="W645" i="4"/>
  <c r="X645" i="4" s="1"/>
  <c r="G1008" i="4"/>
  <c r="G1012" i="4" s="1"/>
  <c r="F576" i="4"/>
  <c r="G635" i="4"/>
  <c r="W662" i="4"/>
  <c r="G416" i="4"/>
  <c r="X452" i="4"/>
  <c r="W464" i="4"/>
  <c r="X464" i="4" s="1"/>
  <c r="W669" i="4"/>
  <c r="W476" i="4"/>
  <c r="X476" i="4" s="1"/>
  <c r="N116" i="2"/>
  <c r="L116" i="2"/>
  <c r="N114" i="2"/>
  <c r="L114" i="2"/>
  <c r="K93" i="2"/>
  <c r="W646" i="4"/>
  <c r="X646" i="4" s="1"/>
  <c r="G616" i="4"/>
  <c r="M40" i="1"/>
  <c r="O1007" i="4"/>
  <c r="D696" i="4"/>
  <c r="L1010" i="4"/>
  <c r="G636" i="4"/>
  <c r="G641" i="4"/>
  <c r="G640" i="4"/>
  <c r="S126" i="2"/>
  <c r="W440" i="4"/>
  <c r="X440" i="4" s="1"/>
  <c r="L107" i="2"/>
  <c r="N107" i="2"/>
  <c r="K104" i="2"/>
  <c r="W418" i="4"/>
  <c r="X418" i="4" s="1"/>
  <c r="X406" i="4"/>
  <c r="W454" i="4"/>
  <c r="X454" i="4" s="1"/>
  <c r="W466" i="4"/>
  <c r="X466" i="4" s="1"/>
  <c r="G579" i="4"/>
  <c r="G580" i="4"/>
  <c r="W521" i="4"/>
  <c r="X521" i="4" s="1"/>
  <c r="W545" i="4"/>
  <c r="X545" i="4" s="1"/>
  <c r="W557" i="4"/>
  <c r="X557" i="4" s="1"/>
  <c r="W569" i="4"/>
  <c r="X569" i="4" s="1"/>
  <c r="S127" i="2"/>
  <c r="G463" i="4"/>
  <c r="G464" i="4"/>
  <c r="D18" i="2"/>
  <c r="C18" i="2"/>
  <c r="E18" i="2" s="1"/>
  <c r="M22" i="1"/>
  <c r="J1008" i="4"/>
  <c r="J1012" i="4" s="1"/>
  <c r="F611" i="4"/>
  <c r="L34" i="1"/>
  <c r="G632" i="4"/>
  <c r="G633" i="4"/>
  <c r="W416" i="4"/>
  <c r="X416" i="4" s="1"/>
  <c r="W404" i="4"/>
  <c r="X404" i="4" s="1"/>
  <c r="W513" i="4"/>
  <c r="X513" i="4" s="1"/>
  <c r="W549" i="4"/>
  <c r="W537" i="4"/>
  <c r="X537" i="4" s="1"/>
  <c r="X400" i="4"/>
  <c r="W412" i="4"/>
  <c r="X412" i="4" s="1"/>
  <c r="W436" i="4"/>
  <c r="X436" i="4" s="1"/>
  <c r="W424" i="4"/>
  <c r="X424" i="4" s="1"/>
  <c r="W448" i="4"/>
  <c r="X448" i="4" s="1"/>
  <c r="W531" i="4"/>
  <c r="X531" i="4" s="1"/>
  <c r="W489" i="4"/>
  <c r="X489" i="4" s="1"/>
  <c r="X477" i="4"/>
  <c r="D52" i="2"/>
  <c r="C52" i="2"/>
  <c r="E52" i="2" s="1"/>
  <c r="L121" i="2"/>
  <c r="N121" i="2"/>
  <c r="N115" i="2"/>
  <c r="L115" i="2"/>
  <c r="Q692" i="4"/>
  <c r="D716" i="4" s="1"/>
  <c r="G392" i="4"/>
  <c r="G544" i="4"/>
  <c r="G545" i="4"/>
  <c r="G588" i="4"/>
  <c r="M11" i="1"/>
  <c r="G487" i="4"/>
  <c r="V986" i="4"/>
  <c r="G386" i="4"/>
  <c r="G387" i="4"/>
  <c r="N126" i="2"/>
  <c r="AN626" i="4"/>
  <c r="AO647" i="4"/>
  <c r="AN639" i="4"/>
  <c r="AN640" i="4" s="1"/>
  <c r="Q698" i="4"/>
  <c r="Q689" i="4"/>
  <c r="D713" i="4" s="1"/>
  <c r="B19" i="2"/>
  <c r="L37" i="1"/>
  <c r="F614" i="4"/>
  <c r="E985" i="4"/>
  <c r="G456" i="4"/>
  <c r="N117" i="2"/>
  <c r="L117" i="2"/>
  <c r="G409" i="4"/>
  <c r="W472" i="4"/>
  <c r="X472" i="4" s="1"/>
  <c r="W484" i="4"/>
  <c r="X484" i="4" s="1"/>
  <c r="G467" i="4"/>
  <c r="G468" i="4"/>
  <c r="G372" i="4"/>
  <c r="X631" i="4"/>
  <c r="W643" i="4"/>
  <c r="X643" i="4" s="1"/>
  <c r="W481" i="4"/>
  <c r="X481" i="4" s="1"/>
  <c r="X469" i="4"/>
  <c r="W493" i="4"/>
  <c r="X493" i="4" s="1"/>
  <c r="W505" i="4"/>
  <c r="X505" i="4" s="1"/>
  <c r="G435" i="4"/>
  <c r="G436" i="4"/>
  <c r="N1000" i="4"/>
  <c r="AA999" i="4"/>
  <c r="Z999" i="4"/>
  <c r="R52" i="2"/>
  <c r="N104" i="2"/>
  <c r="L104" i="2"/>
  <c r="L44" i="1"/>
  <c r="F620" i="4"/>
  <c r="F991" i="4" s="1"/>
  <c r="W614" i="4"/>
  <c r="X614" i="4" s="1"/>
  <c r="X602" i="4"/>
  <c r="W650" i="4"/>
  <c r="X650" i="4" s="1"/>
  <c r="G664" i="4"/>
  <c r="W655" i="4"/>
  <c r="X655" i="4" s="1"/>
  <c r="W605" i="4"/>
  <c r="X605" i="4" s="1"/>
  <c r="X593" i="4"/>
  <c r="G511" i="4"/>
  <c r="X403" i="4"/>
  <c r="W415" i="4"/>
  <c r="X415" i="4" s="1"/>
  <c r="W427" i="4"/>
  <c r="X427" i="4" s="1"/>
  <c r="W451" i="4"/>
  <c r="X451" i="4" s="1"/>
  <c r="V982" i="4"/>
  <c r="L978" i="4"/>
  <c r="Q984" i="4" s="1"/>
  <c r="W428" i="4"/>
  <c r="X428" i="4" s="1"/>
  <c r="W501" i="4"/>
  <c r="X501" i="4" s="1"/>
  <c r="G537" i="4"/>
  <c r="G473" i="4"/>
  <c r="H121" i="2"/>
  <c r="M121" i="2"/>
  <c r="U121" i="2"/>
  <c r="V121" i="2" s="1"/>
  <c r="Q719" i="4"/>
  <c r="H23" i="2"/>
  <c r="X23" i="2" s="1"/>
  <c r="W667" i="4"/>
  <c r="G418" i="4"/>
  <c r="G419" i="4"/>
  <c r="X425" i="4"/>
  <c r="W437" i="4"/>
  <c r="X437" i="4" s="1"/>
  <c r="L36" i="1"/>
  <c r="E984" i="4"/>
  <c r="F613" i="4"/>
  <c r="F984" i="4" s="1"/>
  <c r="Q702" i="4"/>
  <c r="G610" i="4"/>
  <c r="M33" i="1"/>
  <c r="F988" i="4"/>
  <c r="M16" i="1"/>
  <c r="W566" i="4"/>
  <c r="X554" i="4"/>
  <c r="G507" i="4"/>
  <c r="G508" i="4"/>
  <c r="G555" i="4"/>
  <c r="I17" i="2"/>
  <c r="W536" i="4"/>
  <c r="X536" i="4" s="1"/>
  <c r="V992" i="4"/>
  <c r="G992" i="4"/>
  <c r="G406" i="4"/>
  <c r="E990" i="4"/>
  <c r="L18" i="1"/>
  <c r="G501" i="4"/>
  <c r="G502" i="4"/>
  <c r="G452" i="4"/>
  <c r="Q691" i="4"/>
  <c r="D715" i="4" s="1"/>
  <c r="E994" i="4"/>
  <c r="L22" i="1"/>
  <c r="G649" i="4"/>
  <c r="G650" i="4"/>
  <c r="M1010" i="4"/>
  <c r="G539" i="4"/>
  <c r="G532" i="4"/>
  <c r="G533" i="4"/>
  <c r="G547" i="4"/>
  <c r="D1010" i="4"/>
  <c r="G540" i="4"/>
  <c r="G541" i="4"/>
  <c r="U120" i="2"/>
  <c r="V120" i="2" s="1"/>
  <c r="M120" i="2"/>
  <c r="H120" i="2"/>
  <c r="N120" i="2"/>
  <c r="G482" i="4"/>
  <c r="G483" i="4"/>
  <c r="M31" i="1"/>
  <c r="W984" i="4"/>
  <c r="G448" i="4"/>
  <c r="G660" i="4"/>
  <c r="W439" i="4"/>
  <c r="X439" i="4" s="1"/>
  <c r="M113" i="2"/>
  <c r="U113" i="2"/>
  <c r="E989" i="4"/>
  <c r="L17" i="1"/>
  <c r="F594" i="4"/>
  <c r="G466" i="4"/>
  <c r="W638" i="4"/>
  <c r="X638" i="4" s="1"/>
  <c r="V988" i="4"/>
  <c r="W585" i="4"/>
  <c r="X585" i="4" s="1"/>
  <c r="C112" i="2" a="1"/>
  <c r="C112" i="2" s="1"/>
  <c r="M112" i="2"/>
  <c r="J23" i="2"/>
  <c r="D23" i="2" s="1"/>
  <c r="J53" i="2"/>
  <c r="J54" i="2"/>
  <c r="W517" i="4"/>
  <c r="X517" i="4" s="1"/>
  <c r="W529" i="4"/>
  <c r="W565" i="4"/>
  <c r="X565" i="4" s="1"/>
  <c r="R100" i="2"/>
  <c r="J55" i="2"/>
  <c r="Q693" i="4"/>
  <c r="D717" i="4" s="1"/>
  <c r="M9" i="1"/>
  <c r="G449" i="4"/>
  <c r="G450" i="4"/>
  <c r="AH682" i="4"/>
  <c r="AG682" i="4" s="1"/>
  <c r="Q684" i="4"/>
  <c r="G441" i="4"/>
  <c r="G644" i="4"/>
  <c r="Q690" i="4"/>
  <c r="D714" i="4" s="1"/>
  <c r="V983" i="4"/>
  <c r="G646" i="4"/>
  <c r="X632" i="4"/>
  <c r="W644" i="4"/>
  <c r="X644" i="4" s="1"/>
  <c r="W668" i="4"/>
  <c r="N1007" i="4"/>
  <c r="G666" i="4"/>
  <c r="G538" i="4"/>
  <c r="G428" i="4"/>
  <c r="G429" i="4"/>
  <c r="L6" i="1"/>
  <c r="F583" i="4"/>
  <c r="G518" i="4"/>
  <c r="X540" i="4"/>
  <c r="W552" i="4"/>
  <c r="X552" i="4" s="1"/>
  <c r="W564" i="4"/>
  <c r="X564" i="4" s="1"/>
  <c r="W576" i="4"/>
  <c r="X576" i="4" s="1"/>
  <c r="W588" i="4"/>
  <c r="X588" i="4" s="1"/>
  <c r="G101" i="2"/>
  <c r="H108" i="2"/>
  <c r="U108" i="2"/>
  <c r="V108" i="2" s="1"/>
  <c r="M108" i="2"/>
  <c r="W488" i="4"/>
  <c r="X488" i="4" s="1"/>
  <c r="W524" i="4"/>
  <c r="X524" i="4" s="1"/>
  <c r="W430" i="4"/>
  <c r="X430" i="4" s="1"/>
  <c r="W543" i="4"/>
  <c r="X543" i="4" s="1"/>
  <c r="W591" i="4"/>
  <c r="X591" i="4" s="1"/>
  <c r="W555" i="4"/>
  <c r="X555" i="4" s="1"/>
  <c r="W579" i="4"/>
  <c r="X579" i="4" s="1"/>
  <c r="N648" i="4"/>
  <c r="P983" i="4" s="1"/>
  <c r="O983" i="4"/>
  <c r="W423" i="4"/>
  <c r="X423" i="4" s="1"/>
  <c r="X411" i="4"/>
  <c r="W447" i="4"/>
  <c r="X447" i="4" s="1"/>
  <c r="W459" i="4"/>
  <c r="X459" i="4" s="1"/>
  <c r="G651" i="4"/>
  <c r="G652" i="4"/>
  <c r="U101" i="2"/>
  <c r="M101" i="2"/>
  <c r="H101" i="2"/>
  <c r="G557" i="4"/>
  <c r="G558" i="4"/>
  <c r="B978" i="4"/>
  <c r="G983" i="4" s="1"/>
  <c r="G445" i="4"/>
  <c r="N649" i="4"/>
  <c r="P984" i="4" s="1"/>
  <c r="F595" i="4"/>
  <c r="G596" i="4" s="1"/>
  <c r="G439" i="4"/>
  <c r="G373" i="4"/>
  <c r="G378" i="4"/>
  <c r="G519" i="4"/>
  <c r="G520" i="4"/>
  <c r="N650" i="4"/>
  <c r="P985" i="4" s="1"/>
  <c r="O985" i="4"/>
  <c r="F661" i="4"/>
  <c r="G662" i="4" s="1"/>
  <c r="G530" i="4"/>
  <c r="W609" i="4"/>
  <c r="X609" i="4" s="1"/>
  <c r="G460" i="4"/>
  <c r="G489" i="4"/>
  <c r="W463" i="4"/>
  <c r="X463" i="4" s="1"/>
  <c r="M119" i="2"/>
  <c r="H119" i="2"/>
  <c r="U119" i="2"/>
  <c r="V119" i="2" s="1"/>
  <c r="W519" i="4"/>
  <c r="X519" i="4" s="1"/>
  <c r="W612" i="4"/>
  <c r="X612" i="4" s="1"/>
  <c r="W405" i="4"/>
  <c r="X405" i="4" s="1"/>
  <c r="AA1009" i="4"/>
  <c r="H123" i="2"/>
  <c r="U123" i="2"/>
  <c r="M123" i="2"/>
  <c r="F1010" i="4"/>
  <c r="G564" i="4"/>
  <c r="W659" i="4"/>
  <c r="X659" i="4" s="1"/>
  <c r="X639" i="4"/>
  <c r="W651" i="4"/>
  <c r="X651" i="4" s="1"/>
  <c r="G548" i="4"/>
  <c r="C113" i="2" a="1"/>
  <c r="C113" i="2" s="1"/>
  <c r="G453" i="4"/>
  <c r="R54" i="2"/>
  <c r="H22" i="2"/>
  <c r="D22" i="2"/>
  <c r="C22" i="2"/>
  <c r="E22" i="2" s="1"/>
  <c r="G569" i="4"/>
  <c r="B16" i="2"/>
  <c r="E983" i="4"/>
  <c r="I1008" i="4"/>
  <c r="I1012" i="4" s="1"/>
  <c r="L23" i="1"/>
  <c r="M42" i="1"/>
  <c r="W571" i="4"/>
  <c r="X571" i="4" s="1"/>
  <c r="E988" i="4"/>
  <c r="L16" i="1"/>
  <c r="W419" i="4"/>
  <c r="X419" i="4" s="1"/>
  <c r="W443" i="4"/>
  <c r="X443" i="4" s="1"/>
  <c r="G480" i="4"/>
  <c r="W417" i="4"/>
  <c r="X417" i="4" s="1"/>
  <c r="C102" i="2" a="1"/>
  <c r="C102" i="2" s="1"/>
  <c r="C130" i="2" s="1"/>
  <c r="W431" i="4"/>
  <c r="X431" i="4" s="1"/>
  <c r="G390" i="4"/>
  <c r="C1008" i="4"/>
  <c r="C1012" i="4" s="1"/>
  <c r="J46" i="2"/>
  <c r="J17" i="2"/>
  <c r="J45" i="2"/>
  <c r="I9" i="2"/>
  <c r="X983" i="4"/>
  <c r="N978" i="4"/>
  <c r="S983" i="4" s="1"/>
  <c r="W583" i="4"/>
  <c r="X583" i="4" s="1"/>
  <c r="G560" i="4"/>
  <c r="M114" i="2"/>
  <c r="H114" i="2"/>
  <c r="J93" i="2"/>
  <c r="U114" i="2"/>
  <c r="V114" i="2" s="1"/>
  <c r="W624" i="4"/>
  <c r="X624" i="4" s="1"/>
  <c r="W589" i="4"/>
  <c r="X589" i="4" s="1"/>
  <c r="G674" i="4"/>
  <c r="K107" i="2"/>
  <c r="K127" i="2" s="1"/>
  <c r="W658" i="4"/>
  <c r="X658" i="4" s="1"/>
  <c r="W670" i="4"/>
  <c r="M1008" i="4"/>
  <c r="Q126" i="2"/>
  <c r="G609" i="4"/>
  <c r="M32" i="1"/>
  <c r="W630" i="4"/>
  <c r="X618" i="4"/>
  <c r="W653" i="4"/>
  <c r="X653" i="4" s="1"/>
  <c r="W600" i="4"/>
  <c r="X600" i="4" s="1"/>
  <c r="X461" i="4"/>
  <c r="W473" i="4"/>
  <c r="X473" i="4" s="1"/>
  <c r="W485" i="4"/>
  <c r="X485" i="4" s="1"/>
  <c r="W438" i="4"/>
  <c r="X438" i="4" s="1"/>
  <c r="X426" i="4"/>
  <c r="W613" i="4"/>
  <c r="X613" i="4" s="1"/>
  <c r="W625" i="4"/>
  <c r="X625" i="4" s="1"/>
  <c r="G524" i="4"/>
  <c r="N119" i="2"/>
  <c r="L119" i="2"/>
  <c r="J19" i="2"/>
  <c r="W983" i="4"/>
  <c r="M978" i="4"/>
  <c r="R985" i="4" s="1"/>
  <c r="R983" i="4"/>
  <c r="Q700" i="4"/>
  <c r="D724" i="4" s="1"/>
  <c r="F1008" i="4"/>
  <c r="F1012" i="4" s="1"/>
  <c r="F600" i="4"/>
  <c r="W621" i="4"/>
  <c r="X621" i="4" s="1"/>
  <c r="M19" i="1"/>
  <c r="F585" i="4"/>
  <c r="G586" i="4" s="1"/>
  <c r="W449" i="4"/>
  <c r="X449" i="4" s="1"/>
  <c r="G424" i="4"/>
  <c r="Q46" i="2"/>
  <c r="R46" i="2" s="1"/>
  <c r="D1008" i="4"/>
  <c r="D1012" i="4" s="1"/>
  <c r="W465" i="4"/>
  <c r="X465" i="4" s="1"/>
  <c r="W626" i="4"/>
  <c r="X626" i="4" s="1"/>
  <c r="M104" i="2"/>
  <c r="H104" i="2"/>
  <c r="U104" i="2"/>
  <c r="V104" i="2" s="1"/>
  <c r="G527" i="4"/>
  <c r="W548" i="4"/>
  <c r="X548" i="4" s="1"/>
  <c r="Z110" i="2"/>
  <c r="Z103" i="2"/>
  <c r="N122" i="2"/>
  <c r="L122" i="2"/>
  <c r="M100" i="2"/>
  <c r="H100" i="2"/>
  <c r="U100" i="2"/>
  <c r="V100" i="2" s="1"/>
  <c r="G669" i="4"/>
  <c r="G393" i="4"/>
  <c r="I988" i="4"/>
  <c r="H988" i="4"/>
  <c r="H989" i="4"/>
  <c r="I985" i="4"/>
  <c r="I986" i="4"/>
  <c r="H993" i="4"/>
  <c r="I984" i="4"/>
  <c r="I989" i="4"/>
  <c r="H983" i="4"/>
  <c r="H992" i="4"/>
  <c r="I1011" i="4"/>
  <c r="R1003" i="4"/>
  <c r="R1004" i="4" s="1"/>
  <c r="R1011" i="4"/>
  <c r="F581" i="4"/>
  <c r="L4" i="1"/>
  <c r="U999" i="4"/>
  <c r="K1001" i="4"/>
  <c r="W608" i="4"/>
  <c r="X608" i="4" s="1"/>
  <c r="W620" i="4"/>
  <c r="X620" i="4" s="1"/>
  <c r="G672" i="4"/>
  <c r="W541" i="4"/>
  <c r="X541" i="4" s="1"/>
  <c r="X529" i="4"/>
  <c r="G407" i="4"/>
  <c r="G570" i="4"/>
  <c r="O1000" i="4"/>
  <c r="W561" i="4"/>
  <c r="X561" i="4" s="1"/>
  <c r="X549" i="4"/>
  <c r="G654" i="4"/>
  <c r="G422" i="4"/>
  <c r="X510" i="4"/>
  <c r="W522" i="4"/>
  <c r="X522" i="4" s="1"/>
  <c r="W534" i="4"/>
  <c r="X534" i="4" s="1"/>
  <c r="W496" i="4"/>
  <c r="X496" i="4" s="1"/>
  <c r="W508" i="4"/>
  <c r="X508" i="4" s="1"/>
  <c r="W435" i="4"/>
  <c r="X435" i="4" s="1"/>
  <c r="W471" i="4"/>
  <c r="X471" i="4" s="1"/>
  <c r="W520" i="4"/>
  <c r="X520" i="4" s="1"/>
  <c r="U105" i="2"/>
  <c r="M105" i="2"/>
  <c r="H105" i="2"/>
  <c r="R49" i="2"/>
  <c r="N109" i="2"/>
  <c r="L109" i="2"/>
  <c r="V109" i="2"/>
  <c r="V101" i="2"/>
  <c r="N101" i="2"/>
  <c r="L101" i="2"/>
  <c r="E992" i="4"/>
  <c r="L20" i="1"/>
  <c r="F597" i="4"/>
  <c r="W450" i="4"/>
  <c r="X450" i="4" s="1"/>
  <c r="G550" i="4"/>
  <c r="W441" i="4"/>
  <c r="X441" i="4" s="1"/>
  <c r="E987" i="4"/>
  <c r="L15" i="1"/>
  <c r="W635" i="4"/>
  <c r="X635" i="4" s="1"/>
  <c r="X623" i="4"/>
  <c r="X610" i="4"/>
  <c r="W622" i="4"/>
  <c r="X622" i="4" s="1"/>
  <c r="W634" i="4"/>
  <c r="X634" i="4" s="1"/>
  <c r="W590" i="4"/>
  <c r="X590" i="4" s="1"/>
  <c r="W595" i="4"/>
  <c r="W462" i="4"/>
  <c r="X462" i="4" s="1"/>
  <c r="U115" i="2"/>
  <c r="V115" i="2" s="1"/>
  <c r="M115" i="2"/>
  <c r="H115" i="2"/>
  <c r="V993" i="4"/>
  <c r="S1011" i="4"/>
  <c r="S1003" i="4"/>
  <c r="S1004" i="4" s="1"/>
  <c r="G565" i="4"/>
  <c r="F592" i="4"/>
  <c r="F514" i="4"/>
  <c r="G514" i="4" s="1"/>
  <c r="X495" i="4"/>
  <c r="W507" i="4"/>
  <c r="X507" i="4" s="1"/>
  <c r="X482" i="4"/>
  <c r="W494" i="4"/>
  <c r="X494" i="4" s="1"/>
  <c r="W528" i="4"/>
  <c r="X528" i="4" s="1"/>
  <c r="X516" i="4"/>
  <c r="G601" i="4"/>
  <c r="M24" i="1"/>
  <c r="W663" i="4"/>
  <c r="G102" i="2"/>
  <c r="H116" i="2"/>
  <c r="U116" i="2"/>
  <c r="V116" i="2" s="1"/>
  <c r="M116" i="2"/>
  <c r="G525" i="4"/>
  <c r="N112" i="2"/>
  <c r="L112" i="2"/>
  <c r="J20" i="2"/>
  <c r="J49" i="2"/>
  <c r="J16" i="2"/>
  <c r="G671" i="4"/>
  <c r="F647" i="4"/>
  <c r="W606" i="4"/>
  <c r="X606" i="4" s="1"/>
  <c r="I33" i="2"/>
  <c r="J51" i="2"/>
  <c r="J50" i="2"/>
  <c r="J21" i="2"/>
  <c r="Y1004" i="4"/>
  <c r="T1003" i="4"/>
  <c r="T1004" i="4" s="1"/>
  <c r="T1011" i="4"/>
  <c r="E1008" i="4"/>
  <c r="E1012" i="4" s="1"/>
  <c r="F552" i="4"/>
  <c r="F590" i="4"/>
  <c r="W530" i="4"/>
  <c r="X530" i="4" s="1"/>
  <c r="W542" i="4"/>
  <c r="X542" i="4" s="1"/>
  <c r="G572" i="4"/>
  <c r="X523" i="4"/>
  <c r="W535" i="4"/>
  <c r="X535" i="4" s="1"/>
  <c r="W666" i="4"/>
  <c r="G411" i="4"/>
  <c r="W601" i="4"/>
  <c r="X601" i="4" s="1"/>
  <c r="W509" i="4"/>
  <c r="X509" i="4" s="1"/>
  <c r="U124" i="2"/>
  <c r="M124" i="2"/>
  <c r="M127" i="2" s="1"/>
  <c r="H124" i="2"/>
  <c r="W420" i="4"/>
  <c r="X420" i="4" s="1"/>
  <c r="W468" i="4"/>
  <c r="X468" i="4" s="1"/>
  <c r="X456" i="4"/>
  <c r="W442" i="4"/>
  <c r="X442" i="4" s="1"/>
  <c r="W478" i="4"/>
  <c r="X478" i="4" s="1"/>
  <c r="G106" i="2"/>
  <c r="V123" i="2"/>
  <c r="N123" i="2"/>
  <c r="L123" i="2"/>
  <c r="W985" i="4"/>
  <c r="F621" i="4"/>
  <c r="G516" i="4"/>
  <c r="W434" i="4"/>
  <c r="X434" i="4" s="1"/>
  <c r="X422" i="4"/>
  <c r="W458" i="4"/>
  <c r="X458" i="4" s="1"/>
  <c r="H990" i="4"/>
  <c r="H986" i="4"/>
  <c r="H991" i="4"/>
  <c r="G665" i="4"/>
  <c r="G587" i="4"/>
  <c r="M10" i="1"/>
  <c r="F607" i="4"/>
  <c r="G608" i="4" s="1"/>
  <c r="L1008" i="4"/>
  <c r="L1012" i="4" s="1"/>
  <c r="G481" i="4"/>
  <c r="W654" i="4"/>
  <c r="X654" i="4" s="1"/>
  <c r="W467" i="4"/>
  <c r="X467" i="4" s="1"/>
  <c r="C1010" i="4"/>
  <c r="G528" i="4"/>
  <c r="W652" i="4"/>
  <c r="X652" i="4" s="1"/>
  <c r="R106" i="2"/>
  <c r="M109" i="2"/>
  <c r="U109" i="2"/>
  <c r="H109" i="2"/>
  <c r="R103" i="2"/>
  <c r="G383" i="4"/>
  <c r="AA1001" i="4"/>
  <c r="Q50" i="2"/>
  <c r="W453" i="4"/>
  <c r="X453" i="4" s="1"/>
  <c r="V110" i="2"/>
  <c r="N110" i="2"/>
  <c r="L110" i="2"/>
  <c r="N102" i="2"/>
  <c r="L102" i="2"/>
  <c r="Q694" i="4"/>
  <c r="D718" i="4" s="1"/>
  <c r="G426" i="4"/>
  <c r="R55" i="2"/>
  <c r="X629" i="4"/>
  <c r="W641" i="4"/>
  <c r="X641" i="4" s="1"/>
  <c r="H1008" i="4"/>
  <c r="H1012" i="4" s="1"/>
  <c r="L11" i="1"/>
  <c r="G495" i="4"/>
  <c r="R101" i="2"/>
  <c r="W572" i="4"/>
  <c r="X572" i="4" s="1"/>
  <c r="X560" i="4"/>
  <c r="I990" i="4"/>
  <c r="X1003" i="4"/>
  <c r="X1004" i="4" s="1"/>
  <c r="J791" i="4"/>
  <c r="X630" i="4"/>
  <c r="W642" i="4"/>
  <c r="X642" i="4" s="1"/>
  <c r="W661" i="4"/>
  <c r="W577" i="4"/>
  <c r="X577" i="4" s="1"/>
  <c r="E991" i="4"/>
  <c r="X582" i="4"/>
  <c r="W594" i="4"/>
  <c r="X594" i="4" s="1"/>
  <c r="X617" i="4"/>
  <c r="W629" i="4"/>
  <c r="X421" i="4"/>
  <c r="W433" i="4"/>
  <c r="X433" i="4" s="1"/>
  <c r="W584" i="4"/>
  <c r="X584" i="4" s="1"/>
  <c r="W506" i="4"/>
  <c r="X506" i="4" s="1"/>
  <c r="C682" i="4"/>
  <c r="E683" i="4"/>
  <c r="G566" i="4"/>
  <c r="U110" i="2"/>
  <c r="H110" i="2"/>
  <c r="M110" i="2"/>
  <c r="U122" i="2"/>
  <c r="V122" i="2" s="1"/>
  <c r="M122" i="2"/>
  <c r="H122" i="2"/>
  <c r="G412" i="4"/>
  <c r="G107" i="2"/>
  <c r="I35" i="2"/>
  <c r="Z102" i="2"/>
  <c r="L111" i="2"/>
  <c r="V111" i="2"/>
  <c r="N111" i="2"/>
  <c r="V113" i="2"/>
  <c r="N113" i="2"/>
  <c r="L113" i="2"/>
  <c r="G474" i="4"/>
  <c r="H103" i="2"/>
  <c r="U103" i="2"/>
  <c r="V103" i="2" s="1"/>
  <c r="M103" i="2"/>
  <c r="P1003" i="4"/>
  <c r="G417" i="4"/>
  <c r="J40" i="1"/>
  <c r="N108" i="2"/>
  <c r="L108" i="2"/>
  <c r="N124" i="2"/>
  <c r="N127" i="2" s="1"/>
  <c r="V124" i="2"/>
  <c r="L124" i="2"/>
  <c r="J47" i="2"/>
  <c r="R51" i="2"/>
  <c r="X984" i="4"/>
  <c r="X532" i="4"/>
  <c r="W544" i="4"/>
  <c r="X544" i="4" s="1"/>
  <c r="W556" i="4"/>
  <c r="X556" i="4" s="1"/>
  <c r="K1008" i="4"/>
  <c r="K1012" i="4" s="1"/>
  <c r="F623" i="4"/>
  <c r="L47" i="1"/>
  <c r="Q686" i="4"/>
  <c r="D710" i="4" s="1"/>
  <c r="W408" i="4"/>
  <c r="X408" i="4" s="1"/>
  <c r="X396" i="4"/>
  <c r="G681" i="4"/>
  <c r="M1009" i="4"/>
  <c r="G454" i="4"/>
  <c r="W500" i="4"/>
  <c r="X500" i="4" s="1"/>
  <c r="X445" i="4"/>
  <c r="W457" i="4"/>
  <c r="X457" i="4" s="1"/>
  <c r="R44" i="2"/>
  <c r="J48" i="2"/>
  <c r="U107" i="2"/>
  <c r="V107" i="2" s="1"/>
  <c r="M107" i="2"/>
  <c r="H107" i="2"/>
  <c r="R56" i="2"/>
  <c r="X7" i="2"/>
  <c r="I7" i="2"/>
  <c r="W475" i="4"/>
  <c r="X475" i="4" s="1"/>
  <c r="Z113" i="2"/>
  <c r="N105" i="2"/>
  <c r="L105" i="2"/>
  <c r="V105" i="2"/>
  <c r="J44" i="2"/>
  <c r="W604" i="4"/>
  <c r="X604" i="4" s="1"/>
  <c r="W640" i="4"/>
  <c r="X640" i="4" s="1"/>
  <c r="L118" i="2"/>
  <c r="N118" i="2"/>
  <c r="V118" i="2"/>
  <c r="V984" i="4"/>
  <c r="G667" i="4"/>
  <c r="X616" i="4"/>
  <c r="W628" i="4"/>
  <c r="X628" i="4" s="1"/>
  <c r="X595" i="4"/>
  <c r="W607" i="4"/>
  <c r="X607" i="4" s="1"/>
  <c r="N647" i="4"/>
  <c r="L1011" i="4" s="1"/>
  <c r="W599" i="4"/>
  <c r="X599" i="4" s="1"/>
  <c r="X587" i="4"/>
  <c r="W573" i="4"/>
  <c r="X573" i="4" s="1"/>
  <c r="F624" i="4"/>
  <c r="W550" i="4"/>
  <c r="X550" i="4" s="1"/>
  <c r="X538" i="4"/>
  <c r="G659" i="4"/>
  <c r="G446" i="4"/>
  <c r="W547" i="4"/>
  <c r="X547" i="4" s="1"/>
  <c r="W479" i="4"/>
  <c r="X479" i="4" s="1"/>
  <c r="W648" i="4"/>
  <c r="X648" i="4" s="1"/>
  <c r="W483" i="4"/>
  <c r="X483" i="4" s="1"/>
  <c r="G394" i="4"/>
  <c r="W512" i="4"/>
  <c r="X512" i="4" s="1"/>
  <c r="U117" i="2"/>
  <c r="V117" i="2" s="1"/>
  <c r="M117" i="2"/>
  <c r="H117" i="2"/>
  <c r="W567" i="4"/>
  <c r="X567" i="4" s="1"/>
  <c r="W570" i="4"/>
  <c r="X570" i="4" s="1"/>
  <c r="G403" i="4"/>
  <c r="W486" i="4"/>
  <c r="X486" i="4" s="1"/>
  <c r="X474" i="4"/>
  <c r="W498" i="4"/>
  <c r="X498" i="4" s="1"/>
  <c r="G375" i="4"/>
  <c r="H118" i="2"/>
  <c r="M118" i="2"/>
  <c r="U118" i="2"/>
  <c r="Z105" i="2"/>
  <c r="Z116" i="2"/>
  <c r="V106" i="2"/>
  <c r="N106" i="2"/>
  <c r="L106" i="2"/>
  <c r="K114" i="2"/>
  <c r="R50" i="2"/>
  <c r="W429" i="4"/>
  <c r="X429" i="4" s="1"/>
  <c r="G677" i="4"/>
  <c r="X562" i="4"/>
  <c r="W574" i="4"/>
  <c r="X574" i="4" s="1"/>
  <c r="W480" i="4"/>
  <c r="X480" i="4" s="1"/>
  <c r="W504" i="4"/>
  <c r="X504" i="4" s="1"/>
  <c r="G612" i="4"/>
  <c r="M35" i="1"/>
  <c r="X539" i="4"/>
  <c r="W551" i="4"/>
  <c r="X551" i="4" s="1"/>
  <c r="W563" i="4"/>
  <c r="X563" i="4" s="1"/>
  <c r="W575" i="4"/>
  <c r="X575" i="4" s="1"/>
  <c r="Q712" i="4"/>
  <c r="W636" i="4"/>
  <c r="X636" i="4" s="1"/>
  <c r="G493" i="4"/>
  <c r="Q1003" i="4"/>
  <c r="Q1004" i="4" s="1"/>
  <c r="W492" i="4"/>
  <c r="X492" i="4" s="1"/>
  <c r="H984" i="4"/>
  <c r="G637" i="4"/>
  <c r="V990" i="4"/>
  <c r="D699" i="4"/>
  <c r="Q697" i="4"/>
  <c r="D721" i="4" s="1"/>
  <c r="G491" i="4"/>
  <c r="G675" i="4"/>
  <c r="W518" i="4"/>
  <c r="X518" i="4" s="1"/>
  <c r="W444" i="4"/>
  <c r="X444" i="4" s="1"/>
  <c r="X515" i="4"/>
  <c r="W527" i="4"/>
  <c r="X527" i="4" s="1"/>
  <c r="W487" i="4"/>
  <c r="X487" i="4" s="1"/>
  <c r="W592" i="4"/>
  <c r="X592" i="4" s="1"/>
  <c r="W559" i="4"/>
  <c r="X559" i="4" s="1"/>
  <c r="X566" i="4"/>
  <c r="W578" i="4"/>
  <c r="X578" i="4" s="1"/>
  <c r="I4" i="2"/>
  <c r="G108" i="2"/>
  <c r="U112" i="2"/>
  <c r="V112" i="2" s="1"/>
  <c r="Z100" i="2"/>
  <c r="N100" i="2"/>
  <c r="L100" i="2"/>
  <c r="N103" i="2"/>
  <c r="L103" i="2"/>
  <c r="S984" i="4" l="1"/>
  <c r="D725" i="4"/>
  <c r="D728" i="4"/>
  <c r="M26" i="1"/>
  <c r="G617" i="4"/>
  <c r="G603" i="4"/>
  <c r="I659" i="4"/>
  <c r="M41" i="1"/>
  <c r="G598" i="4"/>
  <c r="M21" i="1"/>
  <c r="G515" i="4"/>
  <c r="I660" i="4"/>
  <c r="M5" i="1"/>
  <c r="M25" i="1"/>
  <c r="G599" i="4"/>
  <c r="H1010" i="4"/>
  <c r="G589" i="4"/>
  <c r="J1010" i="4"/>
  <c r="G987" i="4"/>
  <c r="B748" i="4" s="1"/>
  <c r="G619" i="4"/>
  <c r="K128" i="2"/>
  <c r="K132" i="2" s="1"/>
  <c r="G988" i="4"/>
  <c r="B713" i="4" s="1"/>
  <c r="I666" i="4"/>
  <c r="M27" i="1"/>
  <c r="D726" i="4"/>
  <c r="Q726" i="4" s="1"/>
  <c r="G986" i="4"/>
  <c r="G128" i="2"/>
  <c r="G131" i="2" s="1"/>
  <c r="M50" i="1"/>
  <c r="G627" i="4"/>
  <c r="G626" i="4"/>
  <c r="I23" i="2"/>
  <c r="G604" i="4"/>
  <c r="F994" i="4"/>
  <c r="M39" i="1"/>
  <c r="M38" i="1"/>
  <c r="D56" i="2"/>
  <c r="I671" i="4"/>
  <c r="M29" i="1"/>
  <c r="G606" i="4"/>
  <c r="M1012" i="4"/>
  <c r="D722" i="4"/>
  <c r="Q722" i="4" s="1"/>
  <c r="D736" i="4"/>
  <c r="Q736" i="4" s="1"/>
  <c r="B792" i="4"/>
  <c r="B756" i="4"/>
  <c r="B696" i="4"/>
  <c r="B684" i="4"/>
  <c r="B768" i="4"/>
  <c r="B708" i="4"/>
  <c r="B720" i="4"/>
  <c r="B732" i="4"/>
  <c r="B780" i="4"/>
  <c r="J769" i="4"/>
  <c r="J757" i="4"/>
  <c r="J721" i="4"/>
  <c r="J697" i="4"/>
  <c r="J709" i="4"/>
  <c r="J685" i="4"/>
  <c r="J733" i="4"/>
  <c r="J781" i="4"/>
  <c r="Q982" i="4"/>
  <c r="B724" i="4"/>
  <c r="B736" i="4"/>
  <c r="B772" i="4"/>
  <c r="B700" i="4"/>
  <c r="B688" i="4"/>
  <c r="P1007" i="4"/>
  <c r="P1005" i="4" s="1"/>
  <c r="P1002" i="4" s="1"/>
  <c r="P1004" i="4" s="1"/>
  <c r="D708" i="4"/>
  <c r="G621" i="4"/>
  <c r="M45" i="1"/>
  <c r="G622" i="4"/>
  <c r="Q724" i="4"/>
  <c r="D748" i="4" s="1"/>
  <c r="C47" i="2"/>
  <c r="E47" i="2" s="1"/>
  <c r="D47" i="2"/>
  <c r="Q696" i="4"/>
  <c r="G581" i="4"/>
  <c r="M4" i="1"/>
  <c r="B777" i="4"/>
  <c r="B765" i="4"/>
  <c r="B741" i="4"/>
  <c r="B729" i="4"/>
  <c r="B705" i="4"/>
  <c r="B717" i="4"/>
  <c r="B693" i="4"/>
  <c r="B789" i="4"/>
  <c r="Q710" i="4"/>
  <c r="D734" i="4" s="1"/>
  <c r="Q721" i="4"/>
  <c r="D745" i="4" s="1"/>
  <c r="Q731" i="4"/>
  <c r="D755" i="4" s="1"/>
  <c r="K130" i="2"/>
  <c r="G982" i="4"/>
  <c r="B743" i="4" s="1"/>
  <c r="F989" i="4"/>
  <c r="G594" i="4"/>
  <c r="M17" i="1"/>
  <c r="C23" i="2"/>
  <c r="E23" i="2" s="1"/>
  <c r="AA1000" i="4"/>
  <c r="J667" i="4"/>
  <c r="N1003" i="4"/>
  <c r="N1011" i="4"/>
  <c r="Z1000" i="4"/>
  <c r="O114" i="2"/>
  <c r="D50" i="2"/>
  <c r="C50" i="2"/>
  <c r="E50" i="2" s="1"/>
  <c r="D53" i="2"/>
  <c r="C53" i="2"/>
  <c r="E53" i="2" s="1"/>
  <c r="X22" i="2"/>
  <c r="I22" i="2"/>
  <c r="G647" i="4"/>
  <c r="G648" i="4"/>
  <c r="G583" i="4"/>
  <c r="M6" i="1"/>
  <c r="G584" i="4"/>
  <c r="Q699" i="4"/>
  <c r="D723" i="4" s="1"/>
  <c r="M47" i="1"/>
  <c r="G623" i="4"/>
  <c r="G993" i="4"/>
  <c r="B754" i="4" s="1"/>
  <c r="D20" i="2"/>
  <c r="C20" i="2"/>
  <c r="E20" i="2" s="1"/>
  <c r="I670" i="4"/>
  <c r="R992" i="4"/>
  <c r="R991" i="4"/>
  <c r="R987" i="4"/>
  <c r="R993" i="4"/>
  <c r="R989" i="4"/>
  <c r="R988" i="4"/>
  <c r="R990" i="4"/>
  <c r="R986" i="4"/>
  <c r="R994" i="4"/>
  <c r="M130" i="2"/>
  <c r="D21" i="2"/>
  <c r="C21" i="2"/>
  <c r="E21" i="2" s="1"/>
  <c r="Q715" i="4"/>
  <c r="D739" i="4" s="1"/>
  <c r="I669" i="4"/>
  <c r="F990" i="4"/>
  <c r="G595" i="4"/>
  <c r="M18" i="1"/>
  <c r="B771" i="4"/>
  <c r="B699" i="4"/>
  <c r="B735" i="4"/>
  <c r="B759" i="4"/>
  <c r="B711" i="4"/>
  <c r="B687" i="4"/>
  <c r="B723" i="4"/>
  <c r="B783" i="4"/>
  <c r="I667" i="4"/>
  <c r="Z127" i="2"/>
  <c r="Z128" i="2"/>
  <c r="Z130" i="2"/>
  <c r="Z985" i="4"/>
  <c r="G990" i="4"/>
  <c r="G127" i="2"/>
  <c r="G985" i="4"/>
  <c r="J673" i="4"/>
  <c r="O1003" i="4"/>
  <c r="J671" i="4"/>
  <c r="O1011" i="4"/>
  <c r="W978" i="4"/>
  <c r="Z983" i="4"/>
  <c r="S991" i="4"/>
  <c r="S992" i="4"/>
  <c r="S990" i="4"/>
  <c r="S994" i="4"/>
  <c r="S993" i="4"/>
  <c r="S985" i="4"/>
  <c r="S988" i="4"/>
  <c r="S986" i="4"/>
  <c r="S987" i="4"/>
  <c r="S989" i="4"/>
  <c r="AA1007" i="4"/>
  <c r="Z1007" i="4"/>
  <c r="Q717" i="4"/>
  <c r="D741" i="4" s="1"/>
  <c r="D743" i="4"/>
  <c r="D54" i="2"/>
  <c r="C54" i="2"/>
  <c r="E54" i="2" s="1"/>
  <c r="G613" i="4"/>
  <c r="M36" i="1"/>
  <c r="U1000" i="4"/>
  <c r="B753" i="4"/>
  <c r="B747" i="4"/>
  <c r="U1010" i="4"/>
  <c r="B744" i="4"/>
  <c r="U1002" i="4"/>
  <c r="O978" i="4"/>
  <c r="T983" i="4" s="1"/>
  <c r="N128" i="2"/>
  <c r="C49" i="2"/>
  <c r="E49" i="2" s="1"/>
  <c r="D49" i="2"/>
  <c r="G130" i="2"/>
  <c r="X978" i="4"/>
  <c r="Q725" i="4"/>
  <c r="M37" i="1"/>
  <c r="G614" i="4"/>
  <c r="G615" i="4"/>
  <c r="Q714" i="4"/>
  <c r="D738" i="4" s="1"/>
  <c r="D730" i="4"/>
  <c r="D727" i="4"/>
  <c r="D55" i="2"/>
  <c r="C55" i="2"/>
  <c r="E55" i="2" s="1"/>
  <c r="Q728" i="4"/>
  <c r="D733" i="4"/>
  <c r="G590" i="4"/>
  <c r="M13" i="1"/>
  <c r="G591" i="4"/>
  <c r="K1010" i="4"/>
  <c r="G624" i="4"/>
  <c r="M48" i="1"/>
  <c r="G625" i="4"/>
  <c r="F992" i="4"/>
  <c r="G597" i="4"/>
  <c r="M20" i="1"/>
  <c r="M128" i="2"/>
  <c r="D45" i="2"/>
  <c r="C45" i="2"/>
  <c r="E45" i="2" s="1"/>
  <c r="R128" i="2"/>
  <c r="R127" i="2"/>
  <c r="R130" i="2"/>
  <c r="D19" i="2"/>
  <c r="C19" i="2"/>
  <c r="E19" i="2" s="1"/>
  <c r="H19" i="2"/>
  <c r="G620" i="4"/>
  <c r="M44" i="1"/>
  <c r="C51" i="2"/>
  <c r="E51" i="2" s="1"/>
  <c r="D51" i="2"/>
  <c r="I1010" i="4"/>
  <c r="F983" i="4"/>
  <c r="G600" i="4"/>
  <c r="M23" i="1"/>
  <c r="D48" i="2"/>
  <c r="C48" i="2"/>
  <c r="E48" i="2" s="1"/>
  <c r="F987" i="4"/>
  <c r="G592" i="4"/>
  <c r="M15" i="1"/>
  <c r="AD659" i="4"/>
  <c r="P994" i="4"/>
  <c r="P978" i="4" s="1"/>
  <c r="C17" i="2"/>
  <c r="E17" i="2" s="1"/>
  <c r="D17" i="2"/>
  <c r="E978" i="4"/>
  <c r="J991" i="4" s="1"/>
  <c r="I658" i="4"/>
  <c r="E1010" i="4"/>
  <c r="G552" i="4"/>
  <c r="G553" i="4"/>
  <c r="G1010" i="4"/>
  <c r="G576" i="4"/>
  <c r="G577" i="4"/>
  <c r="C127" i="2"/>
  <c r="Q718" i="4"/>
  <c r="D742" i="4" s="1"/>
  <c r="D44" i="2"/>
  <c r="C44" i="2"/>
  <c r="E44" i="2" s="1"/>
  <c r="M1011" i="4"/>
  <c r="I672" i="4"/>
  <c r="Q729" i="4"/>
  <c r="I668" i="4"/>
  <c r="G991" i="4"/>
  <c r="B752" i="4" s="1"/>
  <c r="G607" i="4"/>
  <c r="M30" i="1"/>
  <c r="G989" i="4"/>
  <c r="B750" i="4" s="1"/>
  <c r="D46" i="2"/>
  <c r="C46" i="2"/>
  <c r="E46" i="2" s="1"/>
  <c r="C16" i="2"/>
  <c r="E16" i="2" s="1"/>
  <c r="D16" i="2"/>
  <c r="I661" i="4"/>
  <c r="G593" i="4"/>
  <c r="I665" i="4"/>
  <c r="Q993" i="4"/>
  <c r="Q988" i="4"/>
  <c r="J677" i="4" s="1"/>
  <c r="Q985" i="4"/>
  <c r="J674" i="4" s="1"/>
  <c r="Q990" i="4"/>
  <c r="Q991" i="4"/>
  <c r="J668" i="4" s="1"/>
  <c r="Q987" i="4"/>
  <c r="J676" i="4" s="1"/>
  <c r="Q989" i="4"/>
  <c r="J666" i="4" s="1"/>
  <c r="Q986" i="4"/>
  <c r="J675" i="4" s="1"/>
  <c r="Q992" i="4"/>
  <c r="J669" i="4" s="1"/>
  <c r="C128" i="2"/>
  <c r="N130" i="2"/>
  <c r="G984" i="4"/>
  <c r="Q713" i="4"/>
  <c r="D737" i="4" s="1"/>
  <c r="Q716" i="4"/>
  <c r="D740" i="4" s="1"/>
  <c r="Q711" i="4"/>
  <c r="I663" i="4"/>
  <c r="V978" i="4"/>
  <c r="Y993" i="4" s="1"/>
  <c r="G611" i="4"/>
  <c r="M34" i="1"/>
  <c r="I673" i="4"/>
  <c r="G585" i="4"/>
  <c r="M8" i="1"/>
  <c r="G661" i="4"/>
  <c r="I662" i="4"/>
  <c r="I664" i="4"/>
  <c r="Q983" i="4"/>
  <c r="R984" i="4"/>
  <c r="D735" i="4" l="1"/>
  <c r="B784" i="4"/>
  <c r="B761" i="4"/>
  <c r="B712" i="4"/>
  <c r="B785" i="4"/>
  <c r="B773" i="4"/>
  <c r="B725" i="4"/>
  <c r="B760" i="4"/>
  <c r="B749" i="4"/>
  <c r="J992" i="4"/>
  <c r="E741" i="4" s="1"/>
  <c r="B701" i="4"/>
  <c r="B737" i="4"/>
  <c r="J990" i="4"/>
  <c r="E715" i="4" s="1"/>
  <c r="Y983" i="4"/>
  <c r="V720" i="4" s="1"/>
  <c r="U720" i="4" s="1"/>
  <c r="J994" i="4"/>
  <c r="E779" i="4" s="1"/>
  <c r="D749" i="4"/>
  <c r="Q749" i="4" s="1"/>
  <c r="J678" i="4"/>
  <c r="T985" i="4"/>
  <c r="Y990" i="4"/>
  <c r="V775" i="4" s="1"/>
  <c r="J985" i="4"/>
  <c r="E758" i="4" s="1"/>
  <c r="D746" i="4"/>
  <c r="Q746" i="4" s="1"/>
  <c r="D770" i="4" s="1"/>
  <c r="G132" i="2"/>
  <c r="G133" i="2" s="1"/>
  <c r="J987" i="4"/>
  <c r="E736" i="4" s="1"/>
  <c r="F736" i="4" s="1"/>
  <c r="Y982" i="4"/>
  <c r="V683" i="4" s="1"/>
  <c r="Y992" i="4"/>
  <c r="V705" i="4" s="1"/>
  <c r="U705" i="4" s="1"/>
  <c r="K131" i="2"/>
  <c r="K133" i="2" s="1"/>
  <c r="J989" i="4"/>
  <c r="E738" i="4" s="1"/>
  <c r="Y986" i="4"/>
  <c r="V735" i="4" s="1"/>
  <c r="U735" i="4" s="1"/>
  <c r="Y984" i="4"/>
  <c r="V721" i="4" s="1"/>
  <c r="J984" i="4"/>
  <c r="E721" i="4" s="1"/>
  <c r="J680" i="4"/>
  <c r="B689" i="4"/>
  <c r="U992" i="4"/>
  <c r="U988" i="4"/>
  <c r="U990" i="4"/>
  <c r="U987" i="4"/>
  <c r="U986" i="4"/>
  <c r="U993" i="4"/>
  <c r="U991" i="4"/>
  <c r="U989" i="4"/>
  <c r="U983" i="4"/>
  <c r="U984" i="4"/>
  <c r="U985" i="4"/>
  <c r="V778" i="4"/>
  <c r="V766" i="4"/>
  <c r="V754" i="4"/>
  <c r="U754" i="4" s="1"/>
  <c r="V790" i="4"/>
  <c r="V694" i="4"/>
  <c r="V730" i="4"/>
  <c r="V717" i="4"/>
  <c r="U717" i="4" s="1"/>
  <c r="V670" i="4"/>
  <c r="O670" i="4"/>
  <c r="V682" i="4"/>
  <c r="U682" i="4" s="1"/>
  <c r="V769" i="4"/>
  <c r="V757" i="4"/>
  <c r="AA1003" i="4"/>
  <c r="Z1003" i="4"/>
  <c r="J681" i="4"/>
  <c r="Q748" i="4"/>
  <c r="D772" i="4" s="1"/>
  <c r="Q745" i="4"/>
  <c r="D760" i="4"/>
  <c r="J773" i="4"/>
  <c r="J761" i="4"/>
  <c r="J725" i="4"/>
  <c r="J785" i="4"/>
  <c r="J689" i="4"/>
  <c r="J701" i="4"/>
  <c r="J713" i="4"/>
  <c r="J737" i="4"/>
  <c r="D750" i="4"/>
  <c r="B733" i="4"/>
  <c r="B721" i="4"/>
  <c r="B697" i="4"/>
  <c r="B781" i="4"/>
  <c r="B769" i="4"/>
  <c r="B685" i="4"/>
  <c r="B757" i="4"/>
  <c r="B709" i="4"/>
  <c r="C132" i="2"/>
  <c r="C131" i="2"/>
  <c r="C133" i="2" s="1"/>
  <c r="Q733" i="4"/>
  <c r="D757" i="4" s="1"/>
  <c r="F733" i="4"/>
  <c r="N132" i="2"/>
  <c r="N131" i="2"/>
  <c r="N133" i="2" s="1"/>
  <c r="E710" i="4"/>
  <c r="E686" i="4"/>
  <c r="Q738" i="4"/>
  <c r="D762" i="4" s="1"/>
  <c r="Q735" i="4"/>
  <c r="D759" i="4" s="1"/>
  <c r="J768" i="4"/>
  <c r="J756" i="4"/>
  <c r="J780" i="4"/>
  <c r="J684" i="4"/>
  <c r="J708" i="4"/>
  <c r="J720" i="4"/>
  <c r="J732" i="4"/>
  <c r="J696" i="4"/>
  <c r="J672" i="4"/>
  <c r="Q743" i="4"/>
  <c r="D767" i="4" s="1"/>
  <c r="E786" i="4"/>
  <c r="E762" i="4"/>
  <c r="E750" i="4"/>
  <c r="C750" i="4" s="1"/>
  <c r="J767" i="4"/>
  <c r="J755" i="4"/>
  <c r="J719" i="4"/>
  <c r="J731" i="4"/>
  <c r="J779" i="4"/>
  <c r="J707" i="4"/>
  <c r="J683" i="4"/>
  <c r="J695" i="4"/>
  <c r="R132" i="2"/>
  <c r="R131" i="2"/>
  <c r="R133" i="2" s="1"/>
  <c r="B727" i="4"/>
  <c r="B775" i="4"/>
  <c r="B787" i="4"/>
  <c r="B763" i="4"/>
  <c r="B703" i="4"/>
  <c r="B691" i="4"/>
  <c r="B715" i="4"/>
  <c r="B739" i="4"/>
  <c r="Q737" i="4"/>
  <c r="D761" i="4" s="1"/>
  <c r="J665" i="4"/>
  <c r="Q739" i="4"/>
  <c r="Q741" i="4"/>
  <c r="D765" i="4" s="1"/>
  <c r="E733" i="4"/>
  <c r="E781" i="4"/>
  <c r="E769" i="4"/>
  <c r="Q708" i="4"/>
  <c r="E777" i="4"/>
  <c r="E765" i="4"/>
  <c r="E693" i="4"/>
  <c r="C693" i="4" s="1"/>
  <c r="E705" i="4"/>
  <c r="F705" i="4" s="1"/>
  <c r="E789" i="4"/>
  <c r="E753" i="4"/>
  <c r="B692" i="4"/>
  <c r="B776" i="4"/>
  <c r="B764" i="4"/>
  <c r="B788" i="4"/>
  <c r="B704" i="4"/>
  <c r="B716" i="4"/>
  <c r="B728" i="4"/>
  <c r="B740" i="4"/>
  <c r="J774" i="4"/>
  <c r="J762" i="4"/>
  <c r="J714" i="4"/>
  <c r="J702" i="4"/>
  <c r="J738" i="4"/>
  <c r="J690" i="4"/>
  <c r="J726" i="4"/>
  <c r="J786" i="4"/>
  <c r="J986" i="4"/>
  <c r="J993" i="4"/>
  <c r="X19" i="2"/>
  <c r="I19" i="2"/>
  <c r="B745" i="4"/>
  <c r="K682" i="4"/>
  <c r="K678" i="4"/>
  <c r="K676" i="4"/>
  <c r="M676" i="4" s="1"/>
  <c r="K672" i="4"/>
  <c r="O1004" i="4"/>
  <c r="K679" i="4"/>
  <c r="K673" i="4"/>
  <c r="M673" i="4" s="1"/>
  <c r="K677" i="4"/>
  <c r="M677" i="4" s="1"/>
  <c r="K680" i="4"/>
  <c r="K674" i="4"/>
  <c r="M674" i="4" s="1"/>
  <c r="K675" i="4"/>
  <c r="M675" i="4" s="1"/>
  <c r="K683" i="4"/>
  <c r="K681" i="4"/>
  <c r="AA989" i="4"/>
  <c r="AA986" i="4"/>
  <c r="AA990" i="4"/>
  <c r="AA994" i="4"/>
  <c r="AA988" i="4"/>
  <c r="AA993" i="4"/>
  <c r="AA985" i="4"/>
  <c r="AA991" i="4"/>
  <c r="AA992" i="4"/>
  <c r="AA987" i="4"/>
  <c r="AA983" i="4"/>
  <c r="E739" i="4"/>
  <c r="E727" i="4"/>
  <c r="E691" i="4"/>
  <c r="E775" i="4"/>
  <c r="E751" i="4"/>
  <c r="F978" i="4"/>
  <c r="K983" i="4"/>
  <c r="Q723" i="4"/>
  <c r="D747" i="4" s="1"/>
  <c r="AA984" i="4"/>
  <c r="J777" i="4"/>
  <c r="J765" i="4"/>
  <c r="J693" i="4"/>
  <c r="J789" i="4"/>
  <c r="J705" i="4"/>
  <c r="J741" i="4"/>
  <c r="J717" i="4"/>
  <c r="J729" i="4"/>
  <c r="V744" i="4"/>
  <c r="U744" i="4" s="1"/>
  <c r="V756" i="4"/>
  <c r="U756" i="4" s="1"/>
  <c r="J772" i="4"/>
  <c r="J760" i="4"/>
  <c r="J784" i="4"/>
  <c r="J724" i="4"/>
  <c r="J688" i="4"/>
  <c r="J712" i="4"/>
  <c r="J700" i="4"/>
  <c r="J736" i="4"/>
  <c r="D753" i="4"/>
  <c r="J983" i="4"/>
  <c r="Q1007" i="4"/>
  <c r="D720" i="4"/>
  <c r="J778" i="4"/>
  <c r="J766" i="4"/>
  <c r="J790" i="4"/>
  <c r="J730" i="4"/>
  <c r="J718" i="4"/>
  <c r="J706" i="4"/>
  <c r="J694" i="4"/>
  <c r="J742" i="4"/>
  <c r="B710" i="4"/>
  <c r="B770" i="4"/>
  <c r="B782" i="4"/>
  <c r="B758" i="4"/>
  <c r="B734" i="4"/>
  <c r="B686" i="4"/>
  <c r="B722" i="4"/>
  <c r="B698" i="4"/>
  <c r="E788" i="4"/>
  <c r="E776" i="4"/>
  <c r="E764" i="4"/>
  <c r="E752" i="4"/>
  <c r="E740" i="4"/>
  <c r="F740" i="4" s="1"/>
  <c r="E728" i="4"/>
  <c r="E716" i="4"/>
  <c r="E704" i="4"/>
  <c r="E692" i="4"/>
  <c r="O669" i="4"/>
  <c r="V681" i="4"/>
  <c r="U681" i="4" s="1"/>
  <c r="Z132" i="2"/>
  <c r="Z133" i="2" s="1"/>
  <c r="Z131" i="2"/>
  <c r="Z987" i="4"/>
  <c r="Z993" i="4"/>
  <c r="Z991" i="4"/>
  <c r="Z988" i="4"/>
  <c r="Z992" i="4"/>
  <c r="Z989" i="4"/>
  <c r="Z986" i="4"/>
  <c r="Z990" i="4"/>
  <c r="Z994" i="4"/>
  <c r="J670" i="4"/>
  <c r="J776" i="4"/>
  <c r="J764" i="4"/>
  <c r="J716" i="4"/>
  <c r="J692" i="4"/>
  <c r="J788" i="4"/>
  <c r="J728" i="4"/>
  <c r="J704" i="4"/>
  <c r="J740" i="4"/>
  <c r="Q727" i="4"/>
  <c r="D751" i="4" s="1"/>
  <c r="B746" i="4"/>
  <c r="J682" i="4"/>
  <c r="Q755" i="4"/>
  <c r="D779" i="4" s="1"/>
  <c r="M132" i="2"/>
  <c r="M131" i="2"/>
  <c r="Q740" i="4"/>
  <c r="D764" i="4" s="1"/>
  <c r="Q734" i="4"/>
  <c r="D758" i="4" s="1"/>
  <c r="U1003" i="4"/>
  <c r="U1004" i="4" s="1"/>
  <c r="J743" i="4"/>
  <c r="J745" i="4"/>
  <c r="U1011" i="4"/>
  <c r="J750" i="4"/>
  <c r="J744" i="4"/>
  <c r="J749" i="4"/>
  <c r="J752" i="4"/>
  <c r="J746" i="4"/>
  <c r="J754" i="4"/>
  <c r="J751" i="4"/>
  <c r="J753" i="4"/>
  <c r="J748" i="4"/>
  <c r="J747" i="4"/>
  <c r="B774" i="4"/>
  <c r="B786" i="4"/>
  <c r="B738" i="4"/>
  <c r="B690" i="4"/>
  <c r="B726" i="4"/>
  <c r="B762" i="4"/>
  <c r="B714" i="4"/>
  <c r="B702" i="4"/>
  <c r="Z984" i="4"/>
  <c r="J771" i="4"/>
  <c r="J759" i="4"/>
  <c r="J699" i="4"/>
  <c r="J687" i="4"/>
  <c r="J723" i="4"/>
  <c r="J711" i="4"/>
  <c r="J735" i="4"/>
  <c r="J783" i="4"/>
  <c r="T991" i="4"/>
  <c r="T990" i="4"/>
  <c r="T992" i="4"/>
  <c r="T986" i="4"/>
  <c r="T993" i="4"/>
  <c r="T988" i="4"/>
  <c r="T994" i="4"/>
  <c r="T984" i="4"/>
  <c r="T989" i="4"/>
  <c r="T987" i="4"/>
  <c r="J775" i="4"/>
  <c r="J763" i="4"/>
  <c r="J691" i="4"/>
  <c r="J715" i="4"/>
  <c r="J787" i="4"/>
  <c r="J727" i="4"/>
  <c r="J739" i="4"/>
  <c r="J703" i="4"/>
  <c r="Q730" i="4"/>
  <c r="D754" i="4" s="1"/>
  <c r="B731" i="4"/>
  <c r="B779" i="4"/>
  <c r="B791" i="4"/>
  <c r="B767" i="4"/>
  <c r="B755" i="4"/>
  <c r="B707" i="4"/>
  <c r="B683" i="4"/>
  <c r="B719" i="4"/>
  <c r="B695" i="4"/>
  <c r="V743" i="4"/>
  <c r="U743" i="4" s="1"/>
  <c r="V755" i="4"/>
  <c r="V767" i="4"/>
  <c r="V719" i="4"/>
  <c r="V731" i="4"/>
  <c r="V779" i="4"/>
  <c r="V742" i="4"/>
  <c r="Q742" i="4"/>
  <c r="B706" i="4"/>
  <c r="B694" i="4"/>
  <c r="B730" i="4"/>
  <c r="B718" i="4"/>
  <c r="B778" i="4"/>
  <c r="B742" i="4"/>
  <c r="B766" i="4"/>
  <c r="B790" i="4"/>
  <c r="D752" i="4"/>
  <c r="Y987" i="4"/>
  <c r="Y985" i="4"/>
  <c r="Y989" i="4"/>
  <c r="Y991" i="4"/>
  <c r="J770" i="4"/>
  <c r="J758" i="4"/>
  <c r="J698" i="4"/>
  <c r="J782" i="4"/>
  <c r="J686" i="4"/>
  <c r="J734" i="4"/>
  <c r="J710" i="4"/>
  <c r="J722" i="4"/>
  <c r="Y988" i="4"/>
  <c r="U994" i="4"/>
  <c r="B751" i="4"/>
  <c r="J679" i="4"/>
  <c r="J988" i="4"/>
  <c r="V679" i="4" l="1"/>
  <c r="U679" i="4" s="1"/>
  <c r="V707" i="4"/>
  <c r="M672" i="4"/>
  <c r="M678" i="4"/>
  <c r="C752" i="4"/>
  <c r="C741" i="4"/>
  <c r="F741" i="4"/>
  <c r="G741" i="4" s="1"/>
  <c r="O667" i="4"/>
  <c r="V691" i="4"/>
  <c r="E729" i="4"/>
  <c r="C729" i="4" s="1"/>
  <c r="E717" i="4"/>
  <c r="V714" i="4"/>
  <c r="F727" i="4"/>
  <c r="V703" i="4"/>
  <c r="U703" i="4" s="1"/>
  <c r="V739" i="4"/>
  <c r="F739" i="4"/>
  <c r="G740" i="4" s="1"/>
  <c r="V763" i="4"/>
  <c r="E719" i="4"/>
  <c r="C719" i="4" s="1"/>
  <c r="V672" i="4"/>
  <c r="U672" i="4" s="1"/>
  <c r="E731" i="4"/>
  <c r="F731" i="4" s="1"/>
  <c r="V768" i="4"/>
  <c r="U768" i="4" s="1"/>
  <c r="V751" i="4"/>
  <c r="U751" i="4" s="1"/>
  <c r="E707" i="4"/>
  <c r="F707" i="4" s="1"/>
  <c r="V780" i="4"/>
  <c r="U780" i="4" s="1"/>
  <c r="E743" i="4"/>
  <c r="F743" i="4" s="1"/>
  <c r="V684" i="4"/>
  <c r="U684" i="4" s="1"/>
  <c r="E703" i="4"/>
  <c r="C703" i="4" s="1"/>
  <c r="V787" i="4"/>
  <c r="E760" i="4"/>
  <c r="C760" i="4" s="1"/>
  <c r="E755" i="4"/>
  <c r="F755" i="4" s="1"/>
  <c r="V696" i="4"/>
  <c r="U696" i="4" s="1"/>
  <c r="E763" i="4"/>
  <c r="V675" i="4"/>
  <c r="U675" i="4" s="1"/>
  <c r="V667" i="4"/>
  <c r="X667" i="4" s="1"/>
  <c r="C765" i="4"/>
  <c r="E767" i="4"/>
  <c r="C767" i="4" s="1"/>
  <c r="V732" i="4"/>
  <c r="U732" i="4" s="1"/>
  <c r="E787" i="4"/>
  <c r="E695" i="4"/>
  <c r="C695" i="4" s="1"/>
  <c r="E791" i="4"/>
  <c r="E748" i="4"/>
  <c r="C748" i="4" s="1"/>
  <c r="E772" i="4"/>
  <c r="C772" i="4" s="1"/>
  <c r="E784" i="4"/>
  <c r="E774" i="4"/>
  <c r="V747" i="4"/>
  <c r="U747" i="4" s="1"/>
  <c r="V753" i="4"/>
  <c r="U753" i="4" s="1"/>
  <c r="V783" i="4"/>
  <c r="U783" i="4" s="1"/>
  <c r="E698" i="4"/>
  <c r="C698" i="4" s="1"/>
  <c r="M682" i="4"/>
  <c r="C753" i="4"/>
  <c r="V723" i="4"/>
  <c r="U723" i="4" s="1"/>
  <c r="V759" i="4"/>
  <c r="U759" i="4" s="1"/>
  <c r="V699" i="4"/>
  <c r="U699" i="4" s="1"/>
  <c r="M683" i="4"/>
  <c r="V771" i="4"/>
  <c r="U771" i="4" s="1"/>
  <c r="E734" i="4"/>
  <c r="F734" i="4" s="1"/>
  <c r="G734" i="4" s="1"/>
  <c r="V685" i="4"/>
  <c r="U685" i="4" s="1"/>
  <c r="V687" i="4"/>
  <c r="U687" i="4" s="1"/>
  <c r="V710" i="4"/>
  <c r="U710" i="4" s="1"/>
  <c r="V789" i="4"/>
  <c r="U789" i="4" s="1"/>
  <c r="E697" i="4"/>
  <c r="C697" i="4" s="1"/>
  <c r="V727" i="4"/>
  <c r="U727" i="4" s="1"/>
  <c r="E746" i="4"/>
  <c r="F746" i="4" s="1"/>
  <c r="V781" i="4"/>
  <c r="U781" i="4" s="1"/>
  <c r="E688" i="4"/>
  <c r="C705" i="4"/>
  <c r="E685" i="4"/>
  <c r="C685" i="4" s="1"/>
  <c r="V697" i="4"/>
  <c r="U697" i="4" s="1"/>
  <c r="M680" i="4"/>
  <c r="E745" i="4"/>
  <c r="F745" i="4" s="1"/>
  <c r="E690" i="4"/>
  <c r="F690" i="4" s="1"/>
  <c r="E770" i="4"/>
  <c r="C770" i="4" s="1"/>
  <c r="V708" i="4"/>
  <c r="U708" i="4" s="1"/>
  <c r="V663" i="4"/>
  <c r="X663" i="4" s="1"/>
  <c r="V716" i="4"/>
  <c r="U716" i="4" s="1"/>
  <c r="V673" i="4"/>
  <c r="U673" i="4" s="1"/>
  <c r="V661" i="4"/>
  <c r="X661" i="4" s="1"/>
  <c r="V693" i="4"/>
  <c r="U693" i="4" s="1"/>
  <c r="V765" i="4"/>
  <c r="U765" i="4" s="1"/>
  <c r="E702" i="4"/>
  <c r="F702" i="4" s="1"/>
  <c r="V671" i="4"/>
  <c r="X671" i="4" s="1"/>
  <c r="E700" i="4"/>
  <c r="V741" i="4"/>
  <c r="U741" i="4" s="1"/>
  <c r="V695" i="4"/>
  <c r="U695" i="4" s="1"/>
  <c r="E712" i="4"/>
  <c r="C712" i="4" s="1"/>
  <c r="V777" i="4"/>
  <c r="U777" i="4" s="1"/>
  <c r="E757" i="4"/>
  <c r="F757" i="4" s="1"/>
  <c r="E714" i="4"/>
  <c r="C714" i="4" s="1"/>
  <c r="E782" i="4"/>
  <c r="V745" i="4"/>
  <c r="U745" i="4" s="1"/>
  <c r="F738" i="4"/>
  <c r="V729" i="4"/>
  <c r="U729" i="4" s="1"/>
  <c r="E722" i="4"/>
  <c r="F722" i="4" s="1"/>
  <c r="E709" i="4"/>
  <c r="C709" i="4" s="1"/>
  <c r="E726" i="4"/>
  <c r="V733" i="4"/>
  <c r="U733" i="4" s="1"/>
  <c r="V669" i="4"/>
  <c r="X669" i="4" s="1"/>
  <c r="V706" i="4"/>
  <c r="U706" i="4" s="1"/>
  <c r="E724" i="4"/>
  <c r="C724" i="4" s="1"/>
  <c r="V750" i="4"/>
  <c r="U750" i="4" s="1"/>
  <c r="V762" i="4"/>
  <c r="U762" i="4" s="1"/>
  <c r="V713" i="4"/>
  <c r="U713" i="4" s="1"/>
  <c r="V774" i="4"/>
  <c r="U774" i="4" s="1"/>
  <c r="V738" i="4"/>
  <c r="U738" i="4" s="1"/>
  <c r="V690" i="4"/>
  <c r="U690" i="4" s="1"/>
  <c r="V702" i="4"/>
  <c r="U702" i="4" s="1"/>
  <c r="V786" i="4"/>
  <c r="U786" i="4" s="1"/>
  <c r="V726" i="4"/>
  <c r="U726" i="4" s="1"/>
  <c r="V678" i="4"/>
  <c r="U678" i="4" s="1"/>
  <c r="V666" i="4"/>
  <c r="O666" i="4"/>
  <c r="K985" i="4"/>
  <c r="K993" i="4"/>
  <c r="K986" i="4"/>
  <c r="K988" i="4"/>
  <c r="K984" i="4"/>
  <c r="K994" i="4"/>
  <c r="K991" i="4"/>
  <c r="Q759" i="4"/>
  <c r="F724" i="4"/>
  <c r="F760" i="4"/>
  <c r="Q760" i="4"/>
  <c r="D784" i="4" s="1"/>
  <c r="U766" i="4"/>
  <c r="F729" i="4"/>
  <c r="Z134" i="2"/>
  <c r="M681" i="4"/>
  <c r="U775" i="4"/>
  <c r="C738" i="4"/>
  <c r="Q770" i="4"/>
  <c r="F770" i="4"/>
  <c r="C726" i="4"/>
  <c r="F726" i="4"/>
  <c r="K989" i="4"/>
  <c r="F762" i="4"/>
  <c r="Q762" i="4"/>
  <c r="U742" i="4"/>
  <c r="U778" i="4"/>
  <c r="U719" i="4"/>
  <c r="U722" i="4"/>
  <c r="C722" i="4"/>
  <c r="F753" i="4"/>
  <c r="Q753" i="4"/>
  <c r="D777" i="4" s="1"/>
  <c r="F709" i="4"/>
  <c r="F748" i="4"/>
  <c r="U787" i="4"/>
  <c r="C727" i="4"/>
  <c r="F693" i="4"/>
  <c r="C686" i="4"/>
  <c r="F686" i="4"/>
  <c r="U757" i="4"/>
  <c r="Q772" i="4"/>
  <c r="K990" i="4"/>
  <c r="C683" i="4"/>
  <c r="U683" i="4"/>
  <c r="F683" i="4"/>
  <c r="G683" i="4" s="1"/>
  <c r="U730" i="4"/>
  <c r="U707" i="4"/>
  <c r="F767" i="4"/>
  <c r="Q767" i="4"/>
  <c r="D791" i="4" s="1"/>
  <c r="F779" i="4"/>
  <c r="Q779" i="4"/>
  <c r="V760" i="4"/>
  <c r="U760" i="4" s="1"/>
  <c r="V736" i="4"/>
  <c r="U736" i="4" s="1"/>
  <c r="V748" i="4"/>
  <c r="U748" i="4" s="1"/>
  <c r="V784" i="4"/>
  <c r="U784" i="4" s="1"/>
  <c r="V724" i="4"/>
  <c r="U724" i="4" s="1"/>
  <c r="V700" i="4"/>
  <c r="U700" i="4" s="1"/>
  <c r="V688" i="4"/>
  <c r="U688" i="4" s="1"/>
  <c r="V711" i="4"/>
  <c r="U711" i="4" s="1"/>
  <c r="V772" i="4"/>
  <c r="U772" i="4" s="1"/>
  <c r="V664" i="4"/>
  <c r="V676" i="4"/>
  <c r="U676" i="4" s="1"/>
  <c r="U739" i="4"/>
  <c r="C739" i="4"/>
  <c r="U691" i="4"/>
  <c r="C691" i="4"/>
  <c r="F691" i="4"/>
  <c r="U718" i="4"/>
  <c r="C718" i="4"/>
  <c r="U694" i="4"/>
  <c r="C755" i="4"/>
  <c r="U755" i="4"/>
  <c r="Q758" i="4"/>
  <c r="D782" i="4" s="1"/>
  <c r="C782" i="4" s="1"/>
  <c r="F758" i="4"/>
  <c r="C758" i="4"/>
  <c r="K992" i="4"/>
  <c r="U769" i="4"/>
  <c r="Q752" i="4"/>
  <c r="D776" i="4" s="1"/>
  <c r="C776" i="4" s="1"/>
  <c r="F752" i="4"/>
  <c r="K987" i="4"/>
  <c r="F751" i="4"/>
  <c r="Q751" i="4"/>
  <c r="D775" i="4" s="1"/>
  <c r="U763" i="4"/>
  <c r="C751" i="4"/>
  <c r="E780" i="4"/>
  <c r="E768" i="4"/>
  <c r="E756" i="4"/>
  <c r="E744" i="4"/>
  <c r="E732" i="4"/>
  <c r="E720" i="4"/>
  <c r="C720" i="4" s="1"/>
  <c r="E708" i="4"/>
  <c r="E684" i="4"/>
  <c r="E696" i="4"/>
  <c r="E792" i="4"/>
  <c r="U767" i="4"/>
  <c r="C740" i="4"/>
  <c r="C764" i="4"/>
  <c r="V752" i="4"/>
  <c r="U752" i="4" s="1"/>
  <c r="V764" i="4"/>
  <c r="U764" i="4" s="1"/>
  <c r="V776" i="4"/>
  <c r="U776" i="4" s="1"/>
  <c r="V715" i="4"/>
  <c r="U715" i="4" s="1"/>
  <c r="V788" i="4"/>
  <c r="U788" i="4" s="1"/>
  <c r="V740" i="4"/>
  <c r="U740" i="4" s="1"/>
  <c r="V704" i="4"/>
  <c r="U704" i="4" s="1"/>
  <c r="V728" i="4"/>
  <c r="U728" i="4" s="1"/>
  <c r="V692" i="4"/>
  <c r="U692" i="4" s="1"/>
  <c r="V668" i="4"/>
  <c r="O668" i="4"/>
  <c r="V680" i="4"/>
  <c r="U680" i="4" s="1"/>
  <c r="C692" i="4"/>
  <c r="F692" i="4"/>
  <c r="C715" i="4"/>
  <c r="F715" i="4"/>
  <c r="V773" i="4"/>
  <c r="U773" i="4" s="1"/>
  <c r="V749" i="4"/>
  <c r="U749" i="4" s="1"/>
  <c r="V725" i="4"/>
  <c r="U725" i="4" s="1"/>
  <c r="V761" i="4"/>
  <c r="U761" i="4" s="1"/>
  <c r="V785" i="4"/>
  <c r="U785" i="4" s="1"/>
  <c r="V701" i="4"/>
  <c r="U701" i="4" s="1"/>
  <c r="V689" i="4"/>
  <c r="U689" i="4" s="1"/>
  <c r="V737" i="4"/>
  <c r="U737" i="4" s="1"/>
  <c r="V712" i="4"/>
  <c r="U712" i="4" s="1"/>
  <c r="V665" i="4"/>
  <c r="O665" i="4"/>
  <c r="V677" i="4"/>
  <c r="U677" i="4" s="1"/>
  <c r="Q764" i="4"/>
  <c r="D788" i="4" s="1"/>
  <c r="F764" i="4"/>
  <c r="M679" i="4"/>
  <c r="C728" i="4"/>
  <c r="F728" i="4"/>
  <c r="G728" i="4" s="1"/>
  <c r="R1007" i="4"/>
  <c r="D732" i="4"/>
  <c r="V746" i="4"/>
  <c r="U746" i="4" s="1"/>
  <c r="V758" i="4"/>
  <c r="U758" i="4" s="1"/>
  <c r="V770" i="4"/>
  <c r="U770" i="4" s="1"/>
  <c r="V722" i="4"/>
  <c r="V698" i="4"/>
  <c r="U698" i="4" s="1"/>
  <c r="V686" i="4"/>
  <c r="U686" i="4" s="1"/>
  <c r="V782" i="4"/>
  <c r="U782" i="4" s="1"/>
  <c r="V709" i="4"/>
  <c r="U709" i="4" s="1"/>
  <c r="V734" i="4"/>
  <c r="U734" i="4" s="1"/>
  <c r="V662" i="4"/>
  <c r="X662" i="4" s="1"/>
  <c r="V674" i="4"/>
  <c r="U674" i="4" s="1"/>
  <c r="F761" i="4"/>
  <c r="G761" i="4" s="1"/>
  <c r="Q761" i="4"/>
  <c r="D785" i="4" s="1"/>
  <c r="Q757" i="4"/>
  <c r="D781" i="4" s="1"/>
  <c r="D766" i="4"/>
  <c r="C779" i="4"/>
  <c r="U779" i="4"/>
  <c r="C710" i="4"/>
  <c r="F710" i="4"/>
  <c r="G710" i="4" s="1"/>
  <c r="F747" i="4"/>
  <c r="Q747" i="4"/>
  <c r="D771" i="4" s="1"/>
  <c r="C716" i="4"/>
  <c r="F716" i="4"/>
  <c r="C736" i="4"/>
  <c r="U721" i="4"/>
  <c r="C721" i="4"/>
  <c r="F721" i="4"/>
  <c r="E737" i="4"/>
  <c r="E689" i="4"/>
  <c r="E785" i="4"/>
  <c r="E773" i="4"/>
  <c r="E761" i="4"/>
  <c r="C761" i="4" s="1"/>
  <c r="E749" i="4"/>
  <c r="E701" i="4"/>
  <c r="E713" i="4"/>
  <c r="E725" i="4"/>
  <c r="D769" i="4"/>
  <c r="C769" i="4" s="1"/>
  <c r="C731" i="4"/>
  <c r="U731" i="4"/>
  <c r="U714" i="4"/>
  <c r="C704" i="4"/>
  <c r="F704" i="4"/>
  <c r="C733" i="4"/>
  <c r="C690" i="4"/>
  <c r="Q754" i="4"/>
  <c r="D778" i="4" s="1"/>
  <c r="E790" i="4"/>
  <c r="E778" i="4"/>
  <c r="C778" i="4" s="1"/>
  <c r="E766" i="4"/>
  <c r="E754" i="4"/>
  <c r="C754" i="4" s="1"/>
  <c r="E742" i="4"/>
  <c r="C742" i="4" s="1"/>
  <c r="E730" i="4"/>
  <c r="F730" i="4" s="1"/>
  <c r="E718" i="4"/>
  <c r="F718" i="4" s="1"/>
  <c r="E706" i="4"/>
  <c r="F706" i="4" s="1"/>
  <c r="G706" i="4" s="1"/>
  <c r="E694" i="4"/>
  <c r="C694" i="4" s="1"/>
  <c r="Q720" i="4"/>
  <c r="E783" i="4"/>
  <c r="E687" i="4"/>
  <c r="E699" i="4"/>
  <c r="E735" i="4"/>
  <c r="E759" i="4"/>
  <c r="C759" i="4" s="1"/>
  <c r="E711" i="4"/>
  <c r="E771" i="4"/>
  <c r="E723" i="4"/>
  <c r="E747" i="4"/>
  <c r="C747" i="4" s="1"/>
  <c r="F750" i="4"/>
  <c r="Q750" i="4"/>
  <c r="D774" i="4" s="1"/>
  <c r="F765" i="4"/>
  <c r="Q765" i="4"/>
  <c r="U790" i="4"/>
  <c r="D773" i="4"/>
  <c r="C762" i="4"/>
  <c r="M133" i="2"/>
  <c r="D763" i="4"/>
  <c r="X670" i="4"/>
  <c r="U670" i="4"/>
  <c r="D786" i="4" l="1"/>
  <c r="C786" i="4" s="1"/>
  <c r="G739" i="4"/>
  <c r="C732" i="4"/>
  <c r="U667" i="4"/>
  <c r="U669" i="4"/>
  <c r="C766" i="4"/>
  <c r="D789" i="4"/>
  <c r="C707" i="4"/>
  <c r="F698" i="4"/>
  <c r="G746" i="4"/>
  <c r="F719" i="4"/>
  <c r="C745" i="4"/>
  <c r="F695" i="4"/>
  <c r="F717" i="4"/>
  <c r="G718" i="4" s="1"/>
  <c r="C717" i="4"/>
  <c r="G729" i="4"/>
  <c r="C743" i="4"/>
  <c r="F685" i="4"/>
  <c r="G751" i="4"/>
  <c r="F703" i="4"/>
  <c r="G703" i="4" s="1"/>
  <c r="C774" i="4"/>
  <c r="F772" i="4"/>
  <c r="F714" i="4"/>
  <c r="G715" i="4" s="1"/>
  <c r="U671" i="4"/>
  <c r="F759" i="4"/>
  <c r="G759" i="4" s="1"/>
  <c r="G747" i="4"/>
  <c r="F700" i="4"/>
  <c r="C700" i="4"/>
  <c r="G691" i="4"/>
  <c r="C702" i="4"/>
  <c r="G730" i="4"/>
  <c r="F697" i="4"/>
  <c r="G698" i="4" s="1"/>
  <c r="C746" i="4"/>
  <c r="F712" i="4"/>
  <c r="D796" i="4"/>
  <c r="Q796" i="4" s="1"/>
  <c r="C757" i="4"/>
  <c r="C734" i="4"/>
  <c r="C688" i="4"/>
  <c r="F688" i="4"/>
  <c r="F775" i="4"/>
  <c r="Q775" i="4"/>
  <c r="S1007" i="4"/>
  <c r="D744" i="4"/>
  <c r="G692" i="4"/>
  <c r="F773" i="4"/>
  <c r="Q773" i="4"/>
  <c r="D797" i="4" s="1"/>
  <c r="Q797" i="4" s="1"/>
  <c r="F786" i="4"/>
  <c r="Q786" i="4"/>
  <c r="F696" i="4"/>
  <c r="C696" i="4"/>
  <c r="Q778" i="4"/>
  <c r="F778" i="4"/>
  <c r="G779" i="4" s="1"/>
  <c r="C684" i="4"/>
  <c r="F684" i="4"/>
  <c r="G684" i="4" s="1"/>
  <c r="D783" i="4"/>
  <c r="F791" i="4"/>
  <c r="Q791" i="4"/>
  <c r="D815" i="4" s="1"/>
  <c r="Q815" i="4" s="1"/>
  <c r="G693" i="4"/>
  <c r="G765" i="4"/>
  <c r="F754" i="4"/>
  <c r="F785" i="4"/>
  <c r="Q785" i="4"/>
  <c r="G686" i="4"/>
  <c r="Q784" i="4"/>
  <c r="D808" i="4" s="1"/>
  <c r="Q808" i="4" s="1"/>
  <c r="F784" i="4"/>
  <c r="X664" i="4"/>
  <c r="U664" i="4"/>
  <c r="C723" i="4"/>
  <c r="F723" i="4"/>
  <c r="G723" i="4" s="1"/>
  <c r="C771" i="4"/>
  <c r="G758" i="4"/>
  <c r="C730" i="4"/>
  <c r="C791" i="4"/>
  <c r="F742" i="4"/>
  <c r="Q789" i="4"/>
  <c r="F789" i="4"/>
  <c r="G789" i="4" s="1"/>
  <c r="C713" i="4"/>
  <c r="F713" i="4"/>
  <c r="G713" i="4" s="1"/>
  <c r="G748" i="4"/>
  <c r="G719" i="4"/>
  <c r="X668" i="4"/>
  <c r="U668" i="4"/>
  <c r="F774" i="4"/>
  <c r="Q774" i="4"/>
  <c r="D798" i="4" s="1"/>
  <c r="Q798" i="4" s="1"/>
  <c r="C701" i="4"/>
  <c r="F701" i="4"/>
  <c r="C784" i="4"/>
  <c r="G764" i="4"/>
  <c r="G716" i="4"/>
  <c r="F725" i="4"/>
  <c r="G725" i="4" s="1"/>
  <c r="C725" i="4"/>
  <c r="C737" i="4"/>
  <c r="F737" i="4"/>
  <c r="Q788" i="4"/>
  <c r="F788" i="4"/>
  <c r="G762" i="4"/>
  <c r="N1008" i="4"/>
  <c r="F711" i="4"/>
  <c r="G711" i="4" s="1"/>
  <c r="C711" i="4"/>
  <c r="D794" i="4"/>
  <c r="Q794" i="4" s="1"/>
  <c r="D818" i="4" s="1"/>
  <c r="Q818" i="4" s="1"/>
  <c r="D842" i="4" s="1"/>
  <c r="Q842" i="4" s="1"/>
  <c r="C775" i="4"/>
  <c r="U666" i="4"/>
  <c r="X666" i="4"/>
  <c r="Q776" i="4"/>
  <c r="D800" i="4" s="1"/>
  <c r="Q800" i="4" s="1"/>
  <c r="F776" i="4"/>
  <c r="C706" i="4"/>
  <c r="C735" i="4"/>
  <c r="F735" i="4"/>
  <c r="F699" i="4"/>
  <c r="C699" i="4"/>
  <c r="F694" i="4"/>
  <c r="G694" i="4" s="1"/>
  <c r="D803" i="4"/>
  <c r="Q803" i="4" s="1"/>
  <c r="Q777" i="4"/>
  <c r="D801" i="4" s="1"/>
  <c r="Q801" i="4" s="1"/>
  <c r="F777" i="4"/>
  <c r="F769" i="4"/>
  <c r="Q769" i="4"/>
  <c r="F771" i="4"/>
  <c r="G771" i="4" s="1"/>
  <c r="Q771" i="4"/>
  <c r="D795" i="4" s="1"/>
  <c r="Q795" i="4" s="1"/>
  <c r="Q732" i="4"/>
  <c r="F732" i="4"/>
  <c r="C773" i="4"/>
  <c r="F763" i="4"/>
  <c r="G763" i="4" s="1"/>
  <c r="Q763" i="4"/>
  <c r="D787" i="4" s="1"/>
  <c r="C785" i="4"/>
  <c r="G727" i="4"/>
  <c r="G753" i="4"/>
  <c r="C777" i="4"/>
  <c r="G731" i="4"/>
  <c r="G752" i="4"/>
  <c r="X665" i="4"/>
  <c r="U665" i="4"/>
  <c r="G707" i="4"/>
  <c r="C708" i="4"/>
  <c r="F708" i="4"/>
  <c r="G708" i="4" s="1"/>
  <c r="F782" i="4"/>
  <c r="Q782" i="4"/>
  <c r="D806" i="4" s="1"/>
  <c r="Q806" i="4" s="1"/>
  <c r="F749" i="4"/>
  <c r="G749" i="4" s="1"/>
  <c r="C749" i="4"/>
  <c r="C789" i="4"/>
  <c r="F687" i="4"/>
  <c r="C687" i="4"/>
  <c r="Q766" i="4"/>
  <c r="D790" i="4" s="1"/>
  <c r="F766" i="4"/>
  <c r="G766" i="4" s="1"/>
  <c r="C788" i="4"/>
  <c r="F720" i="4"/>
  <c r="G720" i="4" s="1"/>
  <c r="F689" i="4"/>
  <c r="G690" i="4" s="1"/>
  <c r="C689" i="4"/>
  <c r="F781" i="4"/>
  <c r="Q781" i="4"/>
  <c r="C781" i="4"/>
  <c r="C763" i="4"/>
  <c r="G722" i="4"/>
  <c r="G705" i="4"/>
  <c r="D810" i="4" l="1"/>
  <c r="Q810" i="4" s="1"/>
  <c r="G717" i="4"/>
  <c r="G773" i="4"/>
  <c r="D822" i="4"/>
  <c r="Q822" i="4" s="1"/>
  <c r="D846" i="4" s="1"/>
  <c r="Q846" i="4" s="1"/>
  <c r="D870" i="4" s="1"/>
  <c r="Q870" i="4" s="1"/>
  <c r="D894" i="4" s="1"/>
  <c r="Q894" i="4" s="1"/>
  <c r="D839" i="4"/>
  <c r="Q839" i="4" s="1"/>
  <c r="D813" i="4"/>
  <c r="Q813" i="4" s="1"/>
  <c r="D837" i="4" s="1"/>
  <c r="Q837" i="4" s="1"/>
  <c r="G724" i="4"/>
  <c r="D820" i="4"/>
  <c r="Q820" i="4" s="1"/>
  <c r="D844" i="4" s="1"/>
  <c r="Q844" i="4" s="1"/>
  <c r="G704" i="4"/>
  <c r="G782" i="4"/>
  <c r="G696" i="4"/>
  <c r="G760" i="4"/>
  <c r="G774" i="4"/>
  <c r="D830" i="4"/>
  <c r="Q830" i="4" s="1"/>
  <c r="D854" i="4" s="1"/>
  <c r="Q854" i="4" s="1"/>
  <c r="D878" i="4" s="1"/>
  <c r="Q878" i="4" s="1"/>
  <c r="G685" i="4"/>
  <c r="G712" i="4"/>
  <c r="D821" i="4"/>
  <c r="Q821" i="4" s="1"/>
  <c r="G709" i="4"/>
  <c r="G786" i="4"/>
  <c r="G701" i="4"/>
  <c r="D824" i="4"/>
  <c r="Q824" i="4" s="1"/>
  <c r="G778" i="4"/>
  <c r="G697" i="4"/>
  <c r="G689" i="4"/>
  <c r="G776" i="4"/>
  <c r="D832" i="4"/>
  <c r="Q832" i="4" s="1"/>
  <c r="G732" i="4"/>
  <c r="G733" i="4"/>
  <c r="G742" i="4"/>
  <c r="G743" i="4"/>
  <c r="G735" i="4"/>
  <c r="G736" i="4"/>
  <c r="Q790" i="4"/>
  <c r="D814" i="4" s="1"/>
  <c r="Q814" i="4" s="1"/>
  <c r="F790" i="4"/>
  <c r="G790" i="4" s="1"/>
  <c r="C790" i="4"/>
  <c r="G750" i="4"/>
  <c r="T1007" i="4"/>
  <c r="D756" i="4"/>
  <c r="G687" i="4"/>
  <c r="G688" i="4"/>
  <c r="G699" i="4"/>
  <c r="G700" i="4"/>
  <c r="F787" i="4"/>
  <c r="G787" i="4" s="1"/>
  <c r="Q787" i="4"/>
  <c r="D811" i="4" s="1"/>
  <c r="Q811" i="4" s="1"/>
  <c r="C787" i="4"/>
  <c r="D802" i="4"/>
  <c r="Q802" i="4" s="1"/>
  <c r="N1012" i="4"/>
  <c r="Z1008" i="4"/>
  <c r="AA1008" i="4"/>
  <c r="N1002" i="4"/>
  <c r="N1010" i="4"/>
  <c r="F744" i="4"/>
  <c r="Q744" i="4"/>
  <c r="D768" i="4" s="1"/>
  <c r="F783" i="4"/>
  <c r="G783" i="4" s="1"/>
  <c r="Q783" i="4"/>
  <c r="D807" i="4" s="1"/>
  <c r="Q807" i="4" s="1"/>
  <c r="D831" i="4" s="1"/>
  <c r="Q831" i="4" s="1"/>
  <c r="D819" i="4"/>
  <c r="Q819" i="4" s="1"/>
  <c r="D843" i="4" s="1"/>
  <c r="Q843" i="4" s="1"/>
  <c r="D867" i="4" s="1"/>
  <c r="Q867" i="4" s="1"/>
  <c r="D976" i="4"/>
  <c r="D793" i="4"/>
  <c r="Q793" i="4" s="1"/>
  <c r="D817" i="4" s="1"/>
  <c r="Q817" i="4" s="1"/>
  <c r="D841" i="4" s="1"/>
  <c r="Q841" i="4" s="1"/>
  <c r="G784" i="4"/>
  <c r="G767" i="4"/>
  <c r="D812" i="4"/>
  <c r="Q812" i="4" s="1"/>
  <c r="D836" i="4" s="1"/>
  <c r="Q836" i="4" s="1"/>
  <c r="C744" i="4"/>
  <c r="D866" i="4"/>
  <c r="Q866" i="4" s="1"/>
  <c r="D890" i="4" s="1"/>
  <c r="Q890" i="4" s="1"/>
  <c r="D914" i="4" s="1"/>
  <c r="Q914" i="4" s="1"/>
  <c r="D834" i="4"/>
  <c r="Q834" i="4" s="1"/>
  <c r="D858" i="4" s="1"/>
  <c r="Q858" i="4" s="1"/>
  <c r="G777" i="4"/>
  <c r="D809" i="4"/>
  <c r="Q809" i="4" s="1"/>
  <c r="D833" i="4" s="1"/>
  <c r="Q833" i="4" s="1"/>
  <c r="D827" i="4"/>
  <c r="Q827" i="4" s="1"/>
  <c r="D851" i="4" s="1"/>
  <c r="Q851" i="4" s="1"/>
  <c r="G754" i="4"/>
  <c r="G755" i="4"/>
  <c r="D799" i="4"/>
  <c r="Q799" i="4" s="1"/>
  <c r="G721" i="4"/>
  <c r="C783" i="4"/>
  <c r="G726" i="4"/>
  <c r="G695" i="4"/>
  <c r="G702" i="4"/>
  <c r="D805" i="4"/>
  <c r="Q805" i="4" s="1"/>
  <c r="D825" i="4"/>
  <c r="Q825" i="4" s="1"/>
  <c r="D849" i="4" s="1"/>
  <c r="Q849" i="4" s="1"/>
  <c r="D873" i="4" s="1"/>
  <c r="Q873" i="4" s="1"/>
  <c r="G737" i="4"/>
  <c r="G738" i="4"/>
  <c r="G785" i="4"/>
  <c r="G772" i="4"/>
  <c r="G714" i="4"/>
  <c r="G770" i="4"/>
  <c r="G775" i="4"/>
  <c r="D882" i="4" l="1"/>
  <c r="Q882" i="4" s="1"/>
  <c r="D918" i="4" s="1"/>
  <c r="Q918" i="4" s="1"/>
  <c r="D875" i="4"/>
  <c r="Q875" i="4" s="1"/>
  <c r="D857" i="4"/>
  <c r="Q857" i="4" s="1"/>
  <c r="D838" i="4"/>
  <c r="Q838" i="4" s="1"/>
  <c r="D860" i="4"/>
  <c r="Q860" i="4" s="1"/>
  <c r="D868" i="4"/>
  <c r="Q868" i="4" s="1"/>
  <c r="D845" i="4"/>
  <c r="Q845" i="4" s="1"/>
  <c r="D869" i="4" s="1"/>
  <c r="Q869" i="4" s="1"/>
  <c r="D893" i="4" s="1"/>
  <c r="Q893" i="4" s="1"/>
  <c r="D823" i="4"/>
  <c r="Q823" i="4" s="1"/>
  <c r="D847" i="4" s="1"/>
  <c r="Q847" i="4" s="1"/>
  <c r="D829" i="4"/>
  <c r="Q829" i="4" s="1"/>
  <c r="D853" i="4" s="1"/>
  <c r="Q853" i="4" s="1"/>
  <c r="D877" i="4" s="1"/>
  <c r="Q877" i="4" s="1"/>
  <c r="D902" i="4"/>
  <c r="Q902" i="4" s="1"/>
  <c r="D926" i="4" s="1"/>
  <c r="Q926" i="4" s="1"/>
  <c r="D950" i="4" s="1"/>
  <c r="Q950" i="4" s="1"/>
  <c r="D865" i="4"/>
  <c r="Q865" i="4" s="1"/>
  <c r="D889" i="4" s="1"/>
  <c r="Q889" i="4" s="1"/>
  <c r="D913" i="4" s="1"/>
  <c r="Q913" i="4" s="1"/>
  <c r="D856" i="4"/>
  <c r="Q856" i="4" s="1"/>
  <c r="D880" i="4" s="1"/>
  <c r="Q880" i="4" s="1"/>
  <c r="D904" i="4" s="1"/>
  <c r="Q904" i="4" s="1"/>
  <c r="D863" i="4"/>
  <c r="Q863" i="4" s="1"/>
  <c r="D887" i="4" s="1"/>
  <c r="Q887" i="4" s="1"/>
  <c r="D911" i="4" s="1"/>
  <c r="Q911" i="4" s="1"/>
  <c r="AA1002" i="4"/>
  <c r="Z1002" i="4"/>
  <c r="N1004" i="4"/>
  <c r="G788" i="4"/>
  <c r="F756" i="4"/>
  <c r="Q756" i="4"/>
  <c r="D780" i="4" s="1"/>
  <c r="C756" i="4"/>
  <c r="D848" i="4"/>
  <c r="Q848" i="4" s="1"/>
  <c r="D872" i="4" s="1"/>
  <c r="Q872" i="4" s="1"/>
  <c r="D896" i="4" s="1"/>
  <c r="Q896" i="4" s="1"/>
  <c r="G744" i="4"/>
  <c r="G745" i="4"/>
  <c r="D826" i="4"/>
  <c r="Q826" i="4" s="1"/>
  <c r="D850" i="4" s="1"/>
  <c r="Q850" i="4" s="1"/>
  <c r="D861" i="4"/>
  <c r="Q861" i="4" s="1"/>
  <c r="D885" i="4" s="1"/>
  <c r="Q885" i="4" s="1"/>
  <c r="D909" i="4" s="1"/>
  <c r="Q909" i="4" s="1"/>
  <c r="D855" i="4"/>
  <c r="Q855" i="4" s="1"/>
  <c r="D879" i="4" s="1"/>
  <c r="Q879" i="4" s="1"/>
  <c r="D903" i="4" s="1"/>
  <c r="Q903" i="4" s="1"/>
  <c r="Q768" i="4"/>
  <c r="F768" i="4"/>
  <c r="C768" i="4"/>
  <c r="D906" i="4"/>
  <c r="Q906" i="4" s="1"/>
  <c r="D930" i="4" s="1"/>
  <c r="Q930" i="4" s="1"/>
  <c r="D835" i="4"/>
  <c r="Q835" i="4" s="1"/>
  <c r="D859" i="4" s="1"/>
  <c r="Q859" i="4" s="1"/>
  <c r="D883" i="4" s="1"/>
  <c r="Q883" i="4" s="1"/>
  <c r="G791" i="4"/>
  <c r="D954" i="4" l="1"/>
  <c r="Q954" i="4" s="1"/>
  <c r="D892" i="4"/>
  <c r="Q892" i="4" s="1"/>
  <c r="D916" i="4" s="1"/>
  <c r="Q916" i="4" s="1"/>
  <c r="D940" i="4" s="1"/>
  <c r="Q940" i="4" s="1"/>
  <c r="D964" i="4" s="1"/>
  <c r="Q964" i="4" s="1"/>
  <c r="D874" i="4"/>
  <c r="Q874" i="4" s="1"/>
  <c r="D938" i="4"/>
  <c r="Q938" i="4" s="1"/>
  <c r="D962" i="4" s="1"/>
  <c r="Q962" i="4" s="1"/>
  <c r="D901" i="4"/>
  <c r="Q901" i="4" s="1"/>
  <c r="D925" i="4" s="1"/>
  <c r="Q925" i="4" s="1"/>
  <c r="D949" i="4" s="1"/>
  <c r="Q949" i="4" s="1"/>
  <c r="D881" i="4"/>
  <c r="Q881" i="4" s="1"/>
  <c r="D905" i="4" s="1"/>
  <c r="Q905" i="4" s="1"/>
  <c r="D929" i="4" s="1"/>
  <c r="Q929" i="4" s="1"/>
  <c r="D897" i="4"/>
  <c r="Q897" i="4" s="1"/>
  <c r="D921" i="4" s="1"/>
  <c r="Q921" i="4" s="1"/>
  <c r="D945" i="4" s="1"/>
  <c r="Q945" i="4" s="1"/>
  <c r="D899" i="4"/>
  <c r="Q899" i="4" s="1"/>
  <c r="D923" i="4" s="1"/>
  <c r="Q923" i="4" s="1"/>
  <c r="D947" i="4" s="1"/>
  <c r="Q947" i="4" s="1"/>
  <c r="D917" i="4"/>
  <c r="Q917" i="4" s="1"/>
  <c r="D941" i="4" s="1"/>
  <c r="Q941" i="4" s="1"/>
  <c r="D965" i="4" s="1"/>
  <c r="Q965" i="4" s="1"/>
  <c r="D928" i="4"/>
  <c r="Q928" i="4" s="1"/>
  <c r="D935" i="4"/>
  <c r="Q935" i="4" s="1"/>
  <c r="D959" i="4" s="1"/>
  <c r="Q959" i="4" s="1"/>
  <c r="G768" i="4"/>
  <c r="G769" i="4"/>
  <c r="D862" i="4"/>
  <c r="Q862" i="4" s="1"/>
  <c r="D886" i="4" s="1"/>
  <c r="Q886" i="4" s="1"/>
  <c r="D910" i="4" s="1"/>
  <c r="Q910" i="4" s="1"/>
  <c r="D933" i="4"/>
  <c r="Q933" i="4" s="1"/>
  <c r="D957" i="4" s="1"/>
  <c r="Q957" i="4" s="1"/>
  <c r="D891" i="4"/>
  <c r="Q891" i="4" s="1"/>
  <c r="D915" i="4" s="1"/>
  <c r="Q915" i="4" s="1"/>
  <c r="D939" i="4" s="1"/>
  <c r="Q939" i="4" s="1"/>
  <c r="G756" i="4"/>
  <c r="G757" i="4"/>
  <c r="D871" i="4"/>
  <c r="Q871" i="4" s="1"/>
  <c r="D895" i="4" s="1"/>
  <c r="Q895" i="4" s="1"/>
  <c r="D919" i="4" s="1"/>
  <c r="Q919" i="4" s="1"/>
  <c r="D971" i="4"/>
  <c r="Q971" i="4" s="1"/>
  <c r="D792" i="4"/>
  <c r="D884" i="4"/>
  <c r="Q884" i="4" s="1"/>
  <c r="D908" i="4" s="1"/>
  <c r="Q908" i="4" s="1"/>
  <c r="D932" i="4" s="1"/>
  <c r="Q932" i="4" s="1"/>
  <c r="Q780" i="4"/>
  <c r="D804" i="4" s="1"/>
  <c r="Q804" i="4" s="1"/>
  <c r="F780" i="4"/>
  <c r="C780" i="4"/>
  <c r="AA1004" i="4"/>
  <c r="P671" i="4"/>
  <c r="K671" i="4" s="1"/>
  <c r="M671" i="4" s="1"/>
  <c r="P666" i="4"/>
  <c r="K666" i="4" s="1"/>
  <c r="M666" i="4" s="1"/>
  <c r="N666" i="4" s="1"/>
  <c r="P665" i="4"/>
  <c r="K665" i="4" s="1"/>
  <c r="M665" i="4" s="1"/>
  <c r="N665" i="4" s="1"/>
  <c r="P670" i="4"/>
  <c r="K670" i="4" s="1"/>
  <c r="M670" i="4" s="1"/>
  <c r="N670" i="4" s="1"/>
  <c r="P669" i="4"/>
  <c r="K669" i="4" s="1"/>
  <c r="M669" i="4" s="1"/>
  <c r="N669" i="4" s="1"/>
  <c r="P667" i="4"/>
  <c r="K667" i="4" s="1"/>
  <c r="M667" i="4" s="1"/>
  <c r="N667" i="4" s="1"/>
  <c r="P668" i="4"/>
  <c r="K668" i="4" s="1"/>
  <c r="M668" i="4" s="1"/>
  <c r="N668" i="4" s="1"/>
  <c r="Z1004" i="4"/>
  <c r="D953" i="4"/>
  <c r="Q953" i="4" s="1"/>
  <c r="D942" i="4"/>
  <c r="Q942" i="4" s="1"/>
  <c r="D966" i="4" s="1"/>
  <c r="Q966" i="4" s="1"/>
  <c r="D952" i="4" l="1"/>
  <c r="Q952" i="4" s="1"/>
  <c r="D937" i="4"/>
  <c r="Q937" i="4" s="1"/>
  <c r="D961" i="4" s="1"/>
  <c r="Q961" i="4" s="1"/>
  <c r="D974" i="4"/>
  <c r="Q974" i="4" s="1"/>
  <c r="G780" i="4"/>
  <c r="G781" i="4"/>
  <c r="F792" i="4"/>
  <c r="G792" i="4" s="1"/>
  <c r="Q792" i="4"/>
  <c r="D816" i="4" s="1"/>
  <c r="Q816" i="4" s="1"/>
  <c r="D840" i="4" s="1"/>
  <c r="Q840" i="4" s="1"/>
  <c r="C792" i="4"/>
  <c r="D927" i="4"/>
  <c r="Q927" i="4" s="1"/>
  <c r="D951" i="4" s="1"/>
  <c r="Q951" i="4" s="1"/>
  <c r="D898" i="4"/>
  <c r="Q898" i="4" s="1"/>
  <c r="D922" i="4" s="1"/>
  <c r="Q922" i="4" s="1"/>
  <c r="D946" i="4" s="1"/>
  <c r="Q946" i="4" s="1"/>
  <c r="D920" i="4"/>
  <c r="Q920" i="4" s="1"/>
  <c r="D944" i="4" s="1"/>
  <c r="Q944" i="4" s="1"/>
  <c r="D968" i="4" s="1"/>
  <c r="Q968" i="4" s="1"/>
  <c r="D828" i="4"/>
  <c r="Q828" i="4" s="1"/>
  <c r="D852" i="4" s="1"/>
  <c r="Q852" i="4" s="1"/>
  <c r="D876" i="4" s="1"/>
  <c r="Q876" i="4" s="1"/>
  <c r="D934" i="4"/>
  <c r="Q934" i="4" s="1"/>
  <c r="D958" i="4" s="1"/>
  <c r="Q958" i="4" s="1"/>
  <c r="D907" i="4"/>
  <c r="Q907" i="4" s="1"/>
  <c r="D931" i="4" s="1"/>
  <c r="Q931" i="4" s="1"/>
  <c r="D955" i="4" s="1"/>
  <c r="Q955" i="4" s="1"/>
  <c r="D969" i="4"/>
  <c r="Q969" i="4" s="1"/>
  <c r="D973" i="4" l="1"/>
  <c r="Q973" i="4" s="1"/>
  <c r="D970" i="4"/>
  <c r="Q970" i="4" s="1"/>
  <c r="D956" i="4"/>
  <c r="Q956" i="4" s="1"/>
  <c r="D963" i="4"/>
  <c r="Q963" i="4" s="1"/>
  <c r="D943" i="4"/>
  <c r="Q943" i="4" s="1"/>
  <c r="D967" i="4" s="1"/>
  <c r="Q967" i="4" s="1"/>
  <c r="D864" i="4"/>
  <c r="Q864" i="4" s="1"/>
  <c r="D888" i="4" s="1"/>
  <c r="Q888" i="4" s="1"/>
  <c r="D912" i="4" s="1"/>
  <c r="Q912" i="4" s="1"/>
  <c r="D900" i="4" l="1"/>
  <c r="Q900" i="4" s="1"/>
  <c r="D924" i="4" s="1"/>
  <c r="Q924" i="4" s="1"/>
  <c r="D948" i="4" s="1"/>
  <c r="Q948" i="4" s="1"/>
  <c r="D936" i="4" l="1"/>
  <c r="Q936" i="4" s="1"/>
  <c r="D960" i="4" s="1"/>
  <c r="Q960" i="4" s="1"/>
  <c r="D972" i="4" l="1"/>
  <c r="Q97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K215" authorId="0" shapeId="0" xr:uid="{FCB27F36-9390-4E66-B411-1262A5499234}">
      <text>
        <r>
          <rPr>
            <sz val="8"/>
            <color rgb="FF000000"/>
            <rFont val="Tahoma"/>
            <family val="2"/>
          </rPr>
          <t>48% Protein Stating 9/1/87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<sst xmlns="http://schemas.openxmlformats.org/spreadsheetml/2006/main" count="346" uniqueCount="196">
  <si>
    <t>Average Nearby Futures</t>
  </si>
  <si>
    <t>Beans</t>
  </si>
  <si>
    <t>Meal</t>
  </si>
  <si>
    <t>Oil</t>
  </si>
  <si>
    <t>Margin</t>
  </si>
  <si>
    <t>Oil Share</t>
  </si>
  <si>
    <t>Updated:</t>
  </si>
  <si>
    <t>Corn Futures</t>
  </si>
  <si>
    <t>High</t>
  </si>
  <si>
    <t>Average</t>
  </si>
  <si>
    <t>Low</t>
  </si>
  <si>
    <t>Based on :</t>
  </si>
  <si>
    <t>Oct 11 Closes</t>
  </si>
  <si>
    <t>Futures</t>
  </si>
  <si>
    <t>Soybeans</t>
  </si>
  <si>
    <t>Forecast</t>
  </si>
  <si>
    <t>Midpoint</t>
  </si>
  <si>
    <t>Current</t>
  </si>
  <si>
    <t>Spread</t>
  </si>
  <si>
    <t>Full Carry (₵/bu.)</t>
  </si>
  <si>
    <t>Spread % of Full Carry</t>
  </si>
  <si>
    <t>Range</t>
  </si>
  <si>
    <t>Cell Ref</t>
  </si>
  <si>
    <t>Implied Futures</t>
  </si>
  <si>
    <t>665:666</t>
  </si>
  <si>
    <t>Storage Cost Per Day</t>
  </si>
  <si>
    <t>667:668</t>
  </si>
  <si>
    <t>669</t>
  </si>
  <si>
    <t>Soybean Meal</t>
  </si>
  <si>
    <t>670</t>
  </si>
  <si>
    <t>Soybean Oil</t>
  </si>
  <si>
    <t>671:672</t>
  </si>
  <si>
    <t>673-674</t>
  </si>
  <si>
    <t>Interest Rate</t>
  </si>
  <si>
    <t>675-676</t>
  </si>
  <si>
    <t>LIBOR - 12 Months</t>
  </si>
  <si>
    <t>LIBOR + 200 bps</t>
  </si>
  <si>
    <t>Full Carry</t>
  </si>
  <si>
    <t>665-666</t>
  </si>
  <si>
    <t>667-668</t>
  </si>
  <si>
    <t>671</t>
  </si>
  <si>
    <t>672-673</t>
  </si>
  <si>
    <t>674</t>
  </si>
  <si>
    <t>Days of Coverage</t>
  </si>
  <si>
    <t>Palm Oil</t>
  </si>
  <si>
    <t>PO Forecast in Cents per Pound</t>
  </si>
  <si>
    <t>SBO Forecast</t>
  </si>
  <si>
    <t>Forecast Spread</t>
  </si>
  <si>
    <t>PO Current in Cents per Pound</t>
  </si>
  <si>
    <t>SBO Current</t>
  </si>
  <si>
    <t>Current Spread</t>
  </si>
  <si>
    <t>Forecast Spread - Current Spread</t>
  </si>
  <si>
    <t>Current 3rd Month Continuous Palm Oil in Ringgit per Tonne</t>
  </si>
  <si>
    <t>Current 3rd Month Continuous Palm Oil in Dollars per Tonne</t>
  </si>
  <si>
    <t>Implied Ringgit per USD</t>
  </si>
  <si>
    <t>Ringgit per USD</t>
  </si>
  <si>
    <t>3rd month continuous PO in $/tonne</t>
  </si>
  <si>
    <t>3rd Month SBO in $/tonne</t>
  </si>
  <si>
    <t>Spread in $/tonne</t>
  </si>
  <si>
    <t>Spread in cents per pound</t>
  </si>
  <si>
    <t>Spread Assumption (cents per pound)</t>
  </si>
  <si>
    <t>PKO NOLA/NYC</t>
  </si>
  <si>
    <t>Palm Sterin - US Gulf</t>
  </si>
  <si>
    <t>=K114/100*11.7/(C114+M114)</t>
  </si>
  <si>
    <t>Oilshare = SBO/100*11.7/(S+SBM)</t>
  </si>
  <si>
    <t>=(F100/2000*44.5)+(J100/100*11.7)-(B100/100)</t>
  </si>
  <si>
    <t>Crush Margin=(SBM/2000*44.5)+(SBO/100*11.7)-(S/100)</t>
  </si>
  <si>
    <t>Month</t>
  </si>
  <si>
    <t>Days</t>
  </si>
  <si>
    <t>SBM value per bu</t>
  </si>
  <si>
    <t>SBO value per bu</t>
  </si>
  <si>
    <t>Biodiesel Margin</t>
  </si>
  <si>
    <t>Nearby Soybean Futures</t>
  </si>
  <si>
    <t>Nearby Soybean Meal Futures</t>
  </si>
  <si>
    <t>Nearby Soybean Oil Futures</t>
  </si>
  <si>
    <t>Nearby Heating Oil Futures</t>
  </si>
  <si>
    <t>HO+$1.15</t>
  </si>
  <si>
    <t>Nearby Palm Oil Futures</t>
  </si>
  <si>
    <t>Calculated days so far</t>
  </si>
  <si>
    <t>Avg price for rest of mth</t>
  </si>
  <si>
    <t>Average to date</t>
  </si>
  <si>
    <t>Average to date (manual resize)</t>
  </si>
  <si>
    <t>Sum to date</t>
  </si>
  <si>
    <t>Potential Sum</t>
  </si>
  <si>
    <t>Days left</t>
  </si>
  <si>
    <t>Projected Average</t>
  </si>
  <si>
    <t>PO-GO Spread</t>
  </si>
  <si>
    <t>Gas Oil Price ($/100 mt)</t>
  </si>
  <si>
    <t>Palm Oil ($/tonne)</t>
  </si>
  <si>
    <t>PO-GO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</si>
  <si>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</si>
  <si>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</si>
  <si>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</si>
  <si>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</si>
  <si>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</si>
  <si>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</si>
  <si>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</si>
  <si>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</si>
  <si>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</si>
  <si>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</si>
  <si>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</si>
  <si>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</si>
  <si>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SF1</t>
  </si>
  <si>
    <t>BOZ1</t>
  </si>
  <si>
    <t>BOF2</t>
  </si>
  <si>
    <t>SMZ1</t>
  </si>
  <si>
    <t>SMF2</t>
  </si>
  <si>
    <t>Quarterly</t>
  </si>
  <si>
    <t>Central Illinois Soy Processor</t>
  </si>
  <si>
    <t>http://www.ams.usda.gov/mnreports/gx_gr117.txt - discontinued Jul 2022</t>
  </si>
  <si>
    <t>Cash prices in the columns J - L come from FM price reports through the vegoilspreads file</t>
  </si>
  <si>
    <t>Soybean Basis</t>
  </si>
  <si>
    <t>Basis estimates in columns O - Q are based on Fastmarkets price reports</t>
  </si>
  <si>
    <t>Farm Price</t>
  </si>
  <si>
    <t>Canola Oil - RBD - Chicago</t>
  </si>
  <si>
    <t>Canola Oil - Soybean Oil Spread</t>
  </si>
  <si>
    <t>Soybean Oil - RBD - Central Illinois</t>
  </si>
  <si>
    <t>Refining Spread</t>
  </si>
  <si>
    <t>Palm Oil - RBD - Gulf</t>
  </si>
  <si>
    <t>Soybean Oil - Palm Oil</t>
  </si>
  <si>
    <t>Soybean Oil - Crude Degummed - Gulf</t>
  </si>
  <si>
    <t>Palm Oil Futures (3rd month, rolled on 1st)</t>
  </si>
  <si>
    <t>Palm Oil Futures (cents per pound)</t>
  </si>
  <si>
    <t>SBO - PO Futures (3rd month)</t>
  </si>
  <si>
    <t>Crude Soybean Oil - central Illinois - The Jacobsen</t>
  </si>
  <si>
    <t>USDA - The Jake</t>
  </si>
  <si>
    <r>
      <rPr>
        <b/>
        <sz val="8"/>
        <color theme="1"/>
        <rFont val="Brown"/>
      </rPr>
      <t xml:space="preserve">OLD CASH PRICES    </t>
    </r>
    <r>
      <rPr>
        <sz val="8"/>
        <color theme="1"/>
        <rFont val="Brown"/>
      </rPr>
      <t xml:space="preserve"> (from AMS reports)</t>
    </r>
  </si>
  <si>
    <t>Meal (Rail)</t>
  </si>
  <si>
    <t>Crude Soybean Oil - Central Illinois</t>
  </si>
  <si>
    <t>Margin (AMS)</t>
  </si>
  <si>
    <t>Oil Share (Jake)</t>
  </si>
  <si>
    <t xml:space="preserve">Oil </t>
  </si>
  <si>
    <t>Price</t>
  </si>
  <si>
    <t>Basis</t>
  </si>
  <si>
    <t>Oly Avg</t>
  </si>
  <si>
    <t>Difference</t>
  </si>
  <si>
    <t>Mid</t>
  </si>
  <si>
    <t>07/08-16/17</t>
  </si>
  <si>
    <t>Futures 10-Year Average</t>
  </si>
  <si>
    <t>Cash 10-Year Average</t>
  </si>
  <si>
    <t>Basis 10-Year Average</t>
  </si>
  <si>
    <t>Monthly Futures</t>
  </si>
  <si>
    <t>Seasonal Index Futures</t>
  </si>
  <si>
    <t>Monthly Cash</t>
  </si>
  <si>
    <t>Seasonal Index Cash</t>
  </si>
  <si>
    <t>Monthly Basis</t>
  </si>
  <si>
    <t>Seasonal Index Basis</t>
  </si>
  <si>
    <t>Marketing year averages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</si>
  <si>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</si>
  <si>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</si>
  <si>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</si>
  <si>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</si>
  <si>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</si>
  <si>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</si>
  <si>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</si>
  <si>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</si>
  <si>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</si>
  <si>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</si>
  <si>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</si>
  <si>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</si>
  <si>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</si>
  <si>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2026/27</t>
  </si>
  <si>
    <t>2027/28</t>
  </si>
  <si>
    <t>2028/29</t>
  </si>
  <si>
    <t>2029/30</t>
  </si>
  <si>
    <t>2030/31</t>
  </si>
  <si>
    <t>2031/32</t>
  </si>
  <si>
    <t>2032/33</t>
  </si>
  <si>
    <t>2033/34</t>
  </si>
  <si>
    <t>2034/35</t>
  </si>
  <si>
    <t>2035/36</t>
  </si>
  <si>
    <t>2036/37</t>
  </si>
  <si>
    <t>2037/38</t>
  </si>
  <si>
    <t>2038/39</t>
  </si>
  <si>
    <t>2039/40</t>
  </si>
  <si>
    <t>2040/41</t>
  </si>
  <si>
    <t>2041/42</t>
  </si>
  <si>
    <t>2042/43</t>
  </si>
  <si>
    <t>2043/44</t>
  </si>
  <si>
    <t>2044/45</t>
  </si>
  <si>
    <t>Soybeans (Futures)</t>
  </si>
  <si>
    <t>Soybeans (Central IL)</t>
  </si>
  <si>
    <t>Soymeal (Futures)</t>
  </si>
  <si>
    <t>Soymeal (Central IL)</t>
  </si>
  <si>
    <t>Soyoil (Futures)</t>
  </si>
  <si>
    <t>Soyoil (Crude, Central IL)</t>
  </si>
  <si>
    <t>Board Crush Margin</t>
  </si>
  <si>
    <t>Cash Crush Margin</t>
  </si>
  <si>
    <t>Oil Share (Futures)</t>
  </si>
  <si>
    <t>Cash Oil Share</t>
  </si>
  <si>
    <t>Cash Crush Basis</t>
  </si>
  <si>
    <t>Acreage Change</t>
  </si>
  <si>
    <t>Entered Forecast</t>
  </si>
  <si>
    <t>Calculated Forecast</t>
  </si>
  <si>
    <t>Current Year Average</t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</si>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</sst>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[$-409]d\-mmm;@"/>
    <numFmt numFmtId="165" formatCode="[$-409]mmm\-yy;@"/>
    <numFmt numFmtId="166" formatCode="_(* #,##0.0000_);_(* \(#,##0.0000\);_(* &quot;-&quot;??_);_(@_)"/>
    <numFmt numFmtId="167" formatCode="0.0000"/>
    <numFmt numFmtId="168" formatCode="0.0"/>
    <numFmt numFmtId="169" formatCode="#,##0.000_);[Red]\(#,##0.000\)"/>
    <numFmt numFmtId="170" formatCode="0.0%"/>
    <numFmt numFmtId="171" formatCode="#,##0.00000_);[Red]\(#,##0.00000\)"/>
    <numFmt numFmtId="172" formatCode="#,##0.0_);[Red]\(#,##0.0\)"/>
    <numFmt numFmtId="173" formatCode="_(* #,##0_);_(* \(#,##0\);_(* &quot;-&quot;??_);_(@_)"/>
    <numFmt numFmtId="174" formatCode="[$-409]d\-mmm\-yy;@"/>
    <numFmt numFmtId="175" formatCode="0.00_)"/>
    <numFmt numFmtId="176" formatCode="0.00_);[Red]\(0.00\)"/>
  </numFmts>
  <fonts count="3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Helvetica-Normal"/>
    </font>
    <font>
      <sz val="10"/>
      <color theme="1"/>
      <name val="Helvetica-Normal"/>
    </font>
    <font>
      <sz val="10"/>
      <color theme="1"/>
      <name val="Arial"/>
      <family val="2"/>
    </font>
    <font>
      <sz val="18"/>
      <color theme="1"/>
      <name val="Bahnschrift SemiBold"/>
      <family val="2"/>
    </font>
    <font>
      <b/>
      <sz val="14"/>
      <color theme="1"/>
      <name val="Arial Narrow"/>
      <family val="2"/>
    </font>
    <font>
      <b/>
      <sz val="11"/>
      <color theme="4" tint="-0.249977111117893"/>
      <name val="Aptos Narrow"/>
      <family val="2"/>
      <scheme val="minor"/>
    </font>
    <font>
      <b/>
      <sz val="10"/>
      <color theme="4" tint="-0.249977111117893"/>
      <name val="Bahnschrift SemiBold"/>
      <family val="2"/>
    </font>
    <font>
      <sz val="10"/>
      <color theme="4" tint="-0.249977111117893"/>
      <name val="Helvetica-Normal"/>
    </font>
    <font>
      <sz val="10"/>
      <color theme="4" tint="-0.249977111117893"/>
      <name val="Arial Narrow"/>
      <family val="2"/>
    </font>
    <font>
      <sz val="10"/>
      <color theme="1"/>
      <name val="Bahnschrift SemiBold"/>
      <family val="2"/>
    </font>
    <font>
      <sz val="10"/>
      <color theme="1"/>
      <name val="Arial Narrow"/>
      <family val="2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sz val="10"/>
      <color theme="1"/>
      <name val="Aptos Display"/>
      <family val="2"/>
    </font>
    <font>
      <sz val="10"/>
      <name val="Arial"/>
      <family val="2"/>
    </font>
    <font>
      <sz val="10"/>
      <name val="Helvetica-Normal"/>
    </font>
    <font>
      <sz val="10"/>
      <name val="Arial Narrow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color theme="1"/>
      <name val="Brown"/>
    </font>
    <font>
      <b/>
      <sz val="8"/>
      <color theme="1"/>
      <name val="Brown"/>
    </font>
    <font>
      <sz val="8"/>
      <name val="Brown"/>
    </font>
    <font>
      <sz val="8"/>
      <color rgb="FF6F0791"/>
      <name val="Brown"/>
    </font>
    <font>
      <sz val="8"/>
      <color theme="10"/>
      <name val="Brown"/>
    </font>
    <font>
      <b/>
      <sz val="8"/>
      <name val="Brown"/>
    </font>
    <font>
      <sz val="8"/>
      <color indexed="17"/>
      <name val="Brown"/>
    </font>
    <font>
      <b/>
      <sz val="8"/>
      <color indexed="12"/>
      <name val="Brown"/>
    </font>
    <font>
      <b/>
      <sz val="8"/>
      <color indexed="56"/>
      <name val="Brown"/>
    </font>
    <font>
      <b/>
      <sz val="8"/>
      <color indexed="16"/>
      <name val="Brown"/>
    </font>
    <font>
      <b/>
      <sz val="8"/>
      <color theme="4" tint="-0.249977111117893"/>
      <name val="Brown"/>
    </font>
    <font>
      <b/>
      <sz val="8"/>
      <color rgb="FF6F0791"/>
      <name val="Brown"/>
    </font>
    <font>
      <b/>
      <sz val="8"/>
      <color indexed="10"/>
      <name val="Brown"/>
    </font>
    <font>
      <b/>
      <sz val="8"/>
      <color rgb="FFC00000"/>
      <name val="Brown"/>
    </font>
    <font>
      <sz val="8"/>
      <color theme="4" tint="-0.249977111117893"/>
      <name val="Brown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rgb="FF6F079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thin">
        <color rgb="FFFF0000"/>
      </left>
      <right style="thin">
        <color rgb="FFFF0000"/>
      </right>
      <top style="double">
        <color rgb="FFFF0000"/>
      </top>
      <bottom/>
      <diagonal/>
    </border>
    <border>
      <left style="thin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double">
        <color rgb="FFFF0000"/>
      </top>
      <bottom style="thin">
        <color rgb="FFFF0000"/>
      </bottom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double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/>
      <diagonal/>
    </border>
    <border>
      <left style="double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/>
      <diagonal/>
    </border>
    <border>
      <left/>
      <right/>
      <top style="medium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273">
    <xf numFmtId="0" fontId="0" fillId="0" borderId="0" xfId="0"/>
    <xf numFmtId="17" fontId="2" fillId="0" borderId="0" xfId="0" applyNumberFormat="1" applyFont="1" applyAlignment="1">
      <alignment horizontal="centerContinuous"/>
    </xf>
    <xf numFmtId="43" fontId="2" fillId="0" borderId="0" xfId="1" applyFont="1" applyAlignment="1">
      <alignment horizontal="centerContinuous"/>
    </xf>
    <xf numFmtId="43" fontId="2" fillId="0" borderId="0" xfId="1" applyFont="1"/>
    <xf numFmtId="0" fontId="2" fillId="0" borderId="0" xfId="0" applyFont="1"/>
    <xf numFmtId="43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1" applyFont="1" applyAlignment="1">
      <alignment horizontal="right"/>
    </xf>
    <xf numFmtId="164" fontId="2" fillId="0" borderId="0" xfId="0" applyNumberFormat="1" applyFont="1"/>
    <xf numFmtId="17" fontId="3" fillId="0" borderId="0" xfId="0" applyNumberFormat="1" applyFont="1"/>
    <xf numFmtId="43" fontId="4" fillId="0" borderId="0" xfId="0" applyNumberFormat="1" applyFont="1"/>
    <xf numFmtId="165" fontId="0" fillId="0" borderId="0" xfId="0" applyNumberFormat="1"/>
    <xf numFmtId="43" fontId="0" fillId="0" borderId="0" xfId="0" applyNumberFormat="1"/>
    <xf numFmtId="165" fontId="3" fillId="0" borderId="0" xfId="0" applyNumberFormat="1" applyFont="1"/>
    <xf numFmtId="0" fontId="5" fillId="0" borderId="0" xfId="0" applyFont="1"/>
    <xf numFmtId="43" fontId="6" fillId="0" borderId="0" xfId="1" applyFont="1"/>
    <xf numFmtId="0" fontId="7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9" fillId="2" borderId="0" xfId="0" applyNumberFormat="1" applyFont="1" applyFill="1"/>
    <xf numFmtId="43" fontId="10" fillId="2" borderId="0" xfId="0" applyNumberFormat="1" applyFont="1" applyFill="1"/>
    <xf numFmtId="166" fontId="10" fillId="2" borderId="0" xfId="0" applyNumberFormat="1" applyFont="1" applyFill="1"/>
    <xf numFmtId="167" fontId="10" fillId="2" borderId="0" xfId="0" applyNumberFormat="1" applyFont="1" applyFill="1"/>
    <xf numFmtId="2" fontId="10" fillId="2" borderId="0" xfId="0" applyNumberFormat="1" applyFont="1" applyFill="1"/>
    <xf numFmtId="9" fontId="10" fillId="2" borderId="0" xfId="2" applyFont="1" applyFill="1"/>
    <xf numFmtId="0" fontId="0" fillId="0" borderId="0" xfId="0" quotePrefix="1"/>
    <xf numFmtId="0" fontId="0" fillId="0" borderId="0" xfId="0" applyAlignment="1">
      <alignment horizontal="centerContinuous"/>
    </xf>
    <xf numFmtId="165" fontId="9" fillId="0" borderId="0" xfId="0" applyNumberFormat="1" applyFont="1"/>
    <xf numFmtId="43" fontId="10" fillId="0" borderId="0" xfId="0" applyNumberFormat="1" applyFont="1"/>
    <xf numFmtId="166" fontId="10" fillId="0" borderId="0" xfId="0" applyNumberFormat="1" applyFont="1"/>
    <xf numFmtId="167" fontId="10" fillId="0" borderId="0" xfId="0" applyNumberFormat="1" applyFont="1"/>
    <xf numFmtId="2" fontId="10" fillId="0" borderId="0" xfId="0" applyNumberFormat="1" applyFont="1"/>
    <xf numFmtId="9" fontId="10" fillId="0" borderId="0" xfId="2" applyFont="1" applyBorder="1"/>
    <xf numFmtId="0" fontId="0" fillId="0" borderId="0" xfId="0" applyAlignment="1">
      <alignment horizontal="right"/>
    </xf>
    <xf numFmtId="14" fontId="0" fillId="0" borderId="0" xfId="0" applyNumberFormat="1"/>
    <xf numFmtId="0" fontId="0" fillId="0" borderId="1" xfId="0" applyBorder="1"/>
    <xf numFmtId="0" fontId="0" fillId="0" borderId="2" xfId="0" applyBorder="1"/>
    <xf numFmtId="166" fontId="10" fillId="0" borderId="2" xfId="0" applyNumberFormat="1" applyFont="1" applyBorder="1"/>
    <xf numFmtId="43" fontId="11" fillId="0" borderId="0" xfId="0" applyNumberFormat="1" applyFont="1"/>
    <xf numFmtId="43" fontId="0" fillId="0" borderId="0" xfId="1" applyFont="1"/>
    <xf numFmtId="168" fontId="0" fillId="0" borderId="0" xfId="0" applyNumberFormat="1"/>
    <xf numFmtId="0" fontId="7" fillId="0" borderId="1" xfId="0" applyFont="1" applyBorder="1" applyAlignment="1">
      <alignment horizontal="center" vertical="center"/>
    </xf>
    <xf numFmtId="165" fontId="3" fillId="2" borderId="0" xfId="0" applyNumberFormat="1" applyFont="1" applyFill="1"/>
    <xf numFmtId="43" fontId="12" fillId="2" borderId="0" xfId="0" applyNumberFormat="1" applyFont="1" applyFill="1"/>
    <xf numFmtId="43" fontId="12" fillId="0" borderId="0" xfId="0" applyNumberFormat="1" applyFont="1"/>
    <xf numFmtId="14" fontId="0" fillId="0" borderId="1" xfId="0" applyNumberFormat="1" applyBorder="1"/>
    <xf numFmtId="38" fontId="12" fillId="0" borderId="0" xfId="0" applyNumberFormat="1" applyFont="1" applyAlignment="1">
      <alignment vertical="center" wrapText="1"/>
    </xf>
    <xf numFmtId="0" fontId="12" fillId="0" borderId="0" xfId="0" applyFont="1"/>
    <xf numFmtId="40" fontId="12" fillId="0" borderId="0" xfId="0" applyNumberFormat="1" applyFont="1" applyAlignment="1">
      <alignment vertical="center" wrapText="1"/>
    </xf>
    <xf numFmtId="166" fontId="0" fillId="0" borderId="0" xfId="0" applyNumberFormat="1"/>
    <xf numFmtId="40" fontId="12" fillId="0" borderId="0" xfId="0" applyNumberFormat="1" applyFont="1"/>
    <xf numFmtId="40" fontId="0" fillId="0" borderId="0" xfId="0" applyNumberFormat="1"/>
    <xf numFmtId="0" fontId="14" fillId="0" borderId="0" xfId="0" applyFont="1"/>
    <xf numFmtId="165" fontId="15" fillId="0" borderId="0" xfId="0" applyNumberFormat="1" applyFont="1"/>
    <xf numFmtId="40" fontId="15" fillId="0" borderId="0" xfId="0" applyNumberFormat="1" applyFont="1"/>
    <xf numFmtId="0" fontId="15" fillId="0" borderId="0" xfId="0" applyFont="1"/>
    <xf numFmtId="0" fontId="16" fillId="0" borderId="0" xfId="0" applyFont="1"/>
    <xf numFmtId="0" fontId="3" fillId="0" borderId="0" xfId="0" applyFont="1"/>
    <xf numFmtId="169" fontId="0" fillId="0" borderId="0" xfId="1" applyNumberFormat="1" applyFont="1"/>
    <xf numFmtId="0" fontId="17" fillId="0" borderId="0" xfId="0" applyFont="1"/>
    <xf numFmtId="0" fontId="3" fillId="0" borderId="0" xfId="0" quotePrefix="1" applyFont="1" applyAlignment="1">
      <alignment horizontal="left"/>
    </xf>
    <xf numFmtId="170" fontId="3" fillId="0" borderId="0" xfId="2" applyNumberFormat="1" applyFont="1"/>
    <xf numFmtId="14" fontId="18" fillId="0" borderId="0" xfId="1" applyNumberFormat="1" applyFont="1"/>
    <xf numFmtId="43" fontId="12" fillId="0" borderId="0" xfId="1" applyFont="1"/>
    <xf numFmtId="14" fontId="18" fillId="0" borderId="0" xfId="0" applyNumberFormat="1" applyFont="1"/>
    <xf numFmtId="43" fontId="12" fillId="0" borderId="0" xfId="1" applyFont="1" applyAlignment="1">
      <alignment horizontal="right"/>
    </xf>
    <xf numFmtId="170" fontId="12" fillId="0" borderId="0" xfId="2" applyNumberFormat="1" applyFont="1"/>
    <xf numFmtId="43" fontId="18" fillId="0" borderId="0" xfId="0" applyNumberFormat="1" applyFont="1"/>
    <xf numFmtId="43" fontId="18" fillId="0" borderId="0" xfId="1" applyFont="1"/>
    <xf numFmtId="0" fontId="18" fillId="0" borderId="0" xfId="0" applyFont="1"/>
    <xf numFmtId="171" fontId="12" fillId="0" borderId="0" xfId="1" applyNumberFormat="1" applyFont="1"/>
    <xf numFmtId="172" fontId="0" fillId="0" borderId="0" xfId="1" applyNumberFormat="1" applyFont="1"/>
    <xf numFmtId="43" fontId="0" fillId="0" borderId="0" xfId="1" applyFont="1" applyAlignment="1">
      <alignment horizontal="right"/>
    </xf>
    <xf numFmtId="170" fontId="0" fillId="0" borderId="0" xfId="2" applyNumberFormat="1" applyFont="1"/>
    <xf numFmtId="40" fontId="12" fillId="0" borderId="0" xfId="1" applyNumberFormat="1" applyFont="1"/>
    <xf numFmtId="40" fontId="0" fillId="0" borderId="0" xfId="2" applyNumberFormat="1" applyFont="1"/>
    <xf numFmtId="172" fontId="3" fillId="0" borderId="0" xfId="1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3" fontId="3" fillId="0" borderId="0" xfId="0" applyNumberFormat="1" applyFont="1"/>
    <xf numFmtId="0" fontId="3" fillId="3" borderId="0" xfId="0" applyFont="1" applyFill="1"/>
    <xf numFmtId="40" fontId="3" fillId="3" borderId="0" xfId="0" applyNumberFormat="1" applyFont="1" applyFill="1"/>
    <xf numFmtId="170" fontId="3" fillId="3" borderId="0" xfId="2" applyNumberFormat="1" applyFont="1" applyFill="1"/>
    <xf numFmtId="3" fontId="3" fillId="3" borderId="0" xfId="0" applyNumberFormat="1" applyFont="1" applyFill="1"/>
    <xf numFmtId="43" fontId="3" fillId="0" borderId="0" xfId="0" applyNumberFormat="1" applyFont="1"/>
    <xf numFmtId="38" fontId="3" fillId="0" borderId="0" xfId="0" applyNumberFormat="1" applyFont="1"/>
    <xf numFmtId="40" fontId="3" fillId="0" borderId="0" xfId="0" applyNumberFormat="1" applyFont="1"/>
    <xf numFmtId="170" fontId="3" fillId="0" borderId="0" xfId="0" applyNumberFormat="1" applyFont="1"/>
    <xf numFmtId="173" fontId="0" fillId="0" borderId="0" xfId="0" applyNumberFormat="1"/>
    <xf numFmtId="0" fontId="19" fillId="0" borderId="0" xfId="0" applyFont="1" applyAlignment="1">
      <alignment horizontal="center" vertical="center" wrapText="1"/>
    </xf>
    <xf numFmtId="165" fontId="20" fillId="0" borderId="3" xfId="0" applyNumberFormat="1" applyFont="1" applyBorder="1"/>
    <xf numFmtId="40" fontId="19" fillId="0" borderId="3" xfId="0" applyNumberFormat="1" applyFont="1" applyBorder="1"/>
    <xf numFmtId="2" fontId="19" fillId="0" borderId="3" xfId="0" applyNumberFormat="1" applyFont="1" applyBorder="1"/>
    <xf numFmtId="2" fontId="0" fillId="0" borderId="0" xfId="0" applyNumberFormat="1"/>
    <xf numFmtId="165" fontId="20" fillId="0" borderId="0" xfId="0" applyNumberFormat="1" applyFont="1"/>
    <xf numFmtId="40" fontId="19" fillId="0" borderId="0" xfId="0" applyNumberFormat="1" applyFont="1"/>
    <xf numFmtId="2" fontId="19" fillId="0" borderId="0" xfId="0" applyNumberFormat="1" applyFont="1"/>
    <xf numFmtId="174" fontId="0" fillId="0" borderId="0" xfId="0" applyNumberFormat="1"/>
    <xf numFmtId="17" fontId="22" fillId="0" borderId="0" xfId="0" applyNumberFormat="1" applyFont="1"/>
    <xf numFmtId="17" fontId="23" fillId="0" borderId="0" xfId="0" applyNumberFormat="1" applyFont="1" applyAlignment="1">
      <alignment horizontal="center" vertical="center"/>
    </xf>
    <xf numFmtId="43" fontId="23" fillId="0" borderId="0" xfId="1" applyFont="1" applyAlignment="1">
      <alignment horizontal="center" vertical="center"/>
    </xf>
    <xf numFmtId="43" fontId="22" fillId="0" borderId="0" xfId="1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43" fontId="22" fillId="0" borderId="0" xfId="1" applyFont="1" applyAlignment="1">
      <alignment vertical="center" wrapText="1"/>
    </xf>
    <xf numFmtId="0" fontId="26" fillId="0" borderId="0" xfId="3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/>
    </xf>
    <xf numFmtId="43" fontId="22" fillId="0" borderId="0" xfId="1" applyFont="1" applyAlignment="1">
      <alignment horizontal="center" vertical="center"/>
    </xf>
    <xf numFmtId="43" fontId="22" fillId="0" borderId="0" xfId="1" quotePrefix="1" applyFont="1" applyAlignment="1">
      <alignment horizontal="center" vertical="center"/>
    </xf>
    <xf numFmtId="43" fontId="22" fillId="0" borderId="0" xfId="1" quotePrefix="1" applyFont="1" applyAlignment="1">
      <alignment horizontal="center" vertical="center" wrapText="1"/>
    </xf>
    <xf numFmtId="0" fontId="22" fillId="0" borderId="0" xfId="0" quotePrefix="1" applyFont="1" applyAlignment="1">
      <alignment horizontal="center" vertical="center" wrapText="1"/>
    </xf>
    <xf numFmtId="43" fontId="22" fillId="0" borderId="0" xfId="1" applyFont="1" applyAlignment="1">
      <alignment horizontal="center" vertical="center" wrapText="1"/>
    </xf>
    <xf numFmtId="0" fontId="24" fillId="0" borderId="0" xfId="0" quotePrefix="1" applyFont="1" applyAlignment="1">
      <alignment horizontal="center" vertical="center"/>
    </xf>
    <xf numFmtId="0" fontId="22" fillId="0" borderId="0" xfId="0" applyFont="1" applyAlignment="1">
      <alignment wrapText="1"/>
    </xf>
    <xf numFmtId="43" fontId="24" fillId="0" borderId="0" xfId="1" applyFont="1"/>
    <xf numFmtId="43" fontId="27" fillId="0" borderId="0" xfId="1" applyFont="1"/>
    <xf numFmtId="170" fontId="22" fillId="0" borderId="0" xfId="2" applyNumberFormat="1" applyFont="1"/>
    <xf numFmtId="43" fontId="22" fillId="0" borderId="0" xfId="1" applyFont="1"/>
    <xf numFmtId="9" fontId="24" fillId="0" borderId="0" xfId="2" applyFont="1"/>
    <xf numFmtId="175" fontId="22" fillId="0" borderId="0" xfId="1" applyNumberFormat="1" applyFont="1"/>
    <xf numFmtId="175" fontId="27" fillId="0" borderId="0" xfId="1" applyNumberFormat="1" applyFont="1"/>
    <xf numFmtId="0" fontId="24" fillId="0" borderId="0" xfId="0" applyFont="1"/>
    <xf numFmtId="170" fontId="22" fillId="0" borderId="0" xfId="0" applyNumberFormat="1" applyFont="1"/>
    <xf numFmtId="170" fontId="24" fillId="0" borderId="0" xfId="2" applyNumberFormat="1" applyFont="1"/>
    <xf numFmtId="4" fontId="24" fillId="0" borderId="0" xfId="1" applyNumberFormat="1" applyFont="1"/>
    <xf numFmtId="4" fontId="22" fillId="0" borderId="0" xfId="0" applyNumberFormat="1" applyFont="1"/>
    <xf numFmtId="2" fontId="22" fillId="0" borderId="0" xfId="0" applyNumberFormat="1" applyFont="1"/>
    <xf numFmtId="43" fontId="24" fillId="0" borderId="0" xfId="1" quotePrefix="1" applyFont="1" applyAlignment="1">
      <alignment horizontal="left"/>
    </xf>
    <xf numFmtId="43" fontId="24" fillId="0" borderId="0" xfId="1" applyFont="1" applyAlignment="1">
      <alignment horizontal="left"/>
    </xf>
    <xf numFmtId="4" fontId="28" fillId="0" borderId="0" xfId="1" applyNumberFormat="1" applyFont="1"/>
    <xf numFmtId="4" fontId="24" fillId="0" borderId="0" xfId="0" applyNumberFormat="1" applyFont="1"/>
    <xf numFmtId="43" fontId="22" fillId="0" borderId="0" xfId="0" applyNumberFormat="1" applyFont="1"/>
    <xf numFmtId="9" fontId="22" fillId="0" borderId="0" xfId="2" applyFont="1"/>
    <xf numFmtId="43" fontId="24" fillId="0" borderId="0" xfId="1" applyFont="1" applyFill="1"/>
    <xf numFmtId="174" fontId="22" fillId="0" borderId="0" xfId="0" applyNumberFormat="1" applyFont="1"/>
    <xf numFmtId="43" fontId="23" fillId="0" borderId="0" xfId="0" applyNumberFormat="1" applyFont="1"/>
    <xf numFmtId="4" fontId="23" fillId="0" borderId="0" xfId="0" applyNumberFormat="1" applyFont="1"/>
    <xf numFmtId="2" fontId="23" fillId="0" borderId="0" xfId="0" applyNumberFormat="1" applyFont="1"/>
    <xf numFmtId="43" fontId="24" fillId="4" borderId="0" xfId="1" applyFont="1" applyFill="1"/>
    <xf numFmtId="4" fontId="27" fillId="0" borderId="0" xfId="0" applyNumberFormat="1" applyFont="1"/>
    <xf numFmtId="175" fontId="29" fillId="0" borderId="0" xfId="1" applyNumberFormat="1" applyFont="1" applyFill="1"/>
    <xf numFmtId="175" fontId="30" fillId="0" borderId="0" xfId="1" applyNumberFormat="1" applyFont="1" applyFill="1"/>
    <xf numFmtId="175" fontId="27" fillId="0" borderId="0" xfId="1" applyNumberFormat="1" applyFont="1" applyFill="1"/>
    <xf numFmtId="4" fontId="31" fillId="0" borderId="0" xfId="1" applyNumberFormat="1" applyFont="1"/>
    <xf numFmtId="43" fontId="32" fillId="0" borderId="0" xfId="1" applyFont="1"/>
    <xf numFmtId="170" fontId="27" fillId="0" borderId="0" xfId="2" applyNumberFormat="1" applyFont="1"/>
    <xf numFmtId="43" fontId="24" fillId="5" borderId="0" xfId="1" applyFont="1" applyFill="1"/>
    <xf numFmtId="43" fontId="33" fillId="0" borderId="0" xfId="1" applyFont="1"/>
    <xf numFmtId="175" fontId="30" fillId="0" borderId="0" xfId="1" applyNumberFormat="1" applyFont="1"/>
    <xf numFmtId="40" fontId="27" fillId="0" borderId="0" xfId="1" applyNumberFormat="1" applyFont="1"/>
    <xf numFmtId="43" fontId="34" fillId="0" borderId="0" xfId="1" applyFont="1"/>
    <xf numFmtId="43" fontId="27" fillId="0" borderId="0" xfId="1" applyFont="1" applyFill="1"/>
    <xf numFmtId="9" fontId="27" fillId="0" borderId="0" xfId="2" applyFont="1" applyFill="1"/>
    <xf numFmtId="17" fontId="24" fillId="0" borderId="0" xfId="0" quotePrefix="1" applyNumberFormat="1" applyFont="1" applyAlignment="1">
      <alignment horizontal="left"/>
    </xf>
    <xf numFmtId="43" fontId="22" fillId="0" borderId="0" xfId="1" applyFont="1" applyFill="1"/>
    <xf numFmtId="175" fontId="22" fillId="0" borderId="0" xfId="1" applyNumberFormat="1" applyFont="1" applyFill="1"/>
    <xf numFmtId="17" fontId="24" fillId="0" borderId="0" xfId="1" applyNumberFormat="1" applyFont="1"/>
    <xf numFmtId="43" fontId="22" fillId="0" borderId="7" xfId="1" applyFont="1" applyBorder="1"/>
    <xf numFmtId="43" fontId="22" fillId="0" borderId="8" xfId="1" applyFont="1" applyBorder="1"/>
    <xf numFmtId="170" fontId="22" fillId="0" borderId="9" xfId="2" applyNumberFormat="1" applyFont="1" applyBorder="1"/>
    <xf numFmtId="43" fontId="22" fillId="0" borderId="0" xfId="1" quotePrefix="1" applyFont="1" applyAlignment="1">
      <alignment horizontal="left"/>
    </xf>
    <xf numFmtId="43" fontId="22" fillId="0" borderId="7" xfId="1" applyFont="1" applyFill="1" applyBorder="1" applyAlignment="1">
      <alignment horizontal="center"/>
    </xf>
    <xf numFmtId="43" fontId="22" fillId="0" borderId="8" xfId="1" applyFont="1" applyFill="1" applyBorder="1" applyAlignment="1">
      <alignment horizontal="center"/>
    </xf>
    <xf numFmtId="170" fontId="22" fillId="0" borderId="9" xfId="2" applyNumberFormat="1" applyFont="1" applyFill="1" applyBorder="1" applyAlignment="1">
      <alignment horizontal="center"/>
    </xf>
    <xf numFmtId="43" fontId="22" fillId="0" borderId="0" xfId="1" applyFont="1" applyFill="1" applyAlignment="1">
      <alignment horizontal="center"/>
    </xf>
    <xf numFmtId="175" fontId="22" fillId="0" borderId="0" xfId="1" applyNumberFormat="1" applyFont="1" applyFill="1" applyAlignment="1">
      <alignment horizontal="center"/>
    </xf>
    <xf numFmtId="43" fontId="22" fillId="0" borderId="7" xfId="1" applyFont="1" applyBorder="1" applyAlignment="1">
      <alignment horizontal="center"/>
    </xf>
    <xf numFmtId="43" fontId="22" fillId="0" borderId="8" xfId="1" applyFont="1" applyBorder="1" applyAlignment="1">
      <alignment horizontal="center"/>
    </xf>
    <xf numFmtId="43" fontId="22" fillId="0" borderId="9" xfId="1" applyFont="1" applyBorder="1" applyAlignment="1">
      <alignment horizontal="center"/>
    </xf>
    <xf numFmtId="17" fontId="22" fillId="0" borderId="0" xfId="0" quotePrefix="1" applyNumberFormat="1" applyFont="1" applyAlignment="1">
      <alignment horizontal="left"/>
    </xf>
    <xf numFmtId="43" fontId="23" fillId="0" borderId="13" xfId="1" applyFont="1" applyBorder="1" applyAlignment="1">
      <alignment horizontal="center"/>
    </xf>
    <xf numFmtId="43" fontId="23" fillId="0" borderId="14" xfId="1" applyFont="1" applyBorder="1" applyAlignment="1">
      <alignment horizontal="center"/>
    </xf>
    <xf numFmtId="43" fontId="23" fillId="0" borderId="15" xfId="1" applyFont="1" applyBorder="1" applyAlignment="1">
      <alignment horizontal="center"/>
    </xf>
    <xf numFmtId="17" fontId="23" fillId="0" borderId="13" xfId="0" quotePrefix="1" applyNumberFormat="1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43" fontId="23" fillId="0" borderId="13" xfId="1" applyFont="1" applyFill="1" applyBorder="1" applyAlignment="1">
      <alignment horizontal="center"/>
    </xf>
    <xf numFmtId="43" fontId="23" fillId="0" borderId="14" xfId="1" applyFont="1" applyFill="1" applyBorder="1" applyAlignment="1">
      <alignment horizontal="center"/>
    </xf>
    <xf numFmtId="43" fontId="23" fillId="0" borderId="15" xfId="1" applyFont="1" applyFill="1" applyBorder="1" applyAlignment="1">
      <alignment horizontal="center"/>
    </xf>
    <xf numFmtId="43" fontId="27" fillId="0" borderId="14" xfId="1" applyFont="1" applyBorder="1" applyAlignment="1">
      <alignment horizontal="center"/>
    </xf>
    <xf numFmtId="43" fontId="27" fillId="0" borderId="15" xfId="1" applyFont="1" applyBorder="1" applyAlignment="1">
      <alignment horizontal="center"/>
    </xf>
    <xf numFmtId="17" fontId="22" fillId="0" borderId="16" xfId="0" applyNumberFormat="1" applyFont="1" applyBorder="1"/>
    <xf numFmtId="43" fontId="22" fillId="0" borderId="17" xfId="1" applyFont="1" applyBorder="1"/>
    <xf numFmtId="43" fontId="22" fillId="0" borderId="18" xfId="1" applyFont="1" applyBorder="1"/>
    <xf numFmtId="0" fontId="22" fillId="0" borderId="19" xfId="0" applyFont="1" applyBorder="1"/>
    <xf numFmtId="9" fontId="24" fillId="0" borderId="17" xfId="2" applyFont="1" applyBorder="1"/>
    <xf numFmtId="9" fontId="24" fillId="0" borderId="18" xfId="2" applyFont="1" applyBorder="1"/>
    <xf numFmtId="9" fontId="22" fillId="0" borderId="18" xfId="2" applyFont="1" applyBorder="1"/>
    <xf numFmtId="9" fontId="22" fillId="0" borderId="19" xfId="2" applyFont="1" applyBorder="1"/>
    <xf numFmtId="43" fontId="22" fillId="0" borderId="18" xfId="1" applyFont="1" applyFill="1" applyBorder="1"/>
    <xf numFmtId="43" fontId="22" fillId="0" borderId="19" xfId="1" applyFont="1" applyFill="1" applyBorder="1"/>
    <xf numFmtId="9" fontId="24" fillId="0" borderId="17" xfId="2" applyFont="1" applyFill="1" applyBorder="1"/>
    <xf numFmtId="9" fontId="22" fillId="0" borderId="18" xfId="2" applyFont="1" applyFill="1" applyBorder="1"/>
    <xf numFmtId="9" fontId="22" fillId="0" borderId="19" xfId="2" applyFont="1" applyFill="1" applyBorder="1"/>
    <xf numFmtId="43" fontId="22" fillId="0" borderId="19" xfId="1" applyFont="1" applyBorder="1"/>
    <xf numFmtId="9" fontId="22" fillId="0" borderId="17" xfId="2" applyFont="1" applyBorder="1"/>
    <xf numFmtId="43" fontId="24" fillId="0" borderId="19" xfId="1" applyFont="1" applyBorder="1"/>
    <xf numFmtId="170" fontId="22" fillId="0" borderId="18" xfId="2" applyNumberFormat="1" applyFont="1" applyBorder="1"/>
    <xf numFmtId="9" fontId="24" fillId="0" borderId="18" xfId="2" applyFont="1" applyFill="1" applyBorder="1"/>
    <xf numFmtId="9" fontId="24" fillId="0" borderId="19" xfId="2" applyFont="1" applyBorder="1"/>
    <xf numFmtId="43" fontId="22" fillId="0" borderId="20" xfId="1" applyFont="1" applyBorder="1"/>
    <xf numFmtId="9" fontId="22" fillId="0" borderId="20" xfId="2" applyFont="1" applyBorder="1"/>
    <xf numFmtId="9" fontId="24" fillId="0" borderId="21" xfId="2" applyFont="1" applyBorder="1"/>
    <xf numFmtId="9" fontId="22" fillId="0" borderId="21" xfId="2" applyFont="1" applyBorder="1"/>
    <xf numFmtId="9" fontId="22" fillId="0" borderId="22" xfId="2" applyFont="1" applyBorder="1"/>
    <xf numFmtId="43" fontId="22" fillId="0" borderId="23" xfId="1" applyFont="1" applyFill="1" applyBorder="1"/>
    <xf numFmtId="9" fontId="22" fillId="0" borderId="20" xfId="2" applyFont="1" applyFill="1" applyBorder="1"/>
    <xf numFmtId="9" fontId="24" fillId="0" borderId="21" xfId="2" applyFont="1" applyFill="1" applyBorder="1"/>
    <xf numFmtId="9" fontId="22" fillId="0" borderId="21" xfId="2" applyFont="1" applyFill="1" applyBorder="1"/>
    <xf numFmtId="9" fontId="22" fillId="0" borderId="24" xfId="2" applyFont="1" applyFill="1" applyBorder="1"/>
    <xf numFmtId="43" fontId="22" fillId="0" borderId="21" xfId="1" applyFont="1" applyBorder="1"/>
    <xf numFmtId="43" fontId="22" fillId="0" borderId="24" xfId="1" applyFont="1" applyBorder="1"/>
    <xf numFmtId="9" fontId="24" fillId="0" borderId="24" xfId="2" applyFont="1" applyBorder="1"/>
    <xf numFmtId="17" fontId="24" fillId="0" borderId="0" xfId="0" applyNumberFormat="1" applyFont="1"/>
    <xf numFmtId="43" fontId="22" fillId="0" borderId="25" xfId="1" applyFont="1" applyBorder="1"/>
    <xf numFmtId="43" fontId="22" fillId="0" borderId="25" xfId="1" applyFont="1" applyFill="1" applyBorder="1"/>
    <xf numFmtId="0" fontId="34" fillId="0" borderId="0" xfId="0" quotePrefix="1" applyFont="1" applyAlignment="1">
      <alignment horizontal="left"/>
    </xf>
    <xf numFmtId="0" fontId="24" fillId="0" borderId="0" xfId="0" quotePrefix="1" applyFont="1" applyAlignment="1">
      <alignment horizontal="center"/>
    </xf>
    <xf numFmtId="2" fontId="24" fillId="0" borderId="0" xfId="0" applyNumberFormat="1" applyFont="1"/>
    <xf numFmtId="176" fontId="24" fillId="0" borderId="0" xfId="1" applyNumberFormat="1" applyFont="1"/>
    <xf numFmtId="2" fontId="32" fillId="0" borderId="0" xfId="0" applyNumberFormat="1" applyFont="1"/>
    <xf numFmtId="10" fontId="24" fillId="0" borderId="0" xfId="2" quotePrefix="1" applyNumberFormat="1" applyFont="1" applyAlignment="1">
      <alignment horizontal="center"/>
    </xf>
    <xf numFmtId="176" fontId="24" fillId="0" borderId="0" xfId="0" applyNumberFormat="1" applyFont="1"/>
    <xf numFmtId="2" fontId="35" fillId="0" borderId="0" xfId="0" applyNumberFormat="1" applyFont="1"/>
    <xf numFmtId="176" fontId="36" fillId="0" borderId="0" xfId="0" applyNumberFormat="1" applyFont="1"/>
    <xf numFmtId="176" fontId="27" fillId="0" borderId="0" xfId="0" applyNumberFormat="1" applyFont="1"/>
    <xf numFmtId="2" fontId="24" fillId="0" borderId="26" xfId="0" applyNumberFormat="1" applyFont="1" applyBorder="1"/>
    <xf numFmtId="43" fontId="24" fillId="0" borderId="26" xfId="1" applyFont="1" applyBorder="1"/>
    <xf numFmtId="176" fontId="24" fillId="0" borderId="26" xfId="1" applyNumberFormat="1" applyFont="1" applyBorder="1"/>
    <xf numFmtId="43" fontId="35" fillId="0" borderId="26" xfId="1" applyFont="1" applyFill="1" applyBorder="1"/>
    <xf numFmtId="43" fontId="35" fillId="0" borderId="0" xfId="1" applyFont="1" applyFill="1"/>
    <xf numFmtId="2" fontId="32" fillId="0" borderId="26" xfId="0" applyNumberFormat="1" applyFont="1" applyBorder="1"/>
    <xf numFmtId="43" fontId="32" fillId="0" borderId="26" xfId="1" applyFont="1" applyFill="1" applyBorder="1"/>
    <xf numFmtId="43" fontId="32" fillId="0" borderId="0" xfId="1" applyFont="1" applyFill="1"/>
    <xf numFmtId="170" fontId="24" fillId="0" borderId="26" xfId="2" applyNumberFormat="1" applyFont="1" applyBorder="1"/>
    <xf numFmtId="170" fontId="27" fillId="0" borderId="26" xfId="2" applyNumberFormat="1" applyFont="1" applyFill="1" applyBorder="1"/>
    <xf numFmtId="170" fontId="27" fillId="0" borderId="0" xfId="2" applyNumberFormat="1" applyFont="1" applyFill="1"/>
    <xf numFmtId="176" fontId="22" fillId="0" borderId="0" xfId="0" applyNumberFormat="1" applyFont="1"/>
    <xf numFmtId="176" fontId="33" fillId="0" borderId="0" xfId="0" applyNumberFormat="1" applyFont="1"/>
    <xf numFmtId="0" fontId="24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2" fontId="24" fillId="0" borderId="0" xfId="0" applyNumberFormat="1" applyFont="1" applyAlignment="1">
      <alignment horizontal="left"/>
    </xf>
    <xf numFmtId="0" fontId="22" fillId="0" borderId="0" xfId="0" quotePrefix="1" applyFont="1" applyAlignment="1">
      <alignment horizontal="left"/>
    </xf>
    <xf numFmtId="43" fontId="23" fillId="0" borderId="10" xfId="1" applyFont="1" applyBorder="1" applyAlignment="1">
      <alignment horizontal="center"/>
    </xf>
    <xf numFmtId="43" fontId="23" fillId="0" borderId="11" xfId="1" applyFont="1" applyBorder="1" applyAlignment="1">
      <alignment horizontal="center"/>
    </xf>
    <xf numFmtId="43" fontId="23" fillId="0" borderId="12" xfId="1" applyFont="1" applyBorder="1" applyAlignment="1">
      <alignment horizontal="center"/>
    </xf>
    <xf numFmtId="43" fontId="23" fillId="0" borderId="10" xfId="0" applyNumberFormat="1" applyFont="1" applyBorder="1" applyAlignment="1">
      <alignment horizontal="center"/>
    </xf>
    <xf numFmtId="43" fontId="23" fillId="0" borderId="11" xfId="0" applyNumberFormat="1" applyFont="1" applyBorder="1" applyAlignment="1">
      <alignment horizontal="center"/>
    </xf>
    <xf numFmtId="43" fontId="23" fillId="0" borderId="12" xfId="0" applyNumberFormat="1" applyFont="1" applyBorder="1" applyAlignment="1">
      <alignment horizontal="center"/>
    </xf>
    <xf numFmtId="17" fontId="23" fillId="0" borderId="10" xfId="0" quotePrefix="1" applyNumberFormat="1" applyFont="1" applyBorder="1" applyAlignment="1">
      <alignment horizontal="center"/>
    </xf>
    <xf numFmtId="17" fontId="23" fillId="0" borderId="11" xfId="0" quotePrefix="1" applyNumberFormat="1" applyFont="1" applyBorder="1" applyAlignment="1">
      <alignment horizontal="center"/>
    </xf>
    <xf numFmtId="17" fontId="23" fillId="0" borderId="12" xfId="0" quotePrefix="1" applyNumberFormat="1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4" fillId="0" borderId="0" xfId="3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75" fontId="22" fillId="0" borderId="0" xfId="1" applyNumberFormat="1" applyFont="1" applyFill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43" fontId="23" fillId="0" borderId="4" xfId="1" applyFont="1" applyBorder="1" applyAlignment="1">
      <alignment horizontal="center"/>
    </xf>
    <xf numFmtId="43" fontId="23" fillId="0" borderId="5" xfId="1" applyFont="1" applyBorder="1" applyAlignment="1">
      <alignment horizontal="center"/>
    </xf>
    <xf numFmtId="43" fontId="23" fillId="0" borderId="6" xfId="1" applyFont="1" applyBorder="1" applyAlignment="1">
      <alignment horizontal="center"/>
    </xf>
    <xf numFmtId="17" fontId="27" fillId="0" borderId="4" xfId="0" quotePrefix="1" applyNumberFormat="1" applyFont="1" applyBorder="1" applyAlignment="1">
      <alignment horizontal="center"/>
    </xf>
    <xf numFmtId="17" fontId="27" fillId="0" borderId="5" xfId="0" quotePrefix="1" applyNumberFormat="1" applyFont="1" applyBorder="1" applyAlignment="1">
      <alignment horizontal="center"/>
    </xf>
    <xf numFmtId="17" fontId="27" fillId="0" borderId="6" xfId="0" quotePrefix="1" applyNumberFormat="1" applyFont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prophetx.rtdserver">
      <tp t="e">
        <v>#N/A</v>
        <stp/>
        <stp>QUOTE</stp>
        <stp>@bo@c3</stp>
        <stp>Last</stp>
        <tr r="A67" s="2"/>
      </tp>
      <tp t="e">
        <v>#N/A</v>
        <stp/>
        <stp>QUOTE</stp>
        <stp>upo@c3</stp>
        <stp>Last</stp>
        <tr r="A62" s="2"/>
      </tp>
      <tp t="e">
        <v>#N/A</v>
        <stp/>
        <stp>QUOTE</stp>
        <stp>kpo@c3</stp>
        <stp>Settle</stp>
        <tr r="A61" s="2"/>
      </tp>
      <tp t="e">
        <v>#N/A</v>
        <stp/>
        <stp>QUOTE</stp>
        <stp>kpo@c1</stp>
        <stp>Last</stp>
        <tr r="A60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theme" Target="theme/theme1.xml"/><Relationship Id="rId22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Soybean Futures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636701662292212E-2"/>
          <c:y val="0.14814814814814814"/>
          <c:w val="0.89295625546806645"/>
          <c:h val="0.76505540974044917"/>
        </c:manualLayout>
      </c:layout>
      <c:lineChart>
        <c:grouping val="standard"/>
        <c:varyColors val="0"/>
        <c:ser>
          <c:idx val="0"/>
          <c:order val="0"/>
          <c:tx>
            <c:strRef>
              <c:f>Forecasts!$B$2</c:f>
              <c:strCache>
                <c:ptCount val="1"/>
                <c:pt idx="0">
                  <c:v>Forecast</c:v>
                </c:pt>
              </c:strCache>
            </c:strRef>
          </c:tx>
          <c:spPr>
            <a:ln w="15875" cap="rnd">
              <a:solidFill>
                <a:srgbClr val="8E9A4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50449A"/>
              </a:solidFill>
              <a:ln w="9525">
                <a:solidFill>
                  <a:srgbClr val="8E9A44"/>
                </a:solidFill>
              </a:ln>
              <a:effectLst/>
            </c:spPr>
          </c:marker>
          <c:cat>
            <c:numRef>
              <c:f>Forecasts!$A$3:$A$9</c:f>
              <c:numCache>
                <c:formatCode>[$-409]mmm\-yy;@</c:formatCode>
                <c:ptCount val="7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45962</c:v>
                </c:pt>
                <c:pt idx="5">
                  <c:v>46023</c:v>
                </c:pt>
                <c:pt idx="6">
                  <c:v>46082</c:v>
                </c:pt>
              </c:numCache>
            </c:numRef>
          </c:cat>
          <c:val>
            <c:numRef>
              <c:f>Forecasts!$B$3:$B$9</c:f>
              <c:numCache>
                <c:formatCode>_(* #,##0.00_);_(* \(#,##0.00\);_(* "-"??_);_(@_)</c:formatCode>
                <c:ptCount val="7"/>
                <c:pt idx="0">
                  <c:v>9.9250000000000007</c:v>
                </c:pt>
                <c:pt idx="1">
                  <c:v>10.124999999999998</c:v>
                </c:pt>
                <c:pt idx="2">
                  <c:v>10.050000000000002</c:v>
                </c:pt>
                <c:pt idx="3">
                  <c:v>9.5499999999999989</c:v>
                </c:pt>
                <c:pt idx="4">
                  <c:v>8.8249999999999993</c:v>
                </c:pt>
                <c:pt idx="5">
                  <c:v>9.0749999999999993</c:v>
                </c:pt>
                <c:pt idx="6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06-4EE5-B90A-CC4E4B734F6E}"/>
            </c:ext>
          </c:extLst>
        </c:ser>
        <c:ser>
          <c:idx val="1"/>
          <c:order val="1"/>
          <c:tx>
            <c:strRef>
              <c:f>Forecasts!$F$2</c:f>
              <c:strCache>
                <c:ptCount val="1"/>
                <c:pt idx="0">
                  <c:v>Current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Forecasts!$A$3:$A$9</c:f>
              <c:numCache>
                <c:formatCode>[$-409]mmm\-yy;@</c:formatCode>
                <c:ptCount val="7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45962</c:v>
                </c:pt>
                <c:pt idx="5">
                  <c:v>46023</c:v>
                </c:pt>
                <c:pt idx="6">
                  <c:v>46082</c:v>
                </c:pt>
              </c:numCache>
            </c:numRef>
          </c:cat>
          <c:val>
            <c:numRef>
              <c:f>Forecasts!$F$3:$F$9</c:f>
              <c:numCache>
                <c:formatCode>_(* #,##0.0000_);_(* \(#,##0.0000\);_(*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06-4EE5-B90A-CC4E4B734F6E}"/>
            </c:ext>
          </c:extLst>
        </c:ser>
        <c:ser>
          <c:idx val="2"/>
          <c:order val="2"/>
          <c:tx>
            <c:strRef>
              <c:f>Forecasts!$C$2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Forecasts!$A$3:$A$9</c:f>
              <c:numCache>
                <c:formatCode>[$-409]mmm\-yy;@</c:formatCode>
                <c:ptCount val="7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45962</c:v>
                </c:pt>
                <c:pt idx="5">
                  <c:v>46023</c:v>
                </c:pt>
                <c:pt idx="6">
                  <c:v>46082</c:v>
                </c:pt>
              </c:numCache>
            </c:numRef>
          </c:cat>
          <c:val>
            <c:numRef>
              <c:f>Forecasts!$C$3:$C$9</c:f>
              <c:numCache>
                <c:formatCode>_(* #,##0.00_);_(* \(#,##0.00\);_(* "-"??_);_(@_)</c:formatCode>
                <c:ptCount val="7"/>
                <c:pt idx="0">
                  <c:v>9.2445565675398118</c:v>
                </c:pt>
                <c:pt idx="1">
                  <c:v>9.322205807844572</c:v>
                </c:pt>
                <c:pt idx="2">
                  <c:v>8.6724756342857123</c:v>
                </c:pt>
                <c:pt idx="3">
                  <c:v>8.4210370185431938</c:v>
                </c:pt>
                <c:pt idx="4">
                  <c:v>7.5095138046301546</c:v>
                </c:pt>
                <c:pt idx="5">
                  <c:v>8.3936827545161155</c:v>
                </c:pt>
                <c:pt idx="6">
                  <c:v>8.5171326315789511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06-4EE5-B90A-CC4E4B734F6E}"/>
            </c:ext>
          </c:extLst>
        </c:ser>
        <c:ser>
          <c:idx val="3"/>
          <c:order val="3"/>
          <c:tx>
            <c:strRef>
              <c:f>Forecasts!$D$2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Forecasts!$A$3:$A$9</c:f>
              <c:numCache>
                <c:formatCode>[$-409]mmm\-yy;@</c:formatCode>
                <c:ptCount val="7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45962</c:v>
                </c:pt>
                <c:pt idx="5">
                  <c:v>46023</c:v>
                </c:pt>
                <c:pt idx="6">
                  <c:v>46082</c:v>
                </c:pt>
              </c:numCache>
            </c:numRef>
          </c:cat>
          <c:val>
            <c:numRef>
              <c:f>Forecasts!$D$3:$D$9</c:f>
              <c:numCache>
                <c:formatCode>_(* #,##0.00_);_(* \(#,##0.00\);_(* "-"??_);_(@_)</c:formatCode>
                <c:ptCount val="7"/>
                <c:pt idx="0">
                  <c:v>10.475040380952384</c:v>
                </c:pt>
                <c:pt idx="1">
                  <c:v>10.992937807844571</c:v>
                </c:pt>
                <c:pt idx="2">
                  <c:v>10.448846034285713</c:v>
                </c:pt>
                <c:pt idx="3">
                  <c:v>10.264773818543198</c:v>
                </c:pt>
                <c:pt idx="4">
                  <c:v>10.098867786466165</c:v>
                </c:pt>
                <c:pt idx="5">
                  <c:v>9.9402484956659833</c:v>
                </c:pt>
                <c:pt idx="6">
                  <c:v>9.9879606315789484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06-4EE5-B90A-CC4E4B734F6E}"/>
            </c:ext>
          </c:extLst>
        </c:ser>
        <c:ser>
          <c:idx val="4"/>
          <c:order val="4"/>
          <c:tx>
            <c:strRef>
              <c:f>Forecasts!$X$2</c:f>
              <c:strCache>
                <c:ptCount val="1"/>
                <c:pt idx="0">
                  <c:v>Implied Futures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Forecasts!$A$3:$A$9</c:f>
              <c:numCache>
                <c:formatCode>[$-409]mmm\-yy;@</c:formatCode>
                <c:ptCount val="7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45962</c:v>
                </c:pt>
                <c:pt idx="5">
                  <c:v>46023</c:v>
                </c:pt>
                <c:pt idx="6">
                  <c:v>46082</c:v>
                </c:pt>
              </c:numCache>
            </c:numRef>
          </c:cat>
          <c:val>
            <c:numRef>
              <c:f>Forecasts!$X$3:$X$9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06-4EE5-B90A-CC4E4B734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848968"/>
        <c:axId val="659850280"/>
      </c:lineChart>
      <c:catAx>
        <c:axId val="659848968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8E9A4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59850280"/>
        <c:crosses val="autoZero"/>
        <c:auto val="0"/>
        <c:lblAlgn val="ctr"/>
        <c:lblOffset val="100"/>
        <c:noMultiLvlLbl val="0"/>
      </c:catAx>
      <c:valAx>
        <c:axId val="659850280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59848968"/>
        <c:crosses val="autoZero"/>
        <c:crossBetween val="between"/>
      </c:valAx>
      <c:spPr>
        <a:noFill/>
        <a:ln w="15875">
          <a:solidFill>
            <a:srgbClr val="8E9A44"/>
          </a:solidFill>
        </a:ln>
        <a:effectLst/>
      </c:spPr>
    </c:plotArea>
    <c:legend>
      <c:legendPos val="r"/>
      <c:layout>
        <c:manualLayout>
          <c:xMode val="edge"/>
          <c:yMode val="edge"/>
          <c:x val="0.10429961037890638"/>
          <c:y val="0.76249374451179053"/>
          <c:w val="0.65870950653768057"/>
          <c:h val="0.12757102712026863"/>
        </c:manualLayout>
      </c:layout>
      <c:overlay val="0"/>
      <c:spPr>
        <a:solidFill>
          <a:schemeClr val="bg1"/>
        </a:solidFill>
        <a:ln w="15875">
          <a:solidFill>
            <a:srgbClr val="8E9A4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8E9A4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Soybean Meal Futures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636701662292212E-2"/>
          <c:y val="0.14814814814814814"/>
          <c:w val="0.88119910495774312"/>
          <c:h val="0.76505540974044917"/>
        </c:manualLayout>
      </c:layout>
      <c:lineChart>
        <c:grouping val="standard"/>
        <c:varyColors val="0"/>
        <c:ser>
          <c:idx val="0"/>
          <c:order val="0"/>
          <c:tx>
            <c:strRef>
              <c:f>Forecasts!$B$2</c:f>
              <c:strCache>
                <c:ptCount val="1"/>
                <c:pt idx="0">
                  <c:v>Forecast</c:v>
                </c:pt>
              </c:strCache>
            </c:strRef>
          </c:tx>
          <c:spPr>
            <a:ln w="15875" cap="rnd">
              <a:solidFill>
                <a:srgbClr val="8E9A4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50449A"/>
              </a:solidFill>
              <a:ln w="9525">
                <a:solidFill>
                  <a:srgbClr val="8E9A44"/>
                </a:solidFill>
              </a:ln>
              <a:effectLst/>
            </c:spPr>
          </c:marker>
          <c:cat>
            <c:numRef>
              <c:f>Forecasts!$A$16:$A$23</c:f>
              <c:numCache>
                <c:formatCode>[$-409]mmm\-yy;@</c:formatCode>
                <c:ptCount val="8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45992</c:v>
                </c:pt>
                <c:pt idx="6">
                  <c:v>46023</c:v>
                </c:pt>
                <c:pt idx="7">
                  <c:v>46082</c:v>
                </c:pt>
              </c:numCache>
            </c:numRef>
          </c:cat>
          <c:val>
            <c:numRef>
              <c:f>Forecasts!$B$16:$B$23</c:f>
              <c:numCache>
                <c:formatCode>_(* #,##0.00_);_(* \(#,##0.00\);_(*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B-4AA9-A9C7-03624794DA9E}"/>
            </c:ext>
          </c:extLst>
        </c:ser>
        <c:ser>
          <c:idx val="1"/>
          <c:order val="1"/>
          <c:tx>
            <c:strRef>
              <c:f>Forecasts!$F$2</c:f>
              <c:strCache>
                <c:ptCount val="1"/>
                <c:pt idx="0">
                  <c:v>Current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Forecasts!$A$16:$A$23</c:f>
              <c:numCache>
                <c:formatCode>[$-409]mmm\-yy;@</c:formatCode>
                <c:ptCount val="8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45992</c:v>
                </c:pt>
                <c:pt idx="6">
                  <c:v>46023</c:v>
                </c:pt>
                <c:pt idx="7">
                  <c:v>46082</c:v>
                </c:pt>
              </c:numCache>
            </c:numRef>
          </c:cat>
          <c:val>
            <c:numRef>
              <c:f>Forecasts!$F$16:$F$23</c:f>
              <c:numCache>
                <c:formatCode>_(* #,##0.00_);_(* \(#,##0.00\);_(*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CB-4AA9-A9C7-03624794DA9E}"/>
            </c:ext>
          </c:extLst>
        </c:ser>
        <c:ser>
          <c:idx val="2"/>
          <c:order val="2"/>
          <c:tx>
            <c:strRef>
              <c:f>Forecasts!$C$15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Forecasts!$A$16:$A$23</c:f>
              <c:numCache>
                <c:formatCode>[$-409]mmm\-yy;@</c:formatCode>
                <c:ptCount val="8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45992</c:v>
                </c:pt>
                <c:pt idx="6">
                  <c:v>46023</c:v>
                </c:pt>
                <c:pt idx="7">
                  <c:v>46082</c:v>
                </c:pt>
              </c:numCache>
            </c:numRef>
          </c:cat>
          <c:val>
            <c:numRef>
              <c:f>Forecasts!$C$16:$C$23</c:f>
              <c:numCache>
                <c:formatCode>_(* #,##0.00_);_(* \(#,##0.00\);_(*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CB-4AA9-A9C7-03624794DA9E}"/>
            </c:ext>
          </c:extLst>
        </c:ser>
        <c:ser>
          <c:idx val="3"/>
          <c:order val="3"/>
          <c:tx>
            <c:strRef>
              <c:f>Forecasts!$D$15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Forecasts!$A$16:$A$23</c:f>
              <c:numCache>
                <c:formatCode>[$-409]mmm\-yy;@</c:formatCode>
                <c:ptCount val="8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45992</c:v>
                </c:pt>
                <c:pt idx="6">
                  <c:v>46023</c:v>
                </c:pt>
                <c:pt idx="7">
                  <c:v>46082</c:v>
                </c:pt>
              </c:numCache>
            </c:numRef>
          </c:cat>
          <c:val>
            <c:numRef>
              <c:f>Forecasts!$D$16:$D$23</c:f>
              <c:numCache>
                <c:formatCode>_(* #,##0.00_);_(* \(#,##0.00\);_(*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CB-4AA9-A9C7-03624794DA9E}"/>
            </c:ext>
          </c:extLst>
        </c:ser>
        <c:ser>
          <c:idx val="4"/>
          <c:order val="4"/>
          <c:tx>
            <c:strRef>
              <c:f>Forecasts!$X$2</c:f>
              <c:strCache>
                <c:ptCount val="1"/>
                <c:pt idx="0">
                  <c:v>Implied Futures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Forecasts!$A$16:$A$23</c:f>
              <c:numCache>
                <c:formatCode>[$-409]mmm\-yy;@</c:formatCode>
                <c:ptCount val="8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45992</c:v>
                </c:pt>
                <c:pt idx="6">
                  <c:v>46023</c:v>
                </c:pt>
                <c:pt idx="7">
                  <c:v>46082</c:v>
                </c:pt>
              </c:numCache>
            </c:numRef>
          </c:cat>
          <c:val>
            <c:numRef>
              <c:f>Forecasts!$X$16:$X$23</c:f>
              <c:numCache>
                <c:formatCode>_(* #,##0.00_);_(* \(#,##0.00\);_(*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CB-4AA9-A9C7-03624794D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848968"/>
        <c:axId val="659850280"/>
      </c:lineChart>
      <c:catAx>
        <c:axId val="659848968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8E9A4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59850280"/>
        <c:crosses val="autoZero"/>
        <c:auto val="0"/>
        <c:lblAlgn val="ctr"/>
        <c:lblOffset val="100"/>
        <c:noMultiLvlLbl val="0"/>
      </c:catAx>
      <c:valAx>
        <c:axId val="659850280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59848968"/>
        <c:crosses val="autoZero"/>
        <c:crossBetween val="between"/>
      </c:valAx>
      <c:spPr>
        <a:noFill/>
        <a:ln w="15875">
          <a:solidFill>
            <a:srgbClr val="8E9A44"/>
          </a:solidFill>
        </a:ln>
        <a:effectLst/>
      </c:spPr>
    </c:plotArea>
    <c:legend>
      <c:legendPos val="r"/>
      <c:layout>
        <c:manualLayout>
          <c:xMode val="edge"/>
          <c:yMode val="edge"/>
          <c:x val="0.10375216643777398"/>
          <c:y val="0.67830040428739535"/>
          <c:w val="0.45041787034177072"/>
          <c:h val="0.20534597813064781"/>
        </c:manualLayout>
      </c:layout>
      <c:overlay val="0"/>
      <c:spPr>
        <a:solidFill>
          <a:schemeClr val="bg1"/>
        </a:solidFill>
        <a:ln w="15875">
          <a:solidFill>
            <a:srgbClr val="8E9A4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8E9A4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Soybean Oil Futures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636701662292212E-2"/>
          <c:y val="0.14814814814814814"/>
          <c:w val="0.89295625546806645"/>
          <c:h val="0.76505540974044917"/>
        </c:manualLayout>
      </c:layout>
      <c:lineChart>
        <c:grouping val="standard"/>
        <c:varyColors val="0"/>
        <c:ser>
          <c:idx val="0"/>
          <c:order val="0"/>
          <c:tx>
            <c:strRef>
              <c:f>Forecasts!$B$2</c:f>
              <c:strCache>
                <c:ptCount val="1"/>
                <c:pt idx="0">
                  <c:v>Forecast</c:v>
                </c:pt>
              </c:strCache>
            </c:strRef>
          </c:tx>
          <c:spPr>
            <a:ln w="15875" cap="rnd">
              <a:solidFill>
                <a:srgbClr val="8E9A4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50449A"/>
              </a:solidFill>
              <a:ln w="9525">
                <a:solidFill>
                  <a:srgbClr val="8E9A44"/>
                </a:solidFill>
              </a:ln>
              <a:effectLst/>
            </c:spPr>
          </c:marker>
          <c:cat>
            <c:numRef>
              <c:f>Forecasts!$A$31:$A$38</c:f>
              <c:numCache>
                <c:formatCode>[$-409]mmm\-yy;@</c:formatCode>
                <c:ptCount val="8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45992</c:v>
                </c:pt>
                <c:pt idx="6">
                  <c:v>46023</c:v>
                </c:pt>
                <c:pt idx="7">
                  <c:v>46082</c:v>
                </c:pt>
              </c:numCache>
            </c:numRef>
          </c:cat>
          <c:val>
            <c:numRef>
              <c:f>Forecasts!$B$31:$B$38</c:f>
              <c:numCache>
                <c:formatCode>_(* #,##0.00_);_(* \(#,##0.00\);_(*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5-46AB-A86F-F860886EA0A9}"/>
            </c:ext>
          </c:extLst>
        </c:ser>
        <c:ser>
          <c:idx val="1"/>
          <c:order val="1"/>
          <c:tx>
            <c:strRef>
              <c:f>Forecasts!$F$2</c:f>
              <c:strCache>
                <c:ptCount val="1"/>
                <c:pt idx="0">
                  <c:v>Current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Forecasts!$A$31:$A$38</c:f>
              <c:numCache>
                <c:formatCode>[$-409]mmm\-yy;@</c:formatCode>
                <c:ptCount val="8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45992</c:v>
                </c:pt>
                <c:pt idx="6">
                  <c:v>46023</c:v>
                </c:pt>
                <c:pt idx="7">
                  <c:v>46082</c:v>
                </c:pt>
              </c:numCache>
            </c:numRef>
          </c:cat>
          <c:val>
            <c:numRef>
              <c:f>Forecasts!$F$31:$F$38</c:f>
              <c:numCache>
                <c:formatCode>_(* #,##0.00_);_(* \(#,##0.00\);_(*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5-46AB-A86F-F860886EA0A9}"/>
            </c:ext>
          </c:extLst>
        </c:ser>
        <c:ser>
          <c:idx val="2"/>
          <c:order val="2"/>
          <c:tx>
            <c:strRef>
              <c:f>Forecasts!$C$30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Forecasts!$A$31:$A$38</c:f>
              <c:numCache>
                <c:formatCode>[$-409]mmm\-yy;@</c:formatCode>
                <c:ptCount val="8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45992</c:v>
                </c:pt>
                <c:pt idx="6">
                  <c:v>46023</c:v>
                </c:pt>
                <c:pt idx="7">
                  <c:v>46082</c:v>
                </c:pt>
              </c:numCache>
            </c:numRef>
          </c:cat>
          <c:val>
            <c:numRef>
              <c:f>Forecasts!$C$31:$C$38</c:f>
              <c:numCache>
                <c:formatCode>_(* #,##0.00_);_(* \(#,##0.00\);_(*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75-46AB-A86F-F860886EA0A9}"/>
            </c:ext>
          </c:extLst>
        </c:ser>
        <c:ser>
          <c:idx val="3"/>
          <c:order val="3"/>
          <c:tx>
            <c:strRef>
              <c:f>Forecasts!$D$30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Forecasts!$A$31:$A$38</c:f>
              <c:numCache>
                <c:formatCode>[$-409]mmm\-yy;@</c:formatCode>
                <c:ptCount val="8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45992</c:v>
                </c:pt>
                <c:pt idx="6">
                  <c:v>46023</c:v>
                </c:pt>
                <c:pt idx="7">
                  <c:v>46082</c:v>
                </c:pt>
              </c:numCache>
            </c:numRef>
          </c:cat>
          <c:val>
            <c:numRef>
              <c:f>Forecasts!$D$31:$D$38</c:f>
              <c:numCache>
                <c:formatCode>_(* #,##0.00_);_(* \(#,##0.00\);_(*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75-46AB-A86F-F860886EA0A9}"/>
            </c:ext>
          </c:extLst>
        </c:ser>
        <c:ser>
          <c:idx val="4"/>
          <c:order val="4"/>
          <c:tx>
            <c:strRef>
              <c:f>Forecasts!$X$2</c:f>
              <c:strCache>
                <c:ptCount val="1"/>
                <c:pt idx="0">
                  <c:v>Implied Futures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Forecasts!$A$31:$A$38</c:f>
              <c:numCache>
                <c:formatCode>[$-409]mmm\-yy;@</c:formatCode>
                <c:ptCount val="8"/>
                <c:pt idx="0">
                  <c:v>45778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45992</c:v>
                </c:pt>
                <c:pt idx="6">
                  <c:v>46023</c:v>
                </c:pt>
                <c:pt idx="7">
                  <c:v>46082</c:v>
                </c:pt>
              </c:numCache>
            </c:numRef>
          </c:cat>
          <c:val>
            <c:numRef>
              <c:f>Forecasts!$Y$31:$Y$38</c:f>
              <c:numCache>
                <c:formatCode>_(* #,##0.00_);_(* \(#,##0.00\);_(*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75-46AB-A86F-F860886EA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848968"/>
        <c:axId val="659850280"/>
      </c:lineChart>
      <c:catAx>
        <c:axId val="659848968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8E9A4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59850280"/>
        <c:crosses val="autoZero"/>
        <c:auto val="0"/>
        <c:lblAlgn val="ctr"/>
        <c:lblOffset val="100"/>
        <c:noMultiLvlLbl val="0"/>
      </c:catAx>
      <c:valAx>
        <c:axId val="659850280"/>
        <c:scaling>
          <c:orientation val="minMax"/>
          <c:max val="60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59848968"/>
        <c:crosses val="autoZero"/>
        <c:crossBetween val="between"/>
      </c:valAx>
      <c:spPr>
        <a:noFill/>
        <a:ln w="15875">
          <a:solidFill>
            <a:srgbClr val="8E9A44"/>
          </a:solidFill>
        </a:ln>
        <a:effectLst/>
      </c:spPr>
    </c:plotArea>
    <c:legend>
      <c:legendPos val="r"/>
      <c:layout>
        <c:manualLayout>
          <c:xMode val="edge"/>
          <c:yMode val="edge"/>
          <c:x val="0.10347202061646314"/>
          <c:y val="0.81682048229808291"/>
          <c:w val="0.83738750137479689"/>
          <c:h val="8.0172447299808366E-2"/>
        </c:manualLayout>
      </c:layout>
      <c:overlay val="0"/>
      <c:spPr>
        <a:solidFill>
          <a:schemeClr val="bg1"/>
        </a:solidFill>
        <a:ln w="15875">
          <a:solidFill>
            <a:srgbClr val="8E9A4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8E9A4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Bahnschrift SemiBold" panose="020B0502040204020203" pitchFamily="34" charset="0"/>
              </a:rPr>
              <a:t>Palm Oil Futures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636701662292212E-2"/>
          <c:y val="0.14814814814814814"/>
          <c:w val="0.89295625546806645"/>
          <c:h val="0.76505539080342233"/>
        </c:manualLayout>
      </c:layout>
      <c:lineChart>
        <c:grouping val="standard"/>
        <c:varyColors val="0"/>
        <c:ser>
          <c:idx val="0"/>
          <c:order val="0"/>
          <c:tx>
            <c:strRef>
              <c:f>Forecasts!$B$43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Forecasts!$A$44:$A$52</c:f>
              <c:numCache>
                <c:formatCode>[$-409]mmm\-yy;@</c:formatCode>
                <c:ptCount val="9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</c:numCache>
            </c:numRef>
          </c:cat>
          <c:val>
            <c:numRef>
              <c:f>Forecasts!$B$44:$B$52</c:f>
              <c:numCache>
                <c:formatCode>_(* #,##0.00_);_(* \(#,##0.00\);_(* "-"??_);_(@_)</c:formatCode>
                <c:ptCount val="9"/>
                <c:pt idx="0">
                  <c:v>4750</c:v>
                </c:pt>
                <c:pt idx="1">
                  <c:v>4650</c:v>
                </c:pt>
                <c:pt idx="2">
                  <c:v>5000</c:v>
                </c:pt>
                <c:pt idx="3">
                  <c:v>5000</c:v>
                </c:pt>
                <c:pt idx="4">
                  <c:v>5100</c:v>
                </c:pt>
                <c:pt idx="5">
                  <c:v>5200</c:v>
                </c:pt>
                <c:pt idx="6">
                  <c:v>5100</c:v>
                </c:pt>
                <c:pt idx="7">
                  <c:v>4900</c:v>
                </c:pt>
                <c:pt idx="8">
                  <c:v>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9-406F-9304-886FE08FC688}"/>
            </c:ext>
          </c:extLst>
        </c:ser>
        <c:ser>
          <c:idx val="1"/>
          <c:order val="1"/>
          <c:tx>
            <c:strRef>
              <c:f>Forecasts!$F$43</c:f>
              <c:strCache>
                <c:ptCount val="1"/>
                <c:pt idx="0">
                  <c:v>Current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323232"/>
              </a:solidFill>
              <a:ln w="9525">
                <a:solidFill>
                  <a:srgbClr val="323232"/>
                </a:solidFill>
              </a:ln>
              <a:effectLst/>
            </c:spPr>
          </c:marker>
          <c:cat>
            <c:numRef>
              <c:f>Forecasts!$A$44:$A$52</c:f>
              <c:numCache>
                <c:formatCode>[$-409]mmm\-yy;@</c:formatCode>
                <c:ptCount val="9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</c:numCache>
            </c:numRef>
          </c:cat>
          <c:val>
            <c:numRef>
              <c:f>Forecasts!$F$44:$F$52</c:f>
              <c:numCache>
                <c:formatCode>_(* #,##0.00_);_(* \(#,##0.00\);_(*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9-406F-9304-886FE08FC688}"/>
            </c:ext>
          </c:extLst>
        </c:ser>
        <c:ser>
          <c:idx val="2"/>
          <c:order val="2"/>
          <c:tx>
            <c:strRef>
              <c:f>Forecasts!$C$43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Forecasts!$A$44:$A$52</c:f>
              <c:numCache>
                <c:formatCode>[$-409]mmm\-yy;@</c:formatCode>
                <c:ptCount val="9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</c:numCache>
            </c:numRef>
          </c:cat>
          <c:val>
            <c:numRef>
              <c:f>Forecasts!$C$44:$C$52</c:f>
              <c:numCache>
                <c:formatCode>_(* #,##0.00_);_(* \(#,##0.00\);_(*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E9-406F-9304-886FE08FC688}"/>
            </c:ext>
          </c:extLst>
        </c:ser>
        <c:ser>
          <c:idx val="3"/>
          <c:order val="3"/>
          <c:tx>
            <c:strRef>
              <c:f>Forecasts!$D$43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Forecasts!$A$44:$A$52</c:f>
              <c:numCache>
                <c:formatCode>[$-409]mmm\-yy;@</c:formatCode>
                <c:ptCount val="9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</c:numCache>
            </c:numRef>
          </c:cat>
          <c:val>
            <c:numRef>
              <c:f>Forecasts!$D$44:$D$52</c:f>
              <c:numCache>
                <c:formatCode>_(* #,##0.00_);_(* \(#,##0.00\);_(*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E9-406F-9304-886FE08FC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848968"/>
        <c:axId val="659850280"/>
      </c:lineChart>
      <c:catAx>
        <c:axId val="659848968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8E9A4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59850280"/>
        <c:crosses val="autoZero"/>
        <c:auto val="0"/>
        <c:lblAlgn val="ctr"/>
        <c:lblOffset val="100"/>
        <c:noMultiLvlLbl val="0"/>
      </c:catAx>
      <c:valAx>
        <c:axId val="659850280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5984896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r"/>
      <c:layout>
        <c:manualLayout>
          <c:xMode val="edge"/>
          <c:yMode val="edge"/>
          <c:x val="0.24128882413162517"/>
          <c:y val="0.79057505475687251"/>
          <c:w val="0.7075963333369889"/>
          <c:h val="6.8179030397195473E-2"/>
        </c:manualLayout>
      </c:layout>
      <c:overlay val="0"/>
      <c:spPr>
        <a:solidFill>
          <a:schemeClr val="bg1"/>
        </a:solidFill>
        <a:ln w="15875">
          <a:solidFill>
            <a:srgbClr val="8E9A4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8E9A4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7789151356080488E-2"/>
                  <c:y val="0.458196996208807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Prices!$C$1001:$L$1001</c:f>
              <c:numCache>
                <c:formatCode>0.00_);[Red]\(0.00\)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Prices!$C$1014:$L$1014</c:f>
              <c:numCache>
                <c:formatCode>General</c:formatCode>
                <c:ptCount val="10"/>
                <c:pt idx="0">
                  <c:v>6.4359999999999928</c:v>
                </c:pt>
                <c:pt idx="1">
                  <c:v>-0.62599999999999056</c:v>
                </c:pt>
                <c:pt idx="2">
                  <c:v>0.80299999999999727</c:v>
                </c:pt>
                <c:pt idx="3">
                  <c:v>6.7090000000000032</c:v>
                </c:pt>
                <c:pt idx="4">
                  <c:v>-0.99500000000000455</c:v>
                </c:pt>
                <c:pt idx="5">
                  <c:v>-13.067000000000007</c:v>
                </c:pt>
                <c:pt idx="6">
                  <c:v>7.2540000000000049</c:v>
                </c:pt>
                <c:pt idx="7">
                  <c:v>3.840999999999994</c:v>
                </c:pt>
                <c:pt idx="8">
                  <c:v>0.25500000000000966</c:v>
                </c:pt>
                <c:pt idx="9">
                  <c:v>-3.8500000000000085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55-4731-B260-E76C9D40C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588872"/>
        <c:axId val="821590512"/>
      </c:scatterChart>
      <c:valAx>
        <c:axId val="821588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590512"/>
        <c:crosses val="autoZero"/>
        <c:crossBetween val="midCat"/>
      </c:valAx>
      <c:valAx>
        <c:axId val="82159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588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19731</xdr:colOff>
      <xdr:row>1</xdr:row>
      <xdr:rowOff>15736</xdr:rowOff>
    </xdr:from>
    <xdr:to>
      <xdr:col>18</xdr:col>
      <xdr:colOff>380269</xdr:colOff>
      <xdr:row>13</xdr:row>
      <xdr:rowOff>181583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CEA86D-0B97-4498-8138-1F35F7830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5847</xdr:colOff>
      <xdr:row>14</xdr:row>
      <xdr:rowOff>25335</xdr:rowOff>
    </xdr:from>
    <xdr:to>
      <xdr:col>18</xdr:col>
      <xdr:colOff>388795</xdr:colOff>
      <xdr:row>26</xdr:row>
      <xdr:rowOff>181657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F38D9-50D5-49A8-BCD1-AA58D4488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24848</xdr:colOff>
      <xdr:row>29</xdr:row>
      <xdr:rowOff>19976</xdr:rowOff>
    </xdr:from>
    <xdr:to>
      <xdr:col>18</xdr:col>
      <xdr:colOff>361024</xdr:colOff>
      <xdr:row>41</xdr:row>
      <xdr:rowOff>285214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463154-B926-4DF8-B2B8-900665E36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179294</xdr:colOff>
      <xdr:row>41</xdr:row>
      <xdr:rowOff>33618</xdr:rowOff>
    </xdr:from>
    <xdr:to>
      <xdr:col>27</xdr:col>
      <xdr:colOff>313763</xdr:colOff>
      <xdr:row>55</xdr:row>
      <xdr:rowOff>87406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7006A3-317C-4CD0-B203-4A8BD3376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16809</xdr:colOff>
      <xdr:row>1016</xdr:row>
      <xdr:rowOff>57150</xdr:rowOff>
    </xdr:from>
    <xdr:to>
      <xdr:col>10</xdr:col>
      <xdr:colOff>117662</xdr:colOff>
      <xdr:row>1030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193A51-C0B7-437F-BE01-A49A02A04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RLC%20Documents/Models/Feed%20Grains/Price%20Forecasts%20-%20Feed%20Grain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Soybean%20Prices.xlsx" TargetMode="External"/><Relationship Id="rId1" Type="http://schemas.openxmlformats.org/officeDocument/2006/relationships/externalLinkPath" Target="Soybean%20Price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Soybean%20Oil%20Prices.xlsx" TargetMode="External"/><Relationship Id="rId1" Type="http://schemas.openxmlformats.org/officeDocument/2006/relationships/externalLinkPath" Target="Soybean%20Oil%20Pric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Reuters%20Cash%20Price%20Fil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US%20Soybean%20Scatt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Balance%20Sheets.xlsx" TargetMode="External"/><Relationship Id="rId1" Type="http://schemas.openxmlformats.org/officeDocument/2006/relationships/externalLinkPath" Target="US%20Oilseed%20Balance%20Sheet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Old%20Veg%20Oil%20Spreads%20File%20-%20add%20historical%20prices%20to%20relevant%20files%20and%20delete%20this%20when%20everything%20is%20disbur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QUOTE">
    <ddeItems>
      <ddeItem name="@bcxf6?Last" advise="1"/>
      <ddeItem name="@bcxh6?Last" advise="1"/>
      <ddeItem name="@bcxk5?Last" advise="1"/>
      <ddeItem name="@bcxk6?Last" advise="1"/>
      <ddeItem name="@bcxn5?Last" advise="1"/>
      <ddeItem name="@bcxn6?Last" advise="1"/>
      <ddeItem name="@bcxq5?Last" advise="1"/>
      <ddeItem name="@bcxq6?Last" advise="1"/>
      <ddeItem name="@bcxu5?Last" advise="1"/>
      <ddeItem name="@bcxu6?Last" advise="1"/>
      <ddeItem name="@bcxv5?Last" advise="1"/>
      <ddeItem name="@bcxx6?Last" advise="1"/>
      <ddeItem name="@bcxz5?Last" advise="1"/>
      <ddeItem name="@BOf6[DTN:cbot]?Last" advise="1"/>
      <ddeItem name="@BOh6[DTN:cbot]?Last" advise="1"/>
      <ddeItem name="@BOk5[DTN:cbot]?Last" advise="1"/>
      <ddeItem name="@BOk6[DTN:cbot]?Last" advise="1"/>
      <ddeItem name="@BOn5[DTN:cbot]?Last" advise="1"/>
      <ddeItem name="@BOq5[DTN:cbot]?Last" advise="1"/>
      <ddeItem name="@BOu5[DTN:cbot]?Last" advise="1"/>
      <ddeItem name="@BOv5[DTN:cbot]?Last" advise="1"/>
      <ddeItem name="@BOz5[DTN:cbot]?Last" advise="1"/>
      <ddeItem name="@S@c[DTN:CBOT]?SETTLE DATE" advise="1"/>
      <ddeItem name="@sf6[DTN:cbot]?Last" advise="1"/>
      <ddeItem name="@sh6[DTN:cbot]?Last" advise="1"/>
      <ddeItem name="@sk5[DTN:cbot]?Last" advise="1"/>
      <ddeItem name="@smk5[DTN:cbot]?Last" advise="1"/>
      <ddeItem name="@smn5[DTN:cbot]?Last" advise="1"/>
      <ddeItem name="@smq5[DTN:cbot]?Last" advise="1"/>
      <ddeItem name="@smv5[DTN:cbot]?Last" advise="1"/>
      <ddeItem name="@sn5[DTN:cbot]?Last" advise="1"/>
      <ddeItem name="@sq5[DTN:cbot]?Last" advise="1"/>
      <ddeItem name="@su5[DTN:cbot]?Last" advise="1"/>
      <ddeItem name="@sx5[DTN:cbot]?Last" advise="1"/>
      <ddeItem name="gasf5[DTN:ice]?Last" advise="1"/>
      <ddeItem name="gasg5[DTN:ice]?Last" advise="1"/>
      <ddeItem name="gash4[DTN:ice]?Last" advise="1"/>
      <ddeItem name="gasj4[DTN:ice]?Last" advise="1"/>
      <ddeItem name="gask4[DTN:ice]?Last" advise="1"/>
      <ddeItem name="gasm4[DTN:ice]?Last" advise="1"/>
      <ddeItem name="gasn4[DTN:ice]?Last" advise="1"/>
      <ddeItem name="gasq4[DTN:ice]?Last" advise="1"/>
      <ddeItem name="gasu4[DTN:ice]?Last" advise="1"/>
      <ddeItem name="gasv4[DTN:ice]?Last" advise="1"/>
      <ddeItem name="gasx4[DTN:ice]?Last" advise="1"/>
      <ddeItem name="gasz4[DTN:ice]?Last" advise="1"/>
      <ddeItem name="KPof6[DTN:MDE]?Settle" advise="1"/>
      <ddeItem name="KPOg6[DTN:MDE]?Settle" advise="1"/>
      <ddeItem name="KPOh6[DTN:MDE]?Settle" advise="1"/>
      <ddeItem name="KPOj5[DTN:MDE]?Settle" advise="1"/>
      <ddeItem name="KPOk5[DTN:MDE]?Settle" advise="1"/>
      <ddeItem name="KPOk6[DTN:MDE]?Settle" advise="1"/>
      <ddeItem name="KPOm5[DTN:MDE]?Settle" advise="1"/>
      <ddeItem name="KPOn5[DTN:MDE]?Settle" advise="1"/>
      <ddeItem name="KPOq5[DTN:MDE]?Settle" advise="1"/>
      <ddeItem name="KPOu5[DTN:MDE]?Settle" advise="1"/>
      <ddeItem name="KPOv5[DTN:MDE]?Settle" advise="1"/>
      <ddeItem name="KPOx5[DTN:MDE]?Settle" advise="1"/>
      <ddeItem name="KPOz5[DTN:MDE]?Settle" advise="1"/>
      <ddeItem name="StdDocumentName" ole="1" advise="1"/>
    </ddeItems>
  </dd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HISTORY">
    <ddeItems>
      <ddeItem name="@BOk5[INTERVAL:DAILY,COMPRESSION:1,SORT:ASC,SPAN:25]?DATE,CLOSE" advise="1"/>
      <ddeItem name="@Sk5[INTERVAL:DAILY,COMPRESSION:1,SORT:ASC,SPAN:25]?DATE,CLOSE" advise="1"/>
      <ddeItem name="@SMk5[INTERVAL:DAILY,COMPRESSION:1,SORT:ASC,SPAN:25]?DATE,CLOSE" advise="1"/>
      <ddeItem name="kpo@c[INTERVAL:DAILY,COMPRESSION:1,SORT:ASC,NDATE:3/31/2022,FDATE:03/1/2023,VERSION:1]?DATE,CLOSE" advise="1"/>
      <ddeItem name="KPOk5[INTERVAL:DAILY,COMPRESSION:1,SORT:ASC,SPAN:25]?DATE,CLOSE" advise="1"/>
      <ddeItem name="qhok5[INTERVAL:DAILY,COMPRESSION:1,SORT:ASC,SPAN:25]?DATE,CLOSE" advise="1"/>
      <ddeItem name="StdDocumentName" ole="1" advise="1"/>
    </ddeItems>
  </ddeLin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s"/>
      <sheetName val="Prices"/>
      <sheetName val="Sheet1"/>
      <sheetName val="Barley"/>
      <sheetName val="Corn and Barley Monthly"/>
      <sheetName val="Chart1"/>
    </sheetNames>
    <sheetDataSet>
      <sheetData sheetId="0"/>
      <sheetData sheetId="1">
        <row r="593">
          <cell r="B593">
            <v>3.9175</v>
          </cell>
          <cell r="C593">
            <v>3.6575000000000002</v>
          </cell>
          <cell r="D593">
            <v>3.7518750000000001</v>
          </cell>
        </row>
        <row r="594">
          <cell r="B594">
            <v>3.92</v>
          </cell>
          <cell r="C594">
            <v>3.7084245523809525</v>
          </cell>
          <cell r="D594">
            <v>3.8323809523809524</v>
          </cell>
        </row>
        <row r="595">
          <cell r="B595">
            <v>3.94</v>
          </cell>
          <cell r="C595">
            <v>3.7524999999999999</v>
          </cell>
          <cell r="D595">
            <v>3.8573809523809524</v>
          </cell>
        </row>
        <row r="596">
          <cell r="B596">
            <v>3.85</v>
          </cell>
          <cell r="C596">
            <v>3.6575000000000002</v>
          </cell>
          <cell r="D596">
            <v>3.7814473684210528</v>
          </cell>
        </row>
        <row r="597">
          <cell r="B597">
            <v>3.85</v>
          </cell>
          <cell r="C597">
            <v>3.3525</v>
          </cell>
          <cell r="D597">
            <v>3.5886363636363638</v>
          </cell>
        </row>
        <row r="598">
          <cell r="B598">
            <v>3.3475000000000001</v>
          </cell>
          <cell r="C598">
            <v>3.12</v>
          </cell>
          <cell r="D598">
            <v>3.2398809523809522</v>
          </cell>
        </row>
        <row r="599">
          <cell r="B599">
            <v>3.2749999999999999</v>
          </cell>
          <cell r="C599">
            <v>3.1425000000000001</v>
          </cell>
          <cell r="D599">
            <v>3.1941250000000001</v>
          </cell>
        </row>
        <row r="600">
          <cell r="B600">
            <v>3.415</v>
          </cell>
          <cell r="C600">
            <v>3.1724999999999999</v>
          </cell>
          <cell r="D600">
            <v>3.28125</v>
          </cell>
        </row>
        <row r="601">
          <cell r="B601">
            <v>3.605</v>
          </cell>
          <cell r="C601">
            <v>3.2625000000000002</v>
          </cell>
          <cell r="D601">
            <v>3.3951136363636363</v>
          </cell>
        </row>
        <row r="602">
          <cell r="B602">
            <v>3.5924999999999998</v>
          </cell>
          <cell r="C602">
            <v>3.2025000000000001</v>
          </cell>
          <cell r="D602">
            <v>3.2515476190476198</v>
          </cell>
        </row>
        <row r="603">
          <cell r="B603">
            <v>3.79</v>
          </cell>
          <cell r="C603">
            <v>3.5375000000000001</v>
          </cell>
          <cell r="D603">
            <v>3.6627380952380952</v>
          </cell>
        </row>
        <row r="604">
          <cell r="B604">
            <v>4.1924999999999999</v>
          </cell>
          <cell r="C604">
            <v>3.7949999999999999</v>
          </cell>
          <cell r="D604">
            <v>3.9889772727272725</v>
          </cell>
        </row>
        <row r="605">
          <cell r="B605">
            <v>4.3375000000000004</v>
          </cell>
          <cell r="C605">
            <v>3.9750000000000001</v>
          </cell>
          <cell r="D605">
            <v>4.1785000000000005</v>
          </cell>
        </row>
        <row r="606">
          <cell r="B606">
            <v>4.84</v>
          </cell>
          <cell r="C606">
            <v>4.1974999999999998</v>
          </cell>
          <cell r="D606">
            <v>4.3902631578947373</v>
          </cell>
        </row>
        <row r="607">
          <cell r="B607">
            <v>5.47</v>
          </cell>
          <cell r="C607">
            <v>4.8375000000000004</v>
          </cell>
          <cell r="D607">
            <v>5.1539473684210533</v>
          </cell>
        </row>
        <row r="608">
          <cell r="B608">
            <v>5.6375000000000002</v>
          </cell>
          <cell r="C608">
            <v>5.3449999999999998</v>
          </cell>
          <cell r="D608">
            <v>5.4997368421052633</v>
          </cell>
        </row>
        <row r="609">
          <cell r="B609">
            <v>5.6425000000000001</v>
          </cell>
          <cell r="C609">
            <v>5.3250000000000002</v>
          </cell>
          <cell r="D609">
            <v>5.4754999999999994</v>
          </cell>
        </row>
        <row r="610">
          <cell r="B610">
            <v>7.4</v>
          </cell>
          <cell r="C610">
            <v>5.5324999999999998</v>
          </cell>
          <cell r="D610">
            <v>6.1607142857142856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Prices"/>
      <sheetName val="Spreads"/>
      <sheetName val="Soybean Data"/>
      <sheetName val="Daily Prices"/>
      <sheetName val="Soybean Prices"/>
    </sheetNames>
    <sheetDataSet>
      <sheetData sheetId="0">
        <row r="11">
          <cell r="CF11" t="e">
            <v>#DIV/0!</v>
          </cell>
        </row>
        <row r="12">
          <cell r="CF12" t="e">
            <v>#DIV/0!</v>
          </cell>
        </row>
        <row r="13">
          <cell r="CF13" t="e">
            <v>#DIV/0!</v>
          </cell>
        </row>
        <row r="14">
          <cell r="CF14" t="e">
            <v>#DIV/0!</v>
          </cell>
        </row>
        <row r="15">
          <cell r="CF15" t="e">
            <v>#DIV/0!</v>
          </cell>
        </row>
        <row r="16">
          <cell r="CF16" t="e">
            <v>#DIV/0!</v>
          </cell>
        </row>
        <row r="17">
          <cell r="CF17" t="e">
            <v>#DIV/0!</v>
          </cell>
        </row>
        <row r="18">
          <cell r="CF18" t="e">
            <v>#DIV/0!</v>
          </cell>
        </row>
        <row r="19">
          <cell r="CF19" t="e">
            <v>#DIV/0!</v>
          </cell>
        </row>
        <row r="20">
          <cell r="CF20" t="e">
            <v>#DIV/0!</v>
          </cell>
        </row>
        <row r="21">
          <cell r="CF21" t="e">
            <v>#DIV/0!</v>
          </cell>
        </row>
        <row r="22">
          <cell r="CF22" t="e">
            <v>#DIV/0!</v>
          </cell>
        </row>
        <row r="23">
          <cell r="CF23" t="e">
            <v>#DIV/0!</v>
          </cell>
        </row>
        <row r="24">
          <cell r="CF24" t="e">
            <v>#DIV/0!</v>
          </cell>
        </row>
        <row r="25">
          <cell r="CF25" t="e">
            <v>#DIV/0!</v>
          </cell>
        </row>
        <row r="26">
          <cell r="CF26" t="e">
            <v>#DIV/0!</v>
          </cell>
        </row>
        <row r="27">
          <cell r="CF27" t="e">
            <v>#DIV/0!</v>
          </cell>
        </row>
        <row r="28">
          <cell r="CF28" t="e">
            <v>#DIV/0!</v>
          </cell>
        </row>
        <row r="29">
          <cell r="CF29" t="e">
            <v>#DIV/0!</v>
          </cell>
        </row>
        <row r="30">
          <cell r="CF30" t="e">
            <v>#DIV/0!</v>
          </cell>
        </row>
        <row r="31">
          <cell r="CF31" t="e">
            <v>#DIV/0!</v>
          </cell>
        </row>
        <row r="32">
          <cell r="CF32" t="e">
            <v>#DIV/0!</v>
          </cell>
        </row>
        <row r="33">
          <cell r="CF33" t="e">
            <v>#DIV/0!</v>
          </cell>
        </row>
        <row r="34">
          <cell r="CF34" t="e">
            <v>#DIV/0!</v>
          </cell>
        </row>
        <row r="35">
          <cell r="CF35" t="e">
            <v>#DIV/0!</v>
          </cell>
        </row>
        <row r="36">
          <cell r="CF36" t="e">
            <v>#DIV/0!</v>
          </cell>
        </row>
        <row r="37">
          <cell r="CF37" t="e">
            <v>#DIV/0!</v>
          </cell>
        </row>
        <row r="38">
          <cell r="CF38" t="e">
            <v>#DIV/0!</v>
          </cell>
        </row>
        <row r="39">
          <cell r="CF39" t="e">
            <v>#DIV/0!</v>
          </cell>
        </row>
        <row r="40">
          <cell r="CF40" t="e">
            <v>#DIV/0!</v>
          </cell>
        </row>
        <row r="41">
          <cell r="CF41" t="e">
            <v>#DIV/0!</v>
          </cell>
        </row>
        <row r="42">
          <cell r="CF42" t="e">
            <v>#DIV/0!</v>
          </cell>
        </row>
        <row r="43">
          <cell r="CF43" t="e">
            <v>#DIV/0!</v>
          </cell>
        </row>
        <row r="44">
          <cell r="CF44" t="e">
            <v>#DIV/0!</v>
          </cell>
        </row>
        <row r="45">
          <cell r="CF45" t="e">
            <v>#DIV/0!</v>
          </cell>
        </row>
        <row r="46">
          <cell r="CF46" t="e">
            <v>#DIV/0!</v>
          </cell>
        </row>
        <row r="47">
          <cell r="CF47" t="e">
            <v>#DIV/0!</v>
          </cell>
        </row>
        <row r="48">
          <cell r="CF48" t="e">
            <v>#DIV/0!</v>
          </cell>
        </row>
        <row r="49">
          <cell r="CF49" t="e">
            <v>#DIV/0!</v>
          </cell>
        </row>
        <row r="50">
          <cell r="CF50" t="e">
            <v>#DIV/0!</v>
          </cell>
        </row>
        <row r="51">
          <cell r="CF51" t="e">
            <v>#DIV/0!</v>
          </cell>
        </row>
        <row r="52">
          <cell r="CF52" t="e">
            <v>#DIV/0!</v>
          </cell>
        </row>
        <row r="53">
          <cell r="CF53" t="e">
            <v>#DIV/0!</v>
          </cell>
        </row>
        <row r="54">
          <cell r="CF54" t="e">
            <v>#DIV/0!</v>
          </cell>
        </row>
        <row r="55">
          <cell r="CF55" t="e">
            <v>#DIV/0!</v>
          </cell>
        </row>
        <row r="56">
          <cell r="CF56" t="e">
            <v>#DIV/0!</v>
          </cell>
        </row>
        <row r="57">
          <cell r="CF57" t="e">
            <v>#DIV/0!</v>
          </cell>
        </row>
        <row r="58">
          <cell r="CF58" t="e">
            <v>#DIV/0!</v>
          </cell>
        </row>
        <row r="59">
          <cell r="CF59" t="e">
            <v>#DIV/0!</v>
          </cell>
        </row>
        <row r="60">
          <cell r="CF60" t="e">
            <v>#DIV/0!</v>
          </cell>
        </row>
        <row r="61">
          <cell r="CF61" t="e">
            <v>#DIV/0!</v>
          </cell>
        </row>
        <row r="62">
          <cell r="CF62" t="e">
            <v>#DIV/0!</v>
          </cell>
        </row>
        <row r="63">
          <cell r="CF63" t="e">
            <v>#DIV/0!</v>
          </cell>
        </row>
        <row r="64">
          <cell r="CF64" t="e">
            <v>#DIV/0!</v>
          </cell>
        </row>
        <row r="65">
          <cell r="CF65" t="e">
            <v>#DIV/0!</v>
          </cell>
        </row>
        <row r="66">
          <cell r="CF66" t="e">
            <v>#DIV/0!</v>
          </cell>
        </row>
        <row r="67">
          <cell r="CF67" t="e">
            <v>#DIV/0!</v>
          </cell>
        </row>
        <row r="68">
          <cell r="CF68" t="e">
            <v>#DIV/0!</v>
          </cell>
        </row>
        <row r="69">
          <cell r="CF69" t="e">
            <v>#DIV/0!</v>
          </cell>
        </row>
        <row r="70">
          <cell r="CF70" t="e">
            <v>#DIV/0!</v>
          </cell>
        </row>
        <row r="71">
          <cell r="CF71" t="e">
            <v>#DIV/0!</v>
          </cell>
        </row>
        <row r="72">
          <cell r="CF72" t="e">
            <v>#DIV/0!</v>
          </cell>
        </row>
        <row r="73">
          <cell r="CF73" t="e">
            <v>#DIV/0!</v>
          </cell>
        </row>
        <row r="74">
          <cell r="CF74" t="e">
            <v>#DIV/0!</v>
          </cell>
        </row>
        <row r="75">
          <cell r="CF75" t="e">
            <v>#DIV/0!</v>
          </cell>
        </row>
        <row r="76">
          <cell r="CF76" t="e">
            <v>#DIV/0!</v>
          </cell>
        </row>
        <row r="77">
          <cell r="CF77" t="e">
            <v>#DIV/0!</v>
          </cell>
        </row>
        <row r="78">
          <cell r="CF78" t="e">
            <v>#DIV/0!</v>
          </cell>
        </row>
        <row r="79">
          <cell r="CF79" t="e">
            <v>#DIV/0!</v>
          </cell>
        </row>
        <row r="80">
          <cell r="CF80" t="e">
            <v>#DIV/0!</v>
          </cell>
        </row>
        <row r="81">
          <cell r="CF81" t="e">
            <v>#DIV/0!</v>
          </cell>
        </row>
        <row r="82">
          <cell r="CF82" t="e">
            <v>#DIV/0!</v>
          </cell>
        </row>
        <row r="83">
          <cell r="CF83" t="e">
            <v>#DIV/0!</v>
          </cell>
        </row>
        <row r="84">
          <cell r="CF84" t="e">
            <v>#DIV/0!</v>
          </cell>
        </row>
        <row r="85">
          <cell r="CF85" t="e">
            <v>#DIV/0!</v>
          </cell>
        </row>
        <row r="86">
          <cell r="CF86" t="e">
            <v>#DIV/0!</v>
          </cell>
        </row>
        <row r="87">
          <cell r="CF87" t="e">
            <v>#DIV/0!</v>
          </cell>
        </row>
        <row r="88">
          <cell r="CF88" t="e">
            <v>#DIV/0!</v>
          </cell>
        </row>
        <row r="89">
          <cell r="CF89" t="e">
            <v>#DIV/0!</v>
          </cell>
        </row>
        <row r="90">
          <cell r="CF90" t="e">
            <v>#DIV/0!</v>
          </cell>
        </row>
        <row r="91">
          <cell r="CF91" t="e">
            <v>#DIV/0!</v>
          </cell>
        </row>
        <row r="92">
          <cell r="CF92" t="e">
            <v>#DIV/0!</v>
          </cell>
        </row>
        <row r="93">
          <cell r="CF93" t="e">
            <v>#DIV/0!</v>
          </cell>
        </row>
        <row r="94">
          <cell r="CF94" t="e">
            <v>#DIV/0!</v>
          </cell>
        </row>
        <row r="95">
          <cell r="CF95" t="e">
            <v>#DIV/0!</v>
          </cell>
        </row>
        <row r="96">
          <cell r="CF96" t="e">
            <v>#DIV/0!</v>
          </cell>
        </row>
        <row r="97">
          <cell r="CF97" t="e">
            <v>#DIV/0!</v>
          </cell>
        </row>
        <row r="98">
          <cell r="CF98" t="e">
            <v>#DIV/0!</v>
          </cell>
        </row>
        <row r="99">
          <cell r="CF99" t="e">
            <v>#DIV/0!</v>
          </cell>
        </row>
        <row r="100">
          <cell r="CF100" t="e">
            <v>#DIV/0!</v>
          </cell>
        </row>
        <row r="101">
          <cell r="CF101" t="e">
            <v>#DIV/0!</v>
          </cell>
        </row>
        <row r="102">
          <cell r="CF102" t="e">
            <v>#DIV/0!</v>
          </cell>
        </row>
        <row r="103">
          <cell r="CF103" t="e">
            <v>#DIV/0!</v>
          </cell>
        </row>
        <row r="104">
          <cell r="CF104" t="e">
            <v>#DIV/0!</v>
          </cell>
        </row>
        <row r="105">
          <cell r="CF105" t="e">
            <v>#DIV/0!</v>
          </cell>
        </row>
        <row r="106">
          <cell r="CF106" t="e">
            <v>#DIV/0!</v>
          </cell>
        </row>
        <row r="107">
          <cell r="CF107" t="e">
            <v>#DIV/0!</v>
          </cell>
        </row>
        <row r="108">
          <cell r="CF108" t="e">
            <v>#DIV/0!</v>
          </cell>
        </row>
        <row r="109">
          <cell r="CF109" t="e">
            <v>#DIV/0!</v>
          </cell>
        </row>
        <row r="110">
          <cell r="CF110" t="e">
            <v>#DIV/0!</v>
          </cell>
        </row>
        <row r="111">
          <cell r="CF111" t="e">
            <v>#DIV/0!</v>
          </cell>
        </row>
        <row r="112">
          <cell r="CF112" t="e">
            <v>#DIV/0!</v>
          </cell>
        </row>
        <row r="113">
          <cell r="CF113" t="e">
            <v>#DIV/0!</v>
          </cell>
        </row>
        <row r="114">
          <cell r="CF114" t="e">
            <v>#DIV/0!</v>
          </cell>
        </row>
        <row r="115">
          <cell r="CF115" t="e">
            <v>#DIV/0!</v>
          </cell>
        </row>
        <row r="116">
          <cell r="CF116" t="e">
            <v>#DIV/0!</v>
          </cell>
        </row>
        <row r="117">
          <cell r="CF117" t="e">
            <v>#DIV/0!</v>
          </cell>
        </row>
        <row r="118">
          <cell r="CF118" t="e">
            <v>#DIV/0!</v>
          </cell>
        </row>
        <row r="119">
          <cell r="CF119" t="e">
            <v>#DIV/0!</v>
          </cell>
        </row>
        <row r="120">
          <cell r="CF120" t="e">
            <v>#DIV/0!</v>
          </cell>
        </row>
        <row r="121">
          <cell r="CF121" t="e">
            <v>#DIV/0!</v>
          </cell>
        </row>
        <row r="122">
          <cell r="CF122" t="e">
            <v>#DIV/0!</v>
          </cell>
        </row>
        <row r="123">
          <cell r="CF123" t="e">
            <v>#DIV/0!</v>
          </cell>
        </row>
        <row r="124">
          <cell r="CF124" t="e">
            <v>#DIV/0!</v>
          </cell>
        </row>
        <row r="125">
          <cell r="CF125" t="e">
            <v>#DIV/0!</v>
          </cell>
        </row>
        <row r="126">
          <cell r="CF126" t="e">
            <v>#DIV/0!</v>
          </cell>
        </row>
        <row r="127">
          <cell r="CF127" t="e">
            <v>#DIV/0!</v>
          </cell>
        </row>
        <row r="128">
          <cell r="CF128" t="e">
            <v>#DIV/0!</v>
          </cell>
        </row>
        <row r="129">
          <cell r="CF129" t="e">
            <v>#DIV/0!</v>
          </cell>
        </row>
        <row r="130">
          <cell r="CF130" t="e">
            <v>#DIV/0!</v>
          </cell>
        </row>
        <row r="131">
          <cell r="CF131" t="e">
            <v>#DIV/0!</v>
          </cell>
        </row>
        <row r="132">
          <cell r="CF132" t="e">
            <v>#DIV/0!</v>
          </cell>
        </row>
        <row r="133">
          <cell r="CF133" t="e">
            <v>#DIV/0!</v>
          </cell>
        </row>
        <row r="134">
          <cell r="CF134" t="e">
            <v>#DIV/0!</v>
          </cell>
        </row>
        <row r="135">
          <cell r="CF135" t="e">
            <v>#DIV/0!</v>
          </cell>
        </row>
        <row r="136">
          <cell r="CF136" t="e">
            <v>#DIV/0!</v>
          </cell>
        </row>
        <row r="137">
          <cell r="CF137" t="e">
            <v>#DIV/0!</v>
          </cell>
        </row>
        <row r="138">
          <cell r="CF138" t="e">
            <v>#DIV/0!</v>
          </cell>
        </row>
        <row r="139">
          <cell r="CF139" t="e">
            <v>#DIV/0!</v>
          </cell>
        </row>
        <row r="140">
          <cell r="CF140" t="e">
            <v>#DIV/0!</v>
          </cell>
        </row>
        <row r="141">
          <cell r="CF141" t="e">
            <v>#DIV/0!</v>
          </cell>
        </row>
        <row r="142">
          <cell r="CF142" t="e">
            <v>#DIV/0!</v>
          </cell>
        </row>
        <row r="143">
          <cell r="CF143" t="e">
            <v>#DIV/0!</v>
          </cell>
        </row>
        <row r="144">
          <cell r="CF144" t="e">
            <v>#DIV/0!</v>
          </cell>
        </row>
        <row r="145">
          <cell r="CF145" t="e">
            <v>#DIV/0!</v>
          </cell>
        </row>
        <row r="146">
          <cell r="CF146" t="e">
            <v>#DIV/0!</v>
          </cell>
        </row>
        <row r="147">
          <cell r="CF147" t="e">
            <v>#DIV/0!</v>
          </cell>
        </row>
        <row r="148">
          <cell r="CF148" t="e">
            <v>#DIV/0!</v>
          </cell>
        </row>
        <row r="149">
          <cell r="CF149" t="e">
            <v>#DIV/0!</v>
          </cell>
        </row>
        <row r="150">
          <cell r="CF150" t="e">
            <v>#DIV/0!</v>
          </cell>
        </row>
        <row r="151">
          <cell r="CF151" t="e">
            <v>#DIV/0!</v>
          </cell>
        </row>
        <row r="152">
          <cell r="CF152" t="e">
            <v>#DIV/0!</v>
          </cell>
        </row>
        <row r="153">
          <cell r="CF153" t="e">
            <v>#DIV/0!</v>
          </cell>
        </row>
        <row r="154">
          <cell r="CF154" t="e">
            <v>#DIV/0!</v>
          </cell>
        </row>
        <row r="155">
          <cell r="CF155" t="e">
            <v>#DIV/0!</v>
          </cell>
        </row>
        <row r="156">
          <cell r="CF156" t="e">
            <v>#DIV/0!</v>
          </cell>
        </row>
        <row r="157">
          <cell r="CF157" t="e">
            <v>#DIV/0!</v>
          </cell>
        </row>
        <row r="158">
          <cell r="CF158" t="e">
            <v>#DIV/0!</v>
          </cell>
        </row>
        <row r="159">
          <cell r="CF159" t="e">
            <v>#DIV/0!</v>
          </cell>
        </row>
        <row r="160">
          <cell r="CF160" t="e">
            <v>#DIV/0!</v>
          </cell>
        </row>
        <row r="161">
          <cell r="CF161" t="e">
            <v>#DIV/0!</v>
          </cell>
        </row>
        <row r="162">
          <cell r="CF162" t="e">
            <v>#DIV/0!</v>
          </cell>
        </row>
        <row r="163">
          <cell r="CF163" t="e">
            <v>#DIV/0!</v>
          </cell>
        </row>
        <row r="164">
          <cell r="CF164" t="e">
            <v>#DIV/0!</v>
          </cell>
        </row>
        <row r="165">
          <cell r="CF165" t="e">
            <v>#DIV/0!</v>
          </cell>
        </row>
        <row r="166">
          <cell r="CF166" t="e">
            <v>#DIV/0!</v>
          </cell>
        </row>
        <row r="167">
          <cell r="CF167" t="e">
            <v>#DIV/0!</v>
          </cell>
        </row>
        <row r="168">
          <cell r="CF168" t="e">
            <v>#DIV/0!</v>
          </cell>
        </row>
        <row r="169">
          <cell r="CF169" t="e">
            <v>#DIV/0!</v>
          </cell>
        </row>
        <row r="170">
          <cell r="CF170" t="e">
            <v>#DIV/0!</v>
          </cell>
        </row>
        <row r="171">
          <cell r="CF171" t="e">
            <v>#DIV/0!</v>
          </cell>
        </row>
        <row r="172">
          <cell r="CF172" t="e">
            <v>#DIV/0!</v>
          </cell>
        </row>
        <row r="173">
          <cell r="CF173" t="e">
            <v>#DIV/0!</v>
          </cell>
        </row>
        <row r="174">
          <cell r="CF174" t="e">
            <v>#DIV/0!</v>
          </cell>
        </row>
        <row r="175">
          <cell r="CF175" t="e">
            <v>#DIV/0!</v>
          </cell>
        </row>
        <row r="176">
          <cell r="CF176" t="e">
            <v>#DIV/0!</v>
          </cell>
        </row>
        <row r="177">
          <cell r="CF177" t="e">
            <v>#DIV/0!</v>
          </cell>
        </row>
        <row r="178">
          <cell r="CF178" t="e">
            <v>#DIV/0!</v>
          </cell>
        </row>
        <row r="179">
          <cell r="CF179" t="e">
            <v>#DIV/0!</v>
          </cell>
        </row>
        <row r="180">
          <cell r="CF180" t="e">
            <v>#DIV/0!</v>
          </cell>
        </row>
        <row r="181">
          <cell r="CF181" t="e">
            <v>#DIV/0!</v>
          </cell>
        </row>
        <row r="182">
          <cell r="CF182" t="e">
            <v>#DIV/0!</v>
          </cell>
        </row>
        <row r="183">
          <cell r="CF183" t="e">
            <v>#DIV/0!</v>
          </cell>
        </row>
        <row r="184">
          <cell r="CF184" t="e">
            <v>#DIV/0!</v>
          </cell>
        </row>
        <row r="185">
          <cell r="CF185" t="e">
            <v>#DIV/0!</v>
          </cell>
        </row>
        <row r="186">
          <cell r="CF186" t="e">
            <v>#DIV/0!</v>
          </cell>
        </row>
        <row r="187">
          <cell r="CF187" t="e">
            <v>#DIV/0!</v>
          </cell>
        </row>
        <row r="188">
          <cell r="CF188" t="e">
            <v>#DIV/0!</v>
          </cell>
        </row>
        <row r="189">
          <cell r="CF189" t="e">
            <v>#DIV/0!</v>
          </cell>
        </row>
        <row r="190">
          <cell r="CF190" t="e">
            <v>#DIV/0!</v>
          </cell>
        </row>
        <row r="191">
          <cell r="CF191" t="e">
            <v>#DIV/0!</v>
          </cell>
        </row>
        <row r="192">
          <cell r="CF192" t="e">
            <v>#DIV/0!</v>
          </cell>
        </row>
        <row r="193">
          <cell r="CF193" t="e">
            <v>#DIV/0!</v>
          </cell>
        </row>
        <row r="194">
          <cell r="CF194" t="e">
            <v>#DIV/0!</v>
          </cell>
        </row>
        <row r="195">
          <cell r="CF195" t="e">
            <v>#DIV/0!</v>
          </cell>
        </row>
        <row r="196">
          <cell r="CF196" t="e">
            <v>#DIV/0!</v>
          </cell>
        </row>
        <row r="197">
          <cell r="CF197" t="e">
            <v>#DIV/0!</v>
          </cell>
        </row>
        <row r="198">
          <cell r="CF198" t="e">
            <v>#DIV/0!</v>
          </cell>
        </row>
        <row r="199">
          <cell r="CF199" t="e">
            <v>#DIV/0!</v>
          </cell>
        </row>
        <row r="200">
          <cell r="CF200" t="e">
            <v>#DIV/0!</v>
          </cell>
        </row>
        <row r="201">
          <cell r="CF201" t="e">
            <v>#DIV/0!</v>
          </cell>
        </row>
        <row r="202">
          <cell r="CF202" t="e">
            <v>#DIV/0!</v>
          </cell>
        </row>
        <row r="203">
          <cell r="CF203" t="e">
            <v>#DIV/0!</v>
          </cell>
        </row>
        <row r="204">
          <cell r="CF204" t="e">
            <v>#DIV/0!</v>
          </cell>
        </row>
        <row r="205">
          <cell r="CF205" t="e">
            <v>#DIV/0!</v>
          </cell>
        </row>
        <row r="206">
          <cell r="CF206" t="e">
            <v>#DIV/0!</v>
          </cell>
        </row>
        <row r="207">
          <cell r="CF207" t="e">
            <v>#DIV/0!</v>
          </cell>
        </row>
        <row r="208">
          <cell r="CF208" t="e">
            <v>#DIV/0!</v>
          </cell>
        </row>
        <row r="209">
          <cell r="CF209" t="e">
            <v>#DIV/0!</v>
          </cell>
        </row>
        <row r="210">
          <cell r="CF210" t="e">
            <v>#DIV/0!</v>
          </cell>
        </row>
        <row r="211">
          <cell r="CF211" t="e">
            <v>#DIV/0!</v>
          </cell>
        </row>
        <row r="212">
          <cell r="CF212" t="e">
            <v>#DIV/0!</v>
          </cell>
        </row>
        <row r="213">
          <cell r="CF213" t="e">
            <v>#DIV/0!</v>
          </cell>
        </row>
        <row r="214">
          <cell r="CF214" t="e">
            <v>#DIV/0!</v>
          </cell>
        </row>
        <row r="215">
          <cell r="CF215" t="e">
            <v>#DIV/0!</v>
          </cell>
        </row>
        <row r="216">
          <cell r="CF216" t="e">
            <v>#DIV/0!</v>
          </cell>
        </row>
        <row r="217">
          <cell r="CF217" t="e">
            <v>#DIV/0!</v>
          </cell>
        </row>
        <row r="218">
          <cell r="CF218" t="e">
            <v>#DIV/0!</v>
          </cell>
        </row>
        <row r="219">
          <cell r="CF219" t="e">
            <v>#DIV/0!</v>
          </cell>
        </row>
        <row r="220">
          <cell r="CF220" t="e">
            <v>#DIV/0!</v>
          </cell>
        </row>
        <row r="221">
          <cell r="CF221" t="e">
            <v>#DIV/0!</v>
          </cell>
        </row>
        <row r="222">
          <cell r="CF222" t="e">
            <v>#DIV/0!</v>
          </cell>
        </row>
        <row r="223">
          <cell r="CF223" t="e">
            <v>#DIV/0!</v>
          </cell>
        </row>
        <row r="224">
          <cell r="CF224" t="e">
            <v>#DIV/0!</v>
          </cell>
        </row>
        <row r="225">
          <cell r="CF225" t="e">
            <v>#DIV/0!</v>
          </cell>
        </row>
        <row r="226">
          <cell r="CF226" t="e">
            <v>#DIV/0!</v>
          </cell>
        </row>
        <row r="227">
          <cell r="CF227" t="e">
            <v>#DIV/0!</v>
          </cell>
        </row>
        <row r="228">
          <cell r="CF228" t="e">
            <v>#DIV/0!</v>
          </cell>
        </row>
        <row r="229">
          <cell r="CF229" t="e">
            <v>#DIV/0!</v>
          </cell>
        </row>
        <row r="230">
          <cell r="CF230" t="e">
            <v>#DIV/0!</v>
          </cell>
        </row>
        <row r="231">
          <cell r="CF231" t="e">
            <v>#DIV/0!</v>
          </cell>
        </row>
        <row r="232">
          <cell r="CF232" t="e">
            <v>#DIV/0!</v>
          </cell>
        </row>
        <row r="233">
          <cell r="CF233" t="e">
            <v>#DIV/0!</v>
          </cell>
        </row>
        <row r="234">
          <cell r="CF234" t="e">
            <v>#DIV/0!</v>
          </cell>
        </row>
        <row r="235">
          <cell r="CF235" t="e">
            <v>#DIV/0!</v>
          </cell>
        </row>
        <row r="236">
          <cell r="CF236" t="e">
            <v>#DIV/0!</v>
          </cell>
        </row>
        <row r="237">
          <cell r="CF237" t="e">
            <v>#DIV/0!</v>
          </cell>
        </row>
        <row r="238">
          <cell r="CF238" t="e">
            <v>#DIV/0!</v>
          </cell>
        </row>
        <row r="239">
          <cell r="CF239" t="e">
            <v>#DIV/0!</v>
          </cell>
        </row>
        <row r="240">
          <cell r="CF240" t="e">
            <v>#DIV/0!</v>
          </cell>
        </row>
        <row r="241">
          <cell r="CF241" t="e">
            <v>#DIV/0!</v>
          </cell>
        </row>
        <row r="242">
          <cell r="CF242" t="e">
            <v>#DIV/0!</v>
          </cell>
        </row>
        <row r="243">
          <cell r="CF243" t="e">
            <v>#DIV/0!</v>
          </cell>
        </row>
        <row r="244">
          <cell r="CF244" t="e">
            <v>#DIV/0!</v>
          </cell>
        </row>
        <row r="245">
          <cell r="CF245" t="e">
            <v>#DIV/0!</v>
          </cell>
        </row>
        <row r="246">
          <cell r="CF246" t="e">
            <v>#DIV/0!</v>
          </cell>
        </row>
        <row r="247">
          <cell r="CF247" t="e">
            <v>#DIV/0!</v>
          </cell>
        </row>
        <row r="248">
          <cell r="CF248" t="e">
            <v>#DIV/0!</v>
          </cell>
        </row>
        <row r="249">
          <cell r="CF249" t="e">
            <v>#DIV/0!</v>
          </cell>
        </row>
        <row r="250">
          <cell r="CF250" t="e">
            <v>#DIV/0!</v>
          </cell>
        </row>
        <row r="251">
          <cell r="CF251" t="e">
            <v>#DIV/0!</v>
          </cell>
        </row>
        <row r="252">
          <cell r="CF252" t="e">
            <v>#DIV/0!</v>
          </cell>
        </row>
        <row r="253">
          <cell r="CF253" t="e">
            <v>#DIV/0!</v>
          </cell>
        </row>
        <row r="254">
          <cell r="CF254" t="e">
            <v>#DIV/0!</v>
          </cell>
        </row>
        <row r="255">
          <cell r="CF255" t="e">
            <v>#DIV/0!</v>
          </cell>
        </row>
        <row r="256">
          <cell r="CF256" t="e">
            <v>#DIV/0!</v>
          </cell>
        </row>
        <row r="257">
          <cell r="CF257" t="e">
            <v>#DIV/0!</v>
          </cell>
        </row>
        <row r="258">
          <cell r="CF258" t="e">
            <v>#DIV/0!</v>
          </cell>
        </row>
        <row r="259">
          <cell r="CF259" t="e">
            <v>#DIV/0!</v>
          </cell>
        </row>
        <row r="260">
          <cell r="CF260" t="e">
            <v>#DIV/0!</v>
          </cell>
        </row>
        <row r="261">
          <cell r="CF261" t="e">
            <v>#DIV/0!</v>
          </cell>
        </row>
        <row r="262">
          <cell r="CF262" t="e">
            <v>#DIV/0!</v>
          </cell>
        </row>
        <row r="263">
          <cell r="CF263" t="e">
            <v>#DIV/0!</v>
          </cell>
        </row>
        <row r="264">
          <cell r="CF264" t="e">
            <v>#DIV/0!</v>
          </cell>
        </row>
        <row r="265">
          <cell r="CF265" t="e">
            <v>#DIV/0!</v>
          </cell>
        </row>
        <row r="266">
          <cell r="CF266" t="e">
            <v>#DIV/0!</v>
          </cell>
        </row>
        <row r="267">
          <cell r="CF267" t="e">
            <v>#DIV/0!</v>
          </cell>
        </row>
        <row r="268">
          <cell r="CF268" t="e">
            <v>#DIV/0!</v>
          </cell>
        </row>
        <row r="269">
          <cell r="CF269" t="e">
            <v>#DIV/0!</v>
          </cell>
        </row>
        <row r="270">
          <cell r="CF270" t="e">
            <v>#DIV/0!</v>
          </cell>
        </row>
        <row r="271">
          <cell r="CF271" t="e">
            <v>#DIV/0!</v>
          </cell>
        </row>
        <row r="272">
          <cell r="CF272" t="e">
            <v>#DIV/0!</v>
          </cell>
        </row>
        <row r="273">
          <cell r="CF273" t="e">
            <v>#DIV/0!</v>
          </cell>
        </row>
        <row r="274">
          <cell r="CF274" t="e">
            <v>#DIV/0!</v>
          </cell>
        </row>
        <row r="275">
          <cell r="CF275" t="e">
            <v>#DIV/0!</v>
          </cell>
        </row>
        <row r="276">
          <cell r="CF276" t="e">
            <v>#DIV/0!</v>
          </cell>
        </row>
        <row r="277">
          <cell r="CF277" t="e">
            <v>#DIV/0!</v>
          </cell>
        </row>
        <row r="278">
          <cell r="CF278" t="e">
            <v>#DIV/0!</v>
          </cell>
        </row>
        <row r="279">
          <cell r="CF279" t="e">
            <v>#DIV/0!</v>
          </cell>
        </row>
        <row r="280">
          <cell r="CF280" t="e">
            <v>#DIV/0!</v>
          </cell>
        </row>
        <row r="281">
          <cell r="CF281" t="e">
            <v>#DIV/0!</v>
          </cell>
        </row>
        <row r="282">
          <cell r="CF282" t="e">
            <v>#DIV/0!</v>
          </cell>
        </row>
        <row r="283">
          <cell r="CF283" t="e">
            <v>#DIV/0!</v>
          </cell>
        </row>
        <row r="284">
          <cell r="CF284" t="e">
            <v>#DIV/0!</v>
          </cell>
        </row>
        <row r="285">
          <cell r="CF285" t="e">
            <v>#DIV/0!</v>
          </cell>
        </row>
        <row r="286">
          <cell r="CF286" t="e">
            <v>#DIV/0!</v>
          </cell>
        </row>
        <row r="287">
          <cell r="CF287" t="e">
            <v>#DIV/0!</v>
          </cell>
        </row>
        <row r="288">
          <cell r="CF288" t="e">
            <v>#DIV/0!</v>
          </cell>
        </row>
        <row r="289">
          <cell r="CF289" t="e">
            <v>#DIV/0!</v>
          </cell>
        </row>
        <row r="290">
          <cell r="CF290" t="e">
            <v>#DIV/0!</v>
          </cell>
        </row>
        <row r="291">
          <cell r="CF291" t="e">
            <v>#DIV/0!</v>
          </cell>
        </row>
        <row r="292">
          <cell r="CF292" t="e">
            <v>#DIV/0!</v>
          </cell>
        </row>
        <row r="293">
          <cell r="CF293" t="e">
            <v>#DIV/0!</v>
          </cell>
        </row>
        <row r="294">
          <cell r="CF294" t="e">
            <v>#DIV/0!</v>
          </cell>
        </row>
        <row r="295">
          <cell r="CF295" t="e">
            <v>#DIV/0!</v>
          </cell>
        </row>
        <row r="296">
          <cell r="CF296" t="e">
            <v>#DIV/0!</v>
          </cell>
        </row>
        <row r="297">
          <cell r="CF297" t="e">
            <v>#DIV/0!</v>
          </cell>
        </row>
        <row r="298">
          <cell r="CF298" t="e">
            <v>#DIV/0!</v>
          </cell>
        </row>
        <row r="299">
          <cell r="CF299" t="e">
            <v>#DIV/0!</v>
          </cell>
        </row>
        <row r="300">
          <cell r="CF300" t="e">
            <v>#DIV/0!</v>
          </cell>
        </row>
        <row r="301">
          <cell r="CF301" t="e">
            <v>#DIV/0!</v>
          </cell>
        </row>
        <row r="302">
          <cell r="CF302" t="e">
            <v>#DIV/0!</v>
          </cell>
        </row>
        <row r="303">
          <cell r="CF303" t="e">
            <v>#DIV/0!</v>
          </cell>
        </row>
        <row r="304">
          <cell r="CF304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Prices"/>
      <sheetName val="Weekly Data"/>
      <sheetName val="Veg Oils"/>
      <sheetName val="Veg Oil Data"/>
      <sheetName val="Soybean Oil Prices"/>
      <sheetName val="Monthly SBO"/>
      <sheetName val="Prices"/>
    </sheetNames>
    <sheetDataSet>
      <sheetData sheetId="0">
        <row r="215">
          <cell r="D215">
            <v>33.292500000000004</v>
          </cell>
        </row>
        <row r="305">
          <cell r="D305">
            <v>41.51</v>
          </cell>
        </row>
        <row r="306">
          <cell r="D306">
            <v>46.98</v>
          </cell>
        </row>
        <row r="307">
          <cell r="D307">
            <v>48.585573661426288</v>
          </cell>
        </row>
        <row r="308">
          <cell r="D308">
            <v>49.206002141717924</v>
          </cell>
        </row>
        <row r="309">
          <cell r="D309">
            <v>49.166804039743617</v>
          </cell>
        </row>
        <row r="310">
          <cell r="D310">
            <v>49.268600049530924</v>
          </cell>
        </row>
        <row r="311">
          <cell r="D311">
            <v>48.162306128958747</v>
          </cell>
        </row>
        <row r="312">
          <cell r="D312">
            <v>47.550407502947088</v>
          </cell>
        </row>
        <row r="313">
          <cell r="D313">
            <v>48.925001367053994</v>
          </cell>
        </row>
        <row r="314">
          <cell r="D314">
            <v>45.214199202551832</v>
          </cell>
        </row>
        <row r="315">
          <cell r="D315">
            <v>45.521136956026417</v>
          </cell>
        </row>
        <row r="316">
          <cell r="D316">
            <v>46.506722920938699</v>
          </cell>
        </row>
        <row r="317">
          <cell r="D317">
            <v>48.879648779062272</v>
          </cell>
        </row>
        <row r="318">
          <cell r="D318">
            <v>51.245428571428562</v>
          </cell>
        </row>
        <row r="319">
          <cell r="D319">
            <v>53.248988393711542</v>
          </cell>
        </row>
        <row r="320">
          <cell r="D320">
            <v>53.724384388243323</v>
          </cell>
        </row>
        <row r="321">
          <cell r="D321">
            <v>53.272947456387989</v>
          </cell>
        </row>
        <row r="322">
          <cell r="D322">
            <v>52.723748630865678</v>
          </cell>
        </row>
        <row r="323">
          <cell r="D323">
            <v>50.981243545226683</v>
          </cell>
        </row>
        <row r="324">
          <cell r="D324">
            <v>47.537867383901364</v>
          </cell>
        </row>
        <row r="325">
          <cell r="D325">
            <v>43.685486541932661</v>
          </cell>
        </row>
        <row r="326">
          <cell r="D326">
            <v>41.929319395964278</v>
          </cell>
        </row>
        <row r="327">
          <cell r="D327">
            <v>41.516350946949359</v>
          </cell>
        </row>
        <row r="328">
          <cell r="D328">
            <v>44.069121293955028</v>
          </cell>
        </row>
        <row r="329">
          <cell r="D329">
            <v>48.154071486134981</v>
          </cell>
        </row>
        <row r="330">
          <cell r="D330">
            <v>51.84709363851308</v>
          </cell>
        </row>
        <row r="331">
          <cell r="D331">
            <v>51.721231523699544</v>
          </cell>
        </row>
        <row r="332">
          <cell r="D332">
            <v>50.521217410576213</v>
          </cell>
        </row>
        <row r="333">
          <cell r="D333">
            <v>51.096512136086695</v>
          </cell>
        </row>
        <row r="334">
          <cell r="D334">
            <v>42.019968564266371</v>
          </cell>
        </row>
        <row r="335">
          <cell r="D335">
            <v>40.291947686763621</v>
          </cell>
        </row>
        <row r="336">
          <cell r="D336">
            <v>41.020568322326675</v>
          </cell>
        </row>
        <row r="337">
          <cell r="D337">
            <v>35.927149902766509</v>
          </cell>
        </row>
        <row r="338">
          <cell r="D338">
            <v>41.65608146583353</v>
          </cell>
        </row>
        <row r="339">
          <cell r="D339">
            <v>42.238835095270225</v>
          </cell>
        </row>
        <row r="340">
          <cell r="D340">
            <v>39.697713516344116</v>
          </cell>
        </row>
        <row r="341">
          <cell r="D341">
            <v>40.614288594234424</v>
          </cell>
        </row>
        <row r="342">
          <cell r="D342">
            <v>39.699830659458399</v>
          </cell>
        </row>
        <row r="343">
          <cell r="D343">
            <v>44.505025618401525</v>
          </cell>
        </row>
        <row r="344">
          <cell r="D344">
            <v>48.590822186159215</v>
          </cell>
        </row>
        <row r="345">
          <cell r="D345">
            <v>55.756664183955529</v>
          </cell>
        </row>
        <row r="346">
          <cell r="D346">
            <v>53.343749344439395</v>
          </cell>
        </row>
        <row r="347">
          <cell r="D347">
            <v>42.235875944197659</v>
          </cell>
        </row>
        <row r="348">
          <cell r="D348">
            <v>41.89002624645984</v>
          </cell>
        </row>
        <row r="349">
          <cell r="D349">
            <v>35.66517018006116</v>
          </cell>
        </row>
        <row r="350">
          <cell r="D350">
            <v>36.295223945186365</v>
          </cell>
        </row>
        <row r="351">
          <cell r="D351">
            <v>33.937774542089585</v>
          </cell>
        </row>
        <row r="352">
          <cell r="D352">
            <v>37.519234509761311</v>
          </cell>
        </row>
        <row r="353">
          <cell r="D353">
            <v>44.820603975261221</v>
          </cell>
        </row>
        <row r="354">
          <cell r="D354">
            <v>50.25288150891889</v>
          </cell>
        </row>
        <row r="355">
          <cell r="D355">
            <v>54.010352267505226</v>
          </cell>
        </row>
        <row r="356">
          <cell r="D356">
            <v>56.278082848668916</v>
          </cell>
        </row>
        <row r="357">
          <cell r="D357">
            <v>58.719045990050866</v>
          </cell>
        </row>
        <row r="358">
          <cell r="D358">
            <v>50.925662499573967</v>
          </cell>
        </row>
        <row r="359">
          <cell r="D359">
            <v>39.012938285734798</v>
          </cell>
        </row>
        <row r="360">
          <cell r="D360">
            <v>40.222302778653038</v>
          </cell>
        </row>
        <row r="361">
          <cell r="D361">
            <v>34.748211202156583</v>
          </cell>
        </row>
        <row r="362">
          <cell r="D362">
            <v>38.221021260794998</v>
          </cell>
        </row>
        <row r="363">
          <cell r="D363">
            <v>41.919793505783375</v>
          </cell>
        </row>
        <row r="364">
          <cell r="D364">
            <v>42.92118696840943</v>
          </cell>
        </row>
        <row r="365">
          <cell r="D365">
            <v>50.250853857628208</v>
          </cell>
        </row>
        <row r="366">
          <cell r="D366">
            <v>55.449453802553855</v>
          </cell>
        </row>
        <row r="367">
          <cell r="D367">
            <v>52.88448132092909</v>
          </cell>
        </row>
        <row r="368">
          <cell r="D368">
            <v>56.003366452602229</v>
          </cell>
        </row>
        <row r="369">
          <cell r="D369">
            <v>60.898634353836442</v>
          </cell>
        </row>
        <row r="370">
          <cell r="D370">
            <v>56.339101862290192</v>
          </cell>
        </row>
        <row r="371">
          <cell r="D371">
            <v>43.207853236292614</v>
          </cell>
        </row>
        <row r="372">
          <cell r="D372">
            <v>43.939622087496318</v>
          </cell>
        </row>
        <row r="373">
          <cell r="D373">
            <v>35.838920656386883</v>
          </cell>
        </row>
        <row r="374">
          <cell r="D374">
            <v>37.749428184608689</v>
          </cell>
        </row>
        <row r="375">
          <cell r="D375">
            <v>36.705862556362241</v>
          </cell>
        </row>
        <row r="376">
          <cell r="D376">
            <v>31.961190272131397</v>
          </cell>
        </row>
        <row r="377">
          <cell r="D377">
            <v>40.060322105495537</v>
          </cell>
        </row>
        <row r="378">
          <cell r="D378">
            <v>45.313287768384249</v>
          </cell>
        </row>
        <row r="379">
          <cell r="D379">
            <v>50.214232885659115</v>
          </cell>
        </row>
        <row r="380">
          <cell r="D380">
            <v>54.108224213223849</v>
          </cell>
        </row>
        <row r="381">
          <cell r="D381">
            <v>59.911505387568468</v>
          </cell>
        </row>
        <row r="382">
          <cell r="D382">
            <v>39.226303112376385</v>
          </cell>
        </row>
        <row r="383">
          <cell r="D383">
            <v>40.986268475229444</v>
          </cell>
        </row>
        <row r="384">
          <cell r="D384">
            <v>45.280672113204339</v>
          </cell>
        </row>
        <row r="385">
          <cell r="D385">
            <v>34.203311984054636</v>
          </cell>
        </row>
        <row r="386">
          <cell r="D386">
            <v>38.775087014860652</v>
          </cell>
        </row>
        <row r="387">
          <cell r="D387">
            <v>32.990930676683732</v>
          </cell>
        </row>
        <row r="388">
          <cell r="D388">
            <v>29.358039525560784</v>
          </cell>
        </row>
        <row r="389">
          <cell r="D389">
            <v>38.822963770908487</v>
          </cell>
        </row>
        <row r="390">
          <cell r="D390">
            <v>39.926714854450481</v>
          </cell>
        </row>
        <row r="391">
          <cell r="D391">
            <v>41.204450592003148</v>
          </cell>
        </row>
        <row r="392">
          <cell r="D392">
            <v>46.334875966713454</v>
          </cell>
        </row>
        <row r="393">
          <cell r="D393">
            <v>53.379579993653998</v>
          </cell>
        </row>
        <row r="394">
          <cell r="D394">
            <v>30.603045675390046</v>
          </cell>
        </row>
        <row r="395">
          <cell r="D395">
            <v>40.856233843224395</v>
          </cell>
        </row>
        <row r="396">
          <cell r="D396">
            <v>49.483880155600374</v>
          </cell>
        </row>
        <row r="397">
          <cell r="D397">
            <v>43.472635895176545</v>
          </cell>
        </row>
        <row r="398">
          <cell r="D398">
            <v>45.273439133855348</v>
          </cell>
        </row>
        <row r="399">
          <cell r="D399">
            <v>48.208911337699959</v>
          </cell>
        </row>
        <row r="400">
          <cell r="D400">
            <v>51.05808138930086</v>
          </cell>
        </row>
        <row r="401">
          <cell r="D401">
            <v>64.13215879204509</v>
          </cell>
        </row>
        <row r="402">
          <cell r="D402">
            <v>71.329710130344424</v>
          </cell>
        </row>
        <row r="403">
          <cell r="D403">
            <v>72.895002739001029</v>
          </cell>
        </row>
        <row r="404">
          <cell r="D404">
            <v>72.574299471045038</v>
          </cell>
        </row>
        <row r="405">
          <cell r="D405">
            <v>74.341014504322388</v>
          </cell>
        </row>
        <row r="406">
          <cell r="D406">
            <v>34.5045949740799</v>
          </cell>
        </row>
        <row r="407">
          <cell r="D407">
            <v>40.262244688983927</v>
          </cell>
        </row>
        <row r="408">
          <cell r="D408">
            <v>43.337463118719135</v>
          </cell>
        </row>
        <row r="409">
          <cell r="D409">
            <v>33.95001829962645</v>
          </cell>
        </row>
        <row r="410">
          <cell r="D410">
            <v>60.024018290580408</v>
          </cell>
        </row>
        <row r="411">
          <cell r="D411">
            <v>56.93057945212918</v>
          </cell>
        </row>
        <row r="412">
          <cell r="D412">
            <v>57.306385908835367</v>
          </cell>
        </row>
        <row r="413">
          <cell r="D413">
            <v>70.356946904115588</v>
          </cell>
        </row>
        <row r="414">
          <cell r="D414">
            <v>76.919416375574116</v>
          </cell>
        </row>
        <row r="415">
          <cell r="D415">
            <v>80.696605336334514</v>
          </cell>
        </row>
        <row r="416">
          <cell r="D416">
            <v>82.324314847287297</v>
          </cell>
        </row>
        <row r="417">
          <cell r="D417">
            <v>85.316014892064246</v>
          </cell>
        </row>
        <row r="418">
          <cell r="D418">
            <v>48.915894575566533</v>
          </cell>
        </row>
        <row r="419">
          <cell r="D419">
            <v>30.718223558428498</v>
          </cell>
        </row>
        <row r="420">
          <cell r="D420">
            <v>33.829984790649782</v>
          </cell>
        </row>
        <row r="421">
          <cell r="D421">
            <v>23.580103141995281</v>
          </cell>
        </row>
        <row r="422">
          <cell r="D422">
            <v>59.840370501911856</v>
          </cell>
        </row>
        <row r="423">
          <cell r="D423">
            <v>56.034092729540362</v>
          </cell>
        </row>
        <row r="424">
          <cell r="D424">
            <v>54.837909324793671</v>
          </cell>
        </row>
        <row r="425">
          <cell r="D425">
            <v>67.806135789007129</v>
          </cell>
        </row>
        <row r="426">
          <cell r="D426">
            <v>71.445918715015509</v>
          </cell>
        </row>
        <row r="427">
          <cell r="D427">
            <v>72.508146496185319</v>
          </cell>
        </row>
        <row r="428">
          <cell r="D428">
            <v>73.715849320694076</v>
          </cell>
        </row>
        <row r="429">
          <cell r="D429">
            <v>76.543035412916936</v>
          </cell>
        </row>
        <row r="430">
          <cell r="D430">
            <v>16.496199511932076</v>
          </cell>
        </row>
        <row r="431">
          <cell r="D431">
            <v>9.4743608940188295</v>
          </cell>
        </row>
        <row r="432">
          <cell r="D432">
            <v>18.56197860242251</v>
          </cell>
        </row>
        <row r="433">
          <cell r="D433">
            <v>10.512647701469001</v>
          </cell>
        </row>
        <row r="434">
          <cell r="D434">
            <v>44.137886062776751</v>
          </cell>
        </row>
        <row r="435">
          <cell r="D435">
            <v>44.94323216108571</v>
          </cell>
        </row>
        <row r="436">
          <cell r="D436">
            <v>45.811175425093218</v>
          </cell>
        </row>
        <row r="437">
          <cell r="D437">
            <v>56.483395034744397</v>
          </cell>
        </row>
        <row r="438">
          <cell r="D438">
            <v>63.031658035723979</v>
          </cell>
        </row>
        <row r="439">
          <cell r="D439">
            <v>66.650922552106366</v>
          </cell>
        </row>
        <row r="440">
          <cell r="D440">
            <v>70.985305785762435</v>
          </cell>
        </row>
        <row r="441">
          <cell r="D441">
            <v>77.678933340362931</v>
          </cell>
        </row>
        <row r="442">
          <cell r="D442">
            <v>21.850878310791639</v>
          </cell>
        </row>
        <row r="443">
          <cell r="D443">
            <v>15.855140379176127</v>
          </cell>
        </row>
        <row r="444">
          <cell r="D444">
            <v>29.354498656092481</v>
          </cell>
        </row>
        <row r="445">
          <cell r="D445">
            <v>23.499139493491796</v>
          </cell>
        </row>
        <row r="446">
          <cell r="D446">
            <v>37.030581776535946</v>
          </cell>
        </row>
        <row r="447">
          <cell r="D447">
            <v>32.44803589645737</v>
          </cell>
        </row>
        <row r="448">
          <cell r="D448">
            <v>30.232021807671575</v>
          </cell>
        </row>
        <row r="449">
          <cell r="D449">
            <v>40.778276618764878</v>
          </cell>
        </row>
        <row r="450">
          <cell r="D450">
            <v>44.753779578563282</v>
          </cell>
        </row>
        <row r="451">
          <cell r="D451">
            <v>46.181789751084835</v>
          </cell>
        </row>
        <row r="452">
          <cell r="D452">
            <v>47.130750204347891</v>
          </cell>
        </row>
        <row r="453">
          <cell r="D453">
            <v>50.457729868423364</v>
          </cell>
        </row>
        <row r="454">
          <cell r="D454">
            <v>16.63606652765683</v>
          </cell>
        </row>
        <row r="455">
          <cell r="D455">
            <v>16.427535113279372</v>
          </cell>
        </row>
        <row r="456">
          <cell r="D456">
            <v>23.728976079829749</v>
          </cell>
        </row>
        <row r="457">
          <cell r="D457">
            <v>14.216102081993002</v>
          </cell>
        </row>
        <row r="458">
          <cell r="D458">
            <v>33.263132314427992</v>
          </cell>
        </row>
        <row r="459">
          <cell r="D459">
            <v>30.014179132117601</v>
          </cell>
        </row>
        <row r="460">
          <cell r="D460">
            <v>29.452068905932673</v>
          </cell>
        </row>
        <row r="461">
          <cell r="D461">
            <v>41.242800338555455</v>
          </cell>
        </row>
        <row r="462">
          <cell r="D462">
            <v>46.18751945625803</v>
          </cell>
        </row>
        <row r="463">
          <cell r="D463">
            <v>48.996697026640305</v>
          </cell>
        </row>
        <row r="464">
          <cell r="D464">
            <v>51.547954044857285</v>
          </cell>
        </row>
        <row r="465">
          <cell r="D465">
            <v>56.762736856374879</v>
          </cell>
        </row>
        <row r="466">
          <cell r="D466">
            <v>13.974451998673691</v>
          </cell>
        </row>
        <row r="467">
          <cell r="D467">
            <v>9.5763221759723649</v>
          </cell>
        </row>
        <row r="468">
          <cell r="D468">
            <v>14.992367554333667</v>
          </cell>
        </row>
        <row r="469">
          <cell r="D469">
            <v>-0.42341237601682175</v>
          </cell>
        </row>
        <row r="470">
          <cell r="D470">
            <v>10.258825111348179</v>
          </cell>
        </row>
        <row r="471">
          <cell r="D471">
            <v>6.2007317007254645</v>
          </cell>
        </row>
        <row r="472">
          <cell r="D472">
            <v>14.560440903852143</v>
          </cell>
        </row>
        <row r="473">
          <cell r="D473">
            <v>31.593365982177986</v>
          </cell>
        </row>
        <row r="474">
          <cell r="D474">
            <v>43.315821996642747</v>
          </cell>
        </row>
        <row r="475">
          <cell r="D475">
            <v>53.813895902850525</v>
          </cell>
        </row>
        <row r="476">
          <cell r="D476">
            <v>53.468502317204894</v>
          </cell>
        </row>
        <row r="477">
          <cell r="D477">
            <v>55.839829883988351</v>
          </cell>
        </row>
        <row r="478">
          <cell r="D478">
            <v>14.123716525375407</v>
          </cell>
        </row>
        <row r="479">
          <cell r="D479">
            <v>6.5841886717120328</v>
          </cell>
        </row>
        <row r="480">
          <cell r="D480">
            <v>12.695136472153326</v>
          </cell>
        </row>
        <row r="481">
          <cell r="D481">
            <v>-1.59759325194219</v>
          </cell>
        </row>
        <row r="482">
          <cell r="D482">
            <v>9.744024980877068</v>
          </cell>
        </row>
        <row r="483">
          <cell r="D483">
            <v>8.1683171658845293</v>
          </cell>
        </row>
        <row r="484">
          <cell r="D484">
            <v>11.324509391573095</v>
          </cell>
        </row>
        <row r="485">
          <cell r="D485">
            <v>26.127217564886351</v>
          </cell>
        </row>
        <row r="486">
          <cell r="D486">
            <v>35.59911928031962</v>
          </cell>
        </row>
        <row r="487">
          <cell r="D487">
            <v>43.286936005225897</v>
          </cell>
        </row>
        <row r="488">
          <cell r="D488">
            <v>47.832262545651183</v>
          </cell>
        </row>
        <row r="489">
          <cell r="D489">
            <v>55.331430929691017</v>
          </cell>
        </row>
        <row r="490">
          <cell r="D490">
            <v>17.418281216190483</v>
          </cell>
        </row>
        <row r="491">
          <cell r="D491">
            <v>13.675440065076611</v>
          </cell>
        </row>
        <row r="492">
          <cell r="D492">
            <v>24.485233467094837</v>
          </cell>
        </row>
        <row r="493">
          <cell r="D493">
            <v>16.054230701946253</v>
          </cell>
        </row>
        <row r="494">
          <cell r="D494">
            <v>29.90428576393942</v>
          </cell>
        </row>
        <row r="495">
          <cell r="D495">
            <v>26.604387839348544</v>
          </cell>
        </row>
        <row r="496">
          <cell r="D496">
            <v>27.873691949450759</v>
          </cell>
        </row>
        <row r="497">
          <cell r="D497">
            <v>41.143304984943235</v>
          </cell>
        </row>
        <row r="498">
          <cell r="D498">
            <v>49.071683955666465</v>
          </cell>
        </row>
        <row r="499">
          <cell r="D499">
            <v>54.834970276168377</v>
          </cell>
        </row>
        <row r="500">
          <cell r="D500">
            <v>56.761043925738569</v>
          </cell>
        </row>
        <row r="501">
          <cell r="D501">
            <v>61.631136156008509</v>
          </cell>
        </row>
        <row r="502">
          <cell r="D502">
            <v>24.021065895313214</v>
          </cell>
        </row>
        <row r="503">
          <cell r="D503">
            <v>20.130321133947042</v>
          </cell>
        </row>
        <row r="504">
          <cell r="D504">
            <v>37.60696185504856</v>
          </cell>
        </row>
        <row r="505">
          <cell r="D505">
            <v>32.951631193625943</v>
          </cell>
        </row>
        <row r="506">
          <cell r="D506">
            <v>42.258630802869455</v>
          </cell>
        </row>
        <row r="507">
          <cell r="D507">
            <v>35.812211481272037</v>
          </cell>
        </row>
        <row r="508">
          <cell r="D508">
            <v>35.542489677711892</v>
          </cell>
        </row>
        <row r="509">
          <cell r="D509">
            <v>47.097880619101723</v>
          </cell>
        </row>
        <row r="510">
          <cell r="D510">
            <v>53.278247194010412</v>
          </cell>
        </row>
        <row r="511">
          <cell r="D511">
            <v>57.880194016053721</v>
          </cell>
        </row>
        <row r="512">
          <cell r="D512">
            <v>57.899397589099671</v>
          </cell>
        </row>
        <row r="513">
          <cell r="D513">
            <v>60.675490675910972</v>
          </cell>
        </row>
        <row r="514">
          <cell r="D514">
            <v>23.551974903200108</v>
          </cell>
        </row>
        <row r="515">
          <cell r="D515">
            <v>16.252021058963702</v>
          </cell>
        </row>
        <row r="516">
          <cell r="D516">
            <v>35.386943853974188</v>
          </cell>
        </row>
        <row r="517">
          <cell r="D517">
            <v>22.323349888327613</v>
          </cell>
        </row>
        <row r="518">
          <cell r="D518">
            <v>36.311758346759959</v>
          </cell>
        </row>
        <row r="519">
          <cell r="D519">
            <v>28.513907033601399</v>
          </cell>
        </row>
        <row r="520">
          <cell r="D520">
            <v>28.829230348187387</v>
          </cell>
        </row>
        <row r="521">
          <cell r="D521">
            <v>40.303012681762468</v>
          </cell>
        </row>
        <row r="522">
          <cell r="D522">
            <v>46.856668233089877</v>
          </cell>
        </row>
        <row r="523">
          <cell r="D523">
            <v>52.139955691411004</v>
          </cell>
        </row>
        <row r="524">
          <cell r="D524">
            <v>51.17072300599434</v>
          </cell>
        </row>
        <row r="525">
          <cell r="D525">
            <v>53.32126840597595</v>
          </cell>
        </row>
        <row r="526">
          <cell r="D526">
            <v>13.568049938203995</v>
          </cell>
        </row>
        <row r="527">
          <cell r="D527">
            <v>6.8683069946591067</v>
          </cell>
        </row>
        <row r="528">
          <cell r="D528">
            <v>27.235189389945475</v>
          </cell>
        </row>
        <row r="529">
          <cell r="D529">
            <v>24.675629268494571</v>
          </cell>
        </row>
        <row r="530">
          <cell r="D530">
            <v>39.971504131728381</v>
          </cell>
        </row>
        <row r="531">
          <cell r="D531">
            <v>39.943579605079655</v>
          </cell>
        </row>
        <row r="532">
          <cell r="D532">
            <v>38.793183672356946</v>
          </cell>
        </row>
        <row r="533">
          <cell r="D533">
            <v>49.353885108626372</v>
          </cell>
        </row>
        <row r="534">
          <cell r="D534">
            <v>54.545853920595391</v>
          </cell>
        </row>
        <row r="535">
          <cell r="D535">
            <v>58.246107525032031</v>
          </cell>
        </row>
        <row r="536">
          <cell r="D536">
            <v>57.187043935818394</v>
          </cell>
        </row>
        <row r="537">
          <cell r="D537">
            <v>58.993227486010603</v>
          </cell>
        </row>
        <row r="538">
          <cell r="D538">
            <v>16.780954770150949</v>
          </cell>
        </row>
        <row r="539">
          <cell r="D539">
            <v>8.561913961316213</v>
          </cell>
        </row>
        <row r="540">
          <cell r="D540">
            <v>32.884039507686445</v>
          </cell>
        </row>
        <row r="541">
          <cell r="D541">
            <v>29.375098498593985</v>
          </cell>
        </row>
        <row r="542">
          <cell r="D542">
            <v>44.682829100625646</v>
          </cell>
        </row>
        <row r="543">
          <cell r="D543">
            <v>46.278457167178892</v>
          </cell>
        </row>
        <row r="544">
          <cell r="D544">
            <v>44.794332114548887</v>
          </cell>
        </row>
        <row r="545">
          <cell r="D545">
            <v>55.213094081234225</v>
          </cell>
        </row>
        <row r="546">
          <cell r="D546">
            <v>60.518421981120703</v>
          </cell>
        </row>
        <row r="547">
          <cell r="D547">
            <v>64.035407496472274</v>
          </cell>
        </row>
        <row r="548">
          <cell r="D548">
            <v>62.416791760201932</v>
          </cell>
        </row>
        <row r="549">
          <cell r="D549">
            <v>63.630827027160187</v>
          </cell>
        </row>
        <row r="550">
          <cell r="D550">
            <v>22.112846690847277</v>
          </cell>
        </row>
        <row r="551">
          <cell r="D551">
            <v>13.006732649692994</v>
          </cell>
        </row>
        <row r="552">
          <cell r="D552">
            <v>19.636330834304573</v>
          </cell>
        </row>
        <row r="553">
          <cell r="D553">
            <v>13.438935695098957</v>
          </cell>
        </row>
        <row r="554">
          <cell r="D554">
            <v>30.813262026791467</v>
          </cell>
        </row>
        <row r="555">
          <cell r="D555">
            <v>28.893297082334069</v>
          </cell>
        </row>
        <row r="556">
          <cell r="D556">
            <v>29.436538973372588</v>
          </cell>
        </row>
        <row r="557">
          <cell r="D557">
            <v>42.540395145953937</v>
          </cell>
        </row>
        <row r="558">
          <cell r="D558">
            <v>49.986349413936352</v>
          </cell>
        </row>
        <row r="559">
          <cell r="D559">
            <v>55.792572480922509</v>
          </cell>
        </row>
        <row r="560">
          <cell r="D560">
            <v>56.441400491660197</v>
          </cell>
        </row>
        <row r="561">
          <cell r="D561">
            <v>60.097456181816618</v>
          </cell>
        </row>
        <row r="562">
          <cell r="D562">
            <v>16.186698285450881</v>
          </cell>
        </row>
        <row r="563">
          <cell r="D563">
            <v>8.9527326775130103</v>
          </cell>
        </row>
        <row r="564">
          <cell r="D564">
            <v>30.251286222881461</v>
          </cell>
        </row>
        <row r="565">
          <cell r="D565">
            <v>27.024069012767036</v>
          </cell>
        </row>
        <row r="566">
          <cell r="D566">
            <v>50.357713334390581</v>
          </cell>
        </row>
        <row r="567">
          <cell r="D567">
            <v>51.109440441927006</v>
          </cell>
        </row>
        <row r="568">
          <cell r="D568">
            <v>41.664262979153094</v>
          </cell>
        </row>
        <row r="569">
          <cell r="D569">
            <v>49.173206964771786</v>
          </cell>
        </row>
        <row r="570">
          <cell r="D570">
            <v>49.319274008788391</v>
          </cell>
        </row>
        <row r="571">
          <cell r="D571">
            <v>56.510379889448522</v>
          </cell>
        </row>
        <row r="572">
          <cell r="D572">
            <v>58.151052427680689</v>
          </cell>
        </row>
        <row r="573">
          <cell r="D573">
            <v>62.807289869728237</v>
          </cell>
        </row>
        <row r="574">
          <cell r="D574">
            <v>17.357558879899166</v>
          </cell>
        </row>
        <row r="575">
          <cell r="D575">
            <v>11.275531677296618</v>
          </cell>
        </row>
        <row r="576">
          <cell r="D576">
            <v>20.47262820044433</v>
          </cell>
        </row>
        <row r="577">
          <cell r="D577">
            <v>10.523101713851849</v>
          </cell>
        </row>
        <row r="578">
          <cell r="D578">
            <v>24.044647469924328</v>
          </cell>
        </row>
        <row r="579">
          <cell r="D579">
            <v>19.149991341410615</v>
          </cell>
        </row>
        <row r="580">
          <cell r="D580">
            <v>19.13338020303636</v>
          </cell>
        </row>
        <row r="581">
          <cell r="D581">
            <v>33.842326507694075</v>
          </cell>
        </row>
        <row r="582">
          <cell r="D582">
            <v>41.887153429435813</v>
          </cell>
        </row>
        <row r="583">
          <cell r="D583">
            <v>50.53175179205283</v>
          </cell>
        </row>
        <row r="584">
          <cell r="D584">
            <v>53.346091633055622</v>
          </cell>
        </row>
        <row r="585">
          <cell r="D585">
            <v>59.490735317471028</v>
          </cell>
        </row>
        <row r="586">
          <cell r="D586">
            <v>18.618840939862096</v>
          </cell>
        </row>
        <row r="587">
          <cell r="D587">
            <v>13.577238085400925</v>
          </cell>
        </row>
        <row r="588">
          <cell r="D588">
            <v>43.874548394522172</v>
          </cell>
        </row>
        <row r="589">
          <cell r="D589">
            <v>39.16977521507836</v>
          </cell>
        </row>
        <row r="590">
          <cell r="D590">
            <v>59.225780401359273</v>
          </cell>
        </row>
        <row r="591">
          <cell r="D591">
            <v>59.635380846118331</v>
          </cell>
        </row>
        <row r="592">
          <cell r="D592">
            <v>58.352224380986065</v>
          </cell>
        </row>
        <row r="593">
          <cell r="D593">
            <v>71.753760233302089</v>
          </cell>
        </row>
        <row r="594">
          <cell r="D594">
            <v>78.734886222670099</v>
          </cell>
        </row>
        <row r="595">
          <cell r="D595">
            <v>77.688529681123185</v>
          </cell>
        </row>
        <row r="596">
          <cell r="D596">
            <v>71.161760229971676</v>
          </cell>
        </row>
        <row r="597">
          <cell r="D597">
            <v>67.14238972081202</v>
          </cell>
        </row>
        <row r="598">
          <cell r="D598">
            <v>23.102767986662471</v>
          </cell>
        </row>
        <row r="599">
          <cell r="D599">
            <v>17.539864874781021</v>
          </cell>
        </row>
        <row r="600">
          <cell r="D600">
            <v>34.408634153922868</v>
          </cell>
        </row>
        <row r="601">
          <cell r="D601">
            <v>35.780948971068781</v>
          </cell>
        </row>
        <row r="602">
          <cell r="D602">
            <v>52.913210980294892</v>
          </cell>
        </row>
        <row r="603">
          <cell r="D603">
            <v>50.487056648911242</v>
          </cell>
        </row>
        <row r="604">
          <cell r="D604">
            <v>47.040839574776371</v>
          </cell>
        </row>
        <row r="605">
          <cell r="D605">
            <v>58.455145773010621</v>
          </cell>
        </row>
        <row r="606">
          <cell r="D606">
            <v>63.256222281190155</v>
          </cell>
        </row>
        <row r="607">
          <cell r="D607">
            <v>67.781802723660277</v>
          </cell>
        </row>
        <row r="608">
          <cell r="D608">
            <v>66.145967259486852</v>
          </cell>
        </row>
        <row r="609">
          <cell r="D609">
            <v>67.794395998250565</v>
          </cell>
        </row>
        <row r="610">
          <cell r="D610">
            <v>23.095381021153745</v>
          </cell>
        </row>
        <row r="611">
          <cell r="D611">
            <v>15.746689367448344</v>
          </cell>
        </row>
        <row r="612">
          <cell r="D612">
            <v>43.493145502055739</v>
          </cell>
        </row>
        <row r="613">
          <cell r="D613">
            <v>44.484763955271966</v>
          </cell>
        </row>
        <row r="614">
          <cell r="D614">
            <v>59.103637178935926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ve Soybean Prices"/>
      <sheetName val="Historical Soybean"/>
      <sheetName val="Veg Oil Comp Chart"/>
      <sheetName val="Monthly Soy"/>
      <sheetName val="Chart1"/>
      <sheetName val="Chart2"/>
      <sheetName val="Corn"/>
      <sheetName val="Monthly Corn"/>
      <sheetName val="SBO"/>
      <sheetName val="Monthly SBO"/>
      <sheetName val="Misc"/>
      <sheetName val="Monthly Misc"/>
      <sheetName val="Palm and Lauric Oils"/>
      <sheetName val="Argy SBO-PO Comp Chart"/>
      <sheetName val="US SBO-PO Comp Chart"/>
      <sheetName val="Monthly Palm Oil"/>
      <sheetName val="Canola-Rapeseed Oil"/>
      <sheetName val="Monthly CO"/>
      <sheetName val="Currencies"/>
      <sheetName val="Monthly Currencies"/>
      <sheetName val="Chart3"/>
      <sheetName val="Chart4"/>
      <sheetName val="Chart5"/>
      <sheetName val="ARG REF MGN MONTHLY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Chart16"/>
      <sheetName val="Chart17"/>
      <sheetName val="Chart18"/>
      <sheetName val="Chart19"/>
      <sheetName val="Chart20"/>
      <sheetName val="Chart21"/>
      <sheetName val="Chart22"/>
      <sheetName val="US Charts Print"/>
      <sheetName val="Foreign Charts Print"/>
      <sheetName val="Feedstock prices"/>
      <sheetName val="Feedstock prices char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59">
          <cell r="M259" t="e">
            <v>#NAME?</v>
          </cell>
          <cell r="N259" t="e">
            <v>#NAME?</v>
          </cell>
        </row>
      </sheetData>
      <sheetData sheetId="10"/>
      <sheetData sheetId="11"/>
      <sheetData sheetId="12"/>
      <sheetData sheetId="13"/>
      <sheetData sheetId="14"/>
      <sheetData sheetId="15">
        <row r="2">
          <cell r="D2">
            <v>1142.1764705882354</v>
          </cell>
          <cell r="X2">
            <v>13.634134335857837</v>
          </cell>
        </row>
        <row r="3">
          <cell r="D3">
            <v>1060.9411764705883</v>
          </cell>
          <cell r="X3">
            <v>12.664507836851966</v>
          </cell>
        </row>
        <row r="4">
          <cell r="D4">
            <v>1124.0454545454545</v>
          </cell>
          <cell r="X4">
            <v>13.417831214778765</v>
          </cell>
        </row>
        <row r="5">
          <cell r="D5">
            <v>1205.2222222222222</v>
          </cell>
          <cell r="X5">
            <v>14.387125402276119</v>
          </cell>
        </row>
        <row r="6">
          <cell r="D6">
            <v>1085.4000000000001</v>
          </cell>
          <cell r="X6">
            <v>12.95656398228977</v>
          </cell>
        </row>
        <row r="7">
          <cell r="D7">
            <v>1054.047619047619</v>
          </cell>
          <cell r="X7">
            <v>12.582816687846057</v>
          </cell>
        </row>
        <row r="8">
          <cell r="D8">
            <v>1034.75</v>
          </cell>
          <cell r="X8">
            <v>12.352059849469626</v>
          </cell>
        </row>
        <row r="9">
          <cell r="D9">
            <v>1013.5909090909091</v>
          </cell>
          <cell r="X9">
            <v>12.099380186498367</v>
          </cell>
        </row>
        <row r="10">
          <cell r="D10">
            <v>950.65</v>
          </cell>
          <cell r="X10">
            <v>11.348144617011222</v>
          </cell>
        </row>
        <row r="11">
          <cell r="D11">
            <v>836.71428571428567</v>
          </cell>
          <cell r="X11">
            <v>9.9879117226211651</v>
          </cell>
        </row>
        <row r="12">
          <cell r="D12">
            <v>845.23809523809518</v>
          </cell>
          <cell r="X12">
            <v>10.08985193839283</v>
          </cell>
        </row>
        <row r="13">
          <cell r="D13">
            <v>810.29411764705878</v>
          </cell>
          <cell r="X13">
            <v>9.6729961441996011</v>
          </cell>
        </row>
        <row r="14">
          <cell r="D14">
            <v>791.05555555555554</v>
          </cell>
          <cell r="X14">
            <v>9.4437484953564095</v>
          </cell>
        </row>
        <row r="15">
          <cell r="D15">
            <v>744.72222222222217</v>
          </cell>
          <cell r="X15">
            <v>8.8903024746151615</v>
          </cell>
        </row>
        <row r="16">
          <cell r="D16">
            <v>837.05</v>
          </cell>
          <cell r="X16">
            <v>9.9923464302032716</v>
          </cell>
        </row>
        <row r="17">
          <cell r="D17">
            <v>818.6</v>
          </cell>
          <cell r="X17">
            <v>9.7721846753870842</v>
          </cell>
        </row>
        <row r="18">
          <cell r="D18">
            <v>768.15</v>
          </cell>
          <cell r="X18">
            <v>9.169943912351993</v>
          </cell>
        </row>
        <row r="19">
          <cell r="D19">
            <v>817.3</v>
          </cell>
          <cell r="X19">
            <v>9.7565260747010463</v>
          </cell>
        </row>
        <row r="20">
          <cell r="D20">
            <v>1078.8571428571429</v>
          </cell>
          <cell r="X20">
            <v>12.879261426177047</v>
          </cell>
        </row>
        <row r="21">
          <cell r="D21">
            <v>1188.7727272727273</v>
          </cell>
          <cell r="X21">
            <v>14.191537528757021</v>
          </cell>
        </row>
        <row r="22">
          <cell r="D22">
            <v>986.47058823529414</v>
          </cell>
          <cell r="X22">
            <v>11.776359796018825</v>
          </cell>
        </row>
        <row r="23">
          <cell r="D23">
            <v>931.82608695652175</v>
          </cell>
          <cell r="X23">
            <v>11.123911753615419</v>
          </cell>
        </row>
        <row r="24">
          <cell r="D24">
            <v>1112.3</v>
          </cell>
          <cell r="X24">
            <v>13.278421558311631</v>
          </cell>
        </row>
        <row r="25">
          <cell r="D25">
            <v>1164.875</v>
          </cell>
          <cell r="X25">
            <v>13.90561211081037</v>
          </cell>
        </row>
        <row r="26">
          <cell r="D26">
            <v>1203.3809523809523</v>
          </cell>
          <cell r="X26">
            <v>14.365329437846057</v>
          </cell>
        </row>
        <row r="27">
          <cell r="D27">
            <v>1155.5333333333333</v>
          </cell>
          <cell r="X27">
            <v>13.794517322322838</v>
          </cell>
        </row>
        <row r="28">
          <cell r="D28">
            <v>1160.3684210526317</v>
          </cell>
          <cell r="X28">
            <v>13.851265622194681</v>
          </cell>
        </row>
        <row r="29">
          <cell r="D29">
            <v>1186.5238095238096</v>
          </cell>
          <cell r="X29">
            <v>14.163464087444023</v>
          </cell>
        </row>
        <row r="30">
          <cell r="D30">
            <v>1283.5238095238096</v>
          </cell>
          <cell r="X30">
            <v>15.32153756375186</v>
          </cell>
        </row>
        <row r="31">
          <cell r="D31">
            <v>1420.05</v>
          </cell>
          <cell r="X31">
            <v>16.951927952734543</v>
          </cell>
        </row>
        <row r="32">
          <cell r="D32">
            <v>1408.8636363636363</v>
          </cell>
          <cell r="X32">
            <v>16.819260576130723</v>
          </cell>
        </row>
        <row r="33">
          <cell r="D33">
            <v>1489</v>
          </cell>
          <cell r="X33">
            <v>17.775937587964261</v>
          </cell>
        </row>
        <row r="34">
          <cell r="D34">
            <v>1401.2</v>
          </cell>
          <cell r="X34">
            <v>16.727696629232717</v>
          </cell>
        </row>
        <row r="35">
          <cell r="D35">
            <v>1423.2173913043478</v>
          </cell>
          <cell r="X35">
            <v>16.990657151671442</v>
          </cell>
        </row>
        <row r="36">
          <cell r="D36">
            <v>1568.3157894736842</v>
          </cell>
          <cell r="X36">
            <v>18.722240158999256</v>
          </cell>
        </row>
        <row r="37">
          <cell r="D37">
            <v>1641.2777777777778</v>
          </cell>
          <cell r="X37">
            <v>19.593927807355946</v>
          </cell>
        </row>
        <row r="38">
          <cell r="D38">
            <v>1635.75</v>
          </cell>
          <cell r="X38">
            <v>19.527936005005753</v>
          </cell>
        </row>
        <row r="39">
          <cell r="D39">
            <v>1604.5</v>
          </cell>
          <cell r="X39">
            <v>19.154866770613928</v>
          </cell>
        </row>
        <row r="40">
          <cell r="D40">
            <v>1476</v>
          </cell>
          <cell r="X40">
            <v>17.620829503387188</v>
          </cell>
        </row>
        <row r="41">
          <cell r="D41">
            <v>1399.2380952380952</v>
          </cell>
          <cell r="X41">
            <v>16.704405917515309</v>
          </cell>
        </row>
        <row r="42">
          <cell r="D42">
            <v>1400.8888888888889</v>
          </cell>
          <cell r="X42">
            <v>16.734366851528144</v>
          </cell>
        </row>
        <row r="43">
          <cell r="D43">
            <v>1422.8095238095239</v>
          </cell>
          <cell r="X43">
            <v>16.969991994033105</v>
          </cell>
        </row>
        <row r="44">
          <cell r="D44">
            <v>1361.3181818181818</v>
          </cell>
          <cell r="X44">
            <v>16.219196852974246</v>
          </cell>
        </row>
        <row r="45">
          <cell r="D45">
            <v>1286.8095238095239</v>
          </cell>
          <cell r="X45">
            <v>15.362209403383345</v>
          </cell>
        </row>
        <row r="46">
          <cell r="D46">
            <v>1367.7</v>
          </cell>
          <cell r="X46">
            <v>16.328005047992793</v>
          </cell>
        </row>
        <row r="47">
          <cell r="D47">
            <v>1637.5454545454545</v>
          </cell>
          <cell r="X47">
            <v>19.549370528290812</v>
          </cell>
        </row>
        <row r="48">
          <cell r="D48">
            <v>1739</v>
          </cell>
          <cell r="X48">
            <v>20.760313897837179</v>
          </cell>
        </row>
        <row r="49">
          <cell r="D49">
            <v>1784.7272727272727</v>
          </cell>
          <cell r="X49">
            <v>21.306200561341967</v>
          </cell>
        </row>
        <row r="50">
          <cell r="D50">
            <v>1752.6470588235295</v>
          </cell>
          <cell r="X50">
            <v>20.923478284620167</v>
          </cell>
        </row>
        <row r="51">
          <cell r="D51">
            <v>1893.1875</v>
          </cell>
          <cell r="X51">
            <v>22.600911797357494</v>
          </cell>
        </row>
        <row r="52">
          <cell r="D52">
            <v>1946.7391304347825</v>
          </cell>
          <cell r="X52">
            <v>23.240484717230757</v>
          </cell>
        </row>
        <row r="53">
          <cell r="D53">
            <v>1886.5238095238096</v>
          </cell>
          <cell r="X53">
            <v>22.521669793269432</v>
          </cell>
        </row>
        <row r="54">
          <cell r="D54">
            <v>1729.5555555555557</v>
          </cell>
          <cell r="X54">
            <v>20.647719129037313</v>
          </cell>
        </row>
        <row r="55">
          <cell r="D55">
            <v>1532.9545454545455</v>
          </cell>
          <cell r="X55">
            <v>18.300549609315098</v>
          </cell>
        </row>
        <row r="56">
          <cell r="D56">
            <v>1444.6190476190477</v>
          </cell>
          <cell r="X56">
            <v>17.245828984585415</v>
          </cell>
        </row>
        <row r="57">
          <cell r="D57">
            <v>1450.3333333333333</v>
          </cell>
          <cell r="X57">
            <v>17.313962273406144</v>
          </cell>
        </row>
        <row r="58">
          <cell r="D58">
            <v>1453.1428571428571</v>
          </cell>
          <cell r="X58">
            <v>17.346898746859523</v>
          </cell>
        </row>
        <row r="59">
          <cell r="D59">
            <v>1416.4761904761904</v>
          </cell>
          <cell r="X59">
            <v>16.909939853802751</v>
          </cell>
        </row>
        <row r="60">
          <cell r="D60">
            <v>1438.2941176470588</v>
          </cell>
          <cell r="X60">
            <v>17.170665129627377</v>
          </cell>
        </row>
        <row r="61">
          <cell r="D61">
            <v>1400.5714285714287</v>
          </cell>
          <cell r="X61">
            <v>16.720323538182694</v>
          </cell>
        </row>
        <row r="62">
          <cell r="D62">
            <v>1316.9473684210527</v>
          </cell>
          <cell r="X62">
            <v>15.722001487077522</v>
          </cell>
        </row>
        <row r="63">
          <cell r="D63">
            <v>1321.6</v>
          </cell>
          <cell r="X63">
            <v>15.777545605511598</v>
          </cell>
        </row>
        <row r="64">
          <cell r="D64">
            <v>1429.7272727272727</v>
          </cell>
          <cell r="X64">
            <v>17.068392288815275</v>
          </cell>
        </row>
        <row r="65">
          <cell r="D65">
            <v>1431.85</v>
          </cell>
          <cell r="X65">
            <v>17.093733864445969</v>
          </cell>
        </row>
        <row r="66">
          <cell r="D66">
            <v>1405.9473684210527</v>
          </cell>
          <cell r="X66">
            <v>16.784362823408639</v>
          </cell>
        </row>
        <row r="67">
          <cell r="D67">
            <v>1403.409090909091</v>
          </cell>
          <cell r="X67">
            <v>16.754200162687471</v>
          </cell>
        </row>
        <row r="68">
          <cell r="D68">
            <v>1403.65</v>
          </cell>
          <cell r="X68">
            <v>16.815427361070299</v>
          </cell>
        </row>
        <row r="69">
          <cell r="D69">
            <v>1369.090909090909</v>
          </cell>
          <cell r="X69">
            <v>16.523172762226356</v>
          </cell>
        </row>
        <row r="70">
          <cell r="D70">
            <v>1410.6190476190477</v>
          </cell>
          <cell r="X70">
            <v>16.978130151747603</v>
          </cell>
        </row>
        <row r="71">
          <cell r="D71">
            <v>1447.1428571428571</v>
          </cell>
          <cell r="X71">
            <v>17.400379805505793</v>
          </cell>
        </row>
        <row r="72">
          <cell r="D72">
            <v>1418.6666666666667</v>
          </cell>
          <cell r="X72">
            <v>17.032912296767716</v>
          </cell>
        </row>
        <row r="73">
          <cell r="D73">
            <v>1407.1428571428571</v>
          </cell>
          <cell r="X73">
            <v>16.89579341662516</v>
          </cell>
        </row>
        <row r="74">
          <cell r="D74">
            <v>1431.3529411764705</v>
          </cell>
          <cell r="X74">
            <v>17.308629658435411</v>
          </cell>
        </row>
        <row r="75">
          <cell r="D75">
            <v>1472.8235294117646</v>
          </cell>
          <cell r="X75">
            <v>17.94391184816936</v>
          </cell>
        </row>
        <row r="76">
          <cell r="D76">
            <v>1456.6521739130435</v>
          </cell>
          <cell r="X76">
            <v>17.844944682129448</v>
          </cell>
        </row>
        <row r="77">
          <cell r="D77">
            <v>1456.3333333333333</v>
          </cell>
          <cell r="X77">
            <v>18.050055542417695</v>
          </cell>
        </row>
        <row r="78">
          <cell r="D78">
            <v>1451.15</v>
          </cell>
          <cell r="X78">
            <v>18.236167492308592</v>
          </cell>
        </row>
        <row r="79">
          <cell r="D79">
            <v>1458.6818181818182</v>
          </cell>
          <cell r="X79">
            <v>18.06280709770186</v>
          </cell>
        </row>
        <row r="80">
          <cell r="D80">
            <v>1542.35</v>
          </cell>
          <cell r="X80">
            <v>19.074346701534711</v>
          </cell>
        </row>
        <row r="81">
          <cell r="D81">
            <v>1621.409090909091</v>
          </cell>
          <cell r="X81">
            <v>20.025711995280378</v>
          </cell>
        </row>
        <row r="82">
          <cell r="D82">
            <v>1545.65</v>
          </cell>
          <cell r="X82">
            <v>19.104120927866795</v>
          </cell>
        </row>
        <row r="83">
          <cell r="D83">
            <v>1590.3157894736842</v>
          </cell>
          <cell r="X83">
            <v>19.619721971788096</v>
          </cell>
        </row>
        <row r="84">
          <cell r="D84">
            <v>1775.6666666666667</v>
          </cell>
          <cell r="X84">
            <v>22.119872610408205</v>
          </cell>
        </row>
        <row r="85">
          <cell r="D85">
            <v>1897.05</v>
          </cell>
          <cell r="X85">
            <v>24.256363165821455</v>
          </cell>
        </row>
        <row r="86">
          <cell r="D86">
            <v>1897.55</v>
          </cell>
          <cell r="X86">
            <v>24.554767762963017</v>
          </cell>
        </row>
        <row r="87">
          <cell r="D87">
            <v>1927.7647058823529</v>
          </cell>
          <cell r="X87">
            <v>25.020005650086894</v>
          </cell>
        </row>
        <row r="88">
          <cell r="D88">
            <v>1976.3636363636363</v>
          </cell>
          <cell r="X88">
            <v>25.70218074529722</v>
          </cell>
        </row>
        <row r="89">
          <cell r="D89">
            <v>2166.7368421052633</v>
          </cell>
          <cell r="X89">
            <v>28.603623462269212</v>
          </cell>
        </row>
        <row r="90">
          <cell r="D90">
            <v>2372.65</v>
          </cell>
          <cell r="X90">
            <v>31.655329952796144</v>
          </cell>
        </row>
        <row r="91">
          <cell r="D91">
            <v>2447.5238095238096</v>
          </cell>
          <cell r="X91">
            <v>32.248950776555439</v>
          </cell>
        </row>
        <row r="92">
          <cell r="D92">
            <v>2540.1428571428573</v>
          </cell>
          <cell r="X92">
            <v>33.514541830001008</v>
          </cell>
        </row>
        <row r="93">
          <cell r="D93">
            <v>2464.818181818182</v>
          </cell>
          <cell r="X93">
            <v>32.12454188655542</v>
          </cell>
        </row>
        <row r="94">
          <cell r="D94">
            <v>2562.2631578947367</v>
          </cell>
          <cell r="X94">
            <v>33.517887045714687</v>
          </cell>
        </row>
        <row r="95">
          <cell r="D95">
            <v>2698.2727272727275</v>
          </cell>
          <cell r="X95">
            <v>36.301741244467159</v>
          </cell>
        </row>
        <row r="96">
          <cell r="D96">
            <v>2956</v>
          </cell>
          <cell r="X96">
            <v>39.978378785772477</v>
          </cell>
        </row>
        <row r="97">
          <cell r="D97">
            <v>2956.6842105263158</v>
          </cell>
          <cell r="X97">
            <v>40.25928660717782</v>
          </cell>
        </row>
        <row r="98">
          <cell r="D98">
            <v>3224.0526315789475</v>
          </cell>
          <cell r="X98">
            <v>44.812048057309426</v>
          </cell>
        </row>
        <row r="99">
          <cell r="D99">
            <v>3599.2352941176468</v>
          </cell>
          <cell r="X99">
            <v>50.69892975697379</v>
          </cell>
        </row>
        <row r="100">
          <cell r="D100">
            <v>3710.2105263157896</v>
          </cell>
          <cell r="X100">
            <v>52.842290190528971</v>
          </cell>
        </row>
        <row r="101">
          <cell r="D101">
            <v>3438.7727272727275</v>
          </cell>
          <cell r="X101">
            <v>49.35390533585268</v>
          </cell>
        </row>
        <row r="102">
          <cell r="D102">
            <v>3522.6842105263158</v>
          </cell>
          <cell r="X102">
            <v>49.687208117989961</v>
          </cell>
        </row>
        <row r="103">
          <cell r="D103">
            <v>3582.5714285714284</v>
          </cell>
          <cell r="X103">
            <v>49.912846123893878</v>
          </cell>
        </row>
        <row r="104">
          <cell r="D104">
            <v>3340.6363636363635</v>
          </cell>
          <cell r="X104">
            <v>46.655516482797566</v>
          </cell>
        </row>
        <row r="105">
          <cell r="D105">
            <v>2635.1428571428573</v>
          </cell>
          <cell r="X105">
            <v>35.94615826376009</v>
          </cell>
        </row>
        <row r="106">
          <cell r="D106">
            <v>2303.5714285714284</v>
          </cell>
          <cell r="X106">
            <v>30.35630291038008</v>
          </cell>
        </row>
        <row r="107">
          <cell r="D107">
            <v>1681.25</v>
          </cell>
          <cell r="X107">
            <v>21.660279520184293</v>
          </cell>
        </row>
        <row r="108">
          <cell r="D108">
            <v>1541.8421052631579</v>
          </cell>
          <cell r="X108">
            <v>19.520635632849171</v>
          </cell>
        </row>
        <row r="109">
          <cell r="D109">
            <v>1575.9</v>
          </cell>
          <cell r="X109">
            <v>20.161934243997269</v>
          </cell>
        </row>
        <row r="110">
          <cell r="D110">
            <v>1850.5555555555557</v>
          </cell>
          <cell r="X110">
            <v>23.555271533784619</v>
          </cell>
        </row>
        <row r="111">
          <cell r="D111">
            <v>1888.4705882352941</v>
          </cell>
          <cell r="X111">
            <v>23.550665433761338</v>
          </cell>
        </row>
        <row r="112">
          <cell r="D112">
            <v>1949.6666666666667</v>
          </cell>
          <cell r="X112">
            <v>24.099551073457743</v>
          </cell>
        </row>
        <row r="113">
          <cell r="D113">
            <v>2369.4285714285716</v>
          </cell>
          <cell r="X113">
            <v>29.815440405002487</v>
          </cell>
        </row>
        <row r="114">
          <cell r="D114">
            <v>2616.2105263157896</v>
          </cell>
          <cell r="X114">
            <v>33.710551533081421</v>
          </cell>
        </row>
        <row r="115">
          <cell r="D115">
            <v>2402.6363636363635</v>
          </cell>
          <cell r="X115">
            <v>31.009639932023198</v>
          </cell>
        </row>
        <row r="116">
          <cell r="D116">
            <v>2102.681818181818</v>
          </cell>
          <cell r="X116">
            <v>26.908006082915279</v>
          </cell>
        </row>
        <row r="117">
          <cell r="D117">
            <v>2366.6</v>
          </cell>
          <cell r="X117">
            <v>30.540222802774572</v>
          </cell>
        </row>
        <row r="118">
          <cell r="D118">
            <v>2166.4736842105262</v>
          </cell>
          <cell r="X118">
            <v>28.148440386514448</v>
          </cell>
        </row>
        <row r="119">
          <cell r="D119">
            <v>2142.2272727272725</v>
          </cell>
          <cell r="X119">
            <v>28.574372161132441</v>
          </cell>
        </row>
        <row r="120">
          <cell r="D120">
            <v>2325.8421052631579</v>
          </cell>
          <cell r="X120">
            <v>31.151447269283068</v>
          </cell>
        </row>
        <row r="121">
          <cell r="D121">
            <v>2548.7619047619046</v>
          </cell>
          <cell r="X121">
            <v>33.914726474745542</v>
          </cell>
        </row>
        <row r="122">
          <cell r="D122">
            <v>2529.6315789473683</v>
          </cell>
          <cell r="X122">
            <v>34.002390223903902</v>
          </cell>
        </row>
        <row r="123">
          <cell r="D123">
            <v>2568.125</v>
          </cell>
          <cell r="X123">
            <v>34.136333965628694</v>
          </cell>
        </row>
        <row r="124">
          <cell r="D124">
            <v>2603.8260869565215</v>
          </cell>
          <cell r="X124">
            <v>35.572894489291059</v>
          </cell>
        </row>
        <row r="125">
          <cell r="D125">
            <v>2527.4285714285716</v>
          </cell>
          <cell r="X125">
            <v>35.809802925560362</v>
          </cell>
        </row>
        <row r="126">
          <cell r="D126">
            <v>2485.1578947368421</v>
          </cell>
          <cell r="X126">
            <v>34.706618894266938</v>
          </cell>
        </row>
        <row r="127">
          <cell r="D127">
            <v>2409.590909090909</v>
          </cell>
          <cell r="X127">
            <v>33.48585865013257</v>
          </cell>
        </row>
        <row r="128">
          <cell r="D128">
            <v>2411.4285714285716</v>
          </cell>
          <cell r="X128">
            <v>34.15158047525243</v>
          </cell>
        </row>
        <row r="129">
          <cell r="D129">
            <v>2606.7619047619046</v>
          </cell>
          <cell r="X129">
            <v>37.518173164047766</v>
          </cell>
        </row>
        <row r="130">
          <cell r="D130">
            <v>2656.8947368421054</v>
          </cell>
          <cell r="X130">
            <v>38.838613158827208</v>
          </cell>
        </row>
        <row r="131">
          <cell r="D131">
            <v>2908.6666666666665</v>
          </cell>
          <cell r="X131">
            <v>42.576572529453671</v>
          </cell>
        </row>
        <row r="132">
          <cell r="D132">
            <v>3266</v>
          </cell>
          <cell r="X132">
            <v>47.591065320223748</v>
          </cell>
        </row>
        <row r="133">
          <cell r="D133">
            <v>3618.4736842105262</v>
          </cell>
          <cell r="X133">
            <v>52.458977351694152</v>
          </cell>
        </row>
        <row r="134">
          <cell r="D134">
            <v>3735.7222222222222</v>
          </cell>
          <cell r="X134">
            <v>55.38014092705086</v>
          </cell>
        </row>
        <row r="135">
          <cell r="D135">
            <v>3745.2</v>
          </cell>
          <cell r="X135">
            <v>55.805390633304995</v>
          </cell>
        </row>
        <row r="136">
          <cell r="D136">
            <v>3420.478260869565</v>
          </cell>
          <cell r="X136">
            <v>51.13558577501103</v>
          </cell>
        </row>
        <row r="137">
          <cell r="D137">
            <v>3324.95</v>
          </cell>
          <cell r="X137">
            <v>50.098340768655952</v>
          </cell>
        </row>
        <row r="138">
          <cell r="D138">
            <v>3311.8421052631579</v>
          </cell>
          <cell r="X138">
            <v>49.840385049155714</v>
          </cell>
        </row>
        <row r="139">
          <cell r="D139">
            <v>3230.318181818182</v>
          </cell>
          <cell r="X139">
            <v>48.415166989060985</v>
          </cell>
        </row>
        <row r="140">
          <cell r="D140">
            <v>3092.7</v>
          </cell>
          <cell r="X140">
            <v>46.886173486433627</v>
          </cell>
        </row>
        <row r="141">
          <cell r="D141">
            <v>3030</v>
          </cell>
          <cell r="X141">
            <v>46.086766682985555</v>
          </cell>
        </row>
        <row r="142">
          <cell r="D142">
            <v>3006.4736842105262</v>
          </cell>
          <cell r="X142">
            <v>44.194906015756608</v>
          </cell>
        </row>
        <row r="143">
          <cell r="D143">
            <v>2865.55</v>
          </cell>
          <cell r="X143">
            <v>41.494094351538834</v>
          </cell>
        </row>
        <row r="144">
          <cell r="D144">
            <v>3102.7368421052633</v>
          </cell>
          <cell r="X144">
            <v>44.661501970380364</v>
          </cell>
        </row>
        <row r="145">
          <cell r="D145">
            <v>3079.9523809523807</v>
          </cell>
          <cell r="X145">
            <v>44.22714021797416</v>
          </cell>
        </row>
        <row r="146">
          <cell r="D146">
            <v>3175.1176470588234</v>
          </cell>
          <cell r="X146">
            <v>46.336216995589062</v>
          </cell>
        </row>
        <row r="147">
          <cell r="D147">
            <v>3205.4117647058824</v>
          </cell>
          <cell r="X147">
            <v>48.13147757131425</v>
          </cell>
        </row>
        <row r="148">
          <cell r="D148">
            <v>3363.681818181818</v>
          </cell>
          <cell r="X148">
            <v>50.118373133730444</v>
          </cell>
        </row>
        <row r="149">
          <cell r="D149">
            <v>3516.5789473684213</v>
          </cell>
          <cell r="X149">
            <v>52.163981858691386</v>
          </cell>
        </row>
        <row r="150">
          <cell r="D150">
            <v>3205.6190476190477</v>
          </cell>
          <cell r="X150">
            <v>46.943402835539231</v>
          </cell>
        </row>
        <row r="151">
          <cell r="D151">
            <v>2972.2857142857142</v>
          </cell>
          <cell r="X151">
            <v>42.418803511555048</v>
          </cell>
        </row>
        <row r="152">
          <cell r="D152">
            <v>3041.6190476190477</v>
          </cell>
          <cell r="X152">
            <v>43.589306933637104</v>
          </cell>
        </row>
        <row r="153">
          <cell r="D153">
            <v>2954.35</v>
          </cell>
          <cell r="X153">
            <v>43.030172667177148</v>
          </cell>
        </row>
        <row r="154">
          <cell r="D154">
            <v>2830.5</v>
          </cell>
          <cell r="X154">
            <v>41.710605090172173</v>
          </cell>
        </row>
        <row r="155">
          <cell r="D155">
            <v>2469.318181818182</v>
          </cell>
          <cell r="X155">
            <v>36.683024872075066</v>
          </cell>
        </row>
        <row r="156">
          <cell r="D156">
            <v>2409.5263157894738</v>
          </cell>
          <cell r="X156">
            <v>35.769666722035197</v>
          </cell>
        </row>
        <row r="157">
          <cell r="D157">
            <v>2342.9</v>
          </cell>
          <cell r="X157">
            <v>34.797750572740334</v>
          </cell>
        </row>
        <row r="158">
          <cell r="D158">
            <v>2438.0526315789475</v>
          </cell>
          <cell r="X158">
            <v>36.394590933278572</v>
          </cell>
        </row>
        <row r="159">
          <cell r="D159">
            <v>2508.875</v>
          </cell>
          <cell r="X159">
            <v>36.762316220370153</v>
          </cell>
        </row>
        <row r="160">
          <cell r="D160">
            <v>2422.6</v>
          </cell>
          <cell r="X160">
            <v>35.355492724177246</v>
          </cell>
        </row>
        <row r="161">
          <cell r="D161">
            <v>2327.5</v>
          </cell>
          <cell r="X161">
            <v>34.636176221306798</v>
          </cell>
        </row>
        <row r="162">
          <cell r="D162">
            <v>2321.65</v>
          </cell>
          <cell r="X162">
            <v>34.903135257950865</v>
          </cell>
        </row>
        <row r="163">
          <cell r="D163">
            <v>2423.85</v>
          </cell>
          <cell r="X163">
            <v>34.984534186780358</v>
          </cell>
        </row>
        <row r="164">
          <cell r="D164">
            <v>2285.681818181818</v>
          </cell>
          <cell r="X164">
            <v>32.490238460357951</v>
          </cell>
        </row>
        <row r="165">
          <cell r="D165">
            <v>2330.1</v>
          </cell>
          <cell r="X165">
            <v>32.22401527365939</v>
          </cell>
        </row>
        <row r="166">
          <cell r="D166">
            <v>2344.5263157894738</v>
          </cell>
          <cell r="X166">
            <v>32.746094590266338</v>
          </cell>
        </row>
        <row r="167">
          <cell r="D167">
            <v>2409.9545454545455</v>
          </cell>
          <cell r="X167">
            <v>34.454903115186703</v>
          </cell>
        </row>
        <row r="168">
          <cell r="D168">
            <v>2594</v>
          </cell>
          <cell r="X168">
            <v>36.801260517321133</v>
          </cell>
        </row>
        <row r="169">
          <cell r="D169">
            <v>2617.7619047619046</v>
          </cell>
          <cell r="X169">
            <v>36.547431840635241</v>
          </cell>
        </row>
        <row r="170">
          <cell r="D170">
            <v>2565.2222222222222</v>
          </cell>
          <cell r="X170">
            <v>35.22669592176949</v>
          </cell>
        </row>
        <row r="171">
          <cell r="D171">
            <v>2677.6111111111113</v>
          </cell>
          <cell r="X171">
            <v>36.760353315367936</v>
          </cell>
        </row>
        <row r="172">
          <cell r="D172">
            <v>2771.6666666666665</v>
          </cell>
          <cell r="X172">
            <v>38.330638999833816</v>
          </cell>
        </row>
        <row r="173">
          <cell r="D173">
            <v>2639.2857142857142</v>
          </cell>
          <cell r="X173">
            <v>36.783395398128945</v>
          </cell>
        </row>
        <row r="174">
          <cell r="D174">
            <v>2544.7368421052633</v>
          </cell>
          <cell r="X174">
            <v>35.767871448149151</v>
          </cell>
        </row>
        <row r="175">
          <cell r="D175">
            <v>2432.0476190476193</v>
          </cell>
          <cell r="X175">
            <v>34.2862726609779</v>
          </cell>
        </row>
        <row r="176">
          <cell r="D176">
            <v>2330.3684210526317</v>
          </cell>
          <cell r="X176">
            <v>33.219263433727754</v>
          </cell>
        </row>
        <row r="177">
          <cell r="D177">
            <v>2118.7142857142858</v>
          </cell>
          <cell r="X177">
            <v>30.252501476976356</v>
          </cell>
        </row>
        <row r="178">
          <cell r="D178">
            <v>2094.9</v>
          </cell>
          <cell r="X178">
            <v>29.523551405777528</v>
          </cell>
        </row>
        <row r="179">
          <cell r="D179">
            <v>2182.5238095238096</v>
          </cell>
          <cell r="X179">
            <v>30.290146459493592</v>
          </cell>
        </row>
        <row r="180">
          <cell r="D180">
            <v>2238.3157894736842</v>
          </cell>
          <cell r="X180">
            <v>30.350241624613307</v>
          </cell>
        </row>
        <row r="181">
          <cell r="D181">
            <v>2181.4545454545455</v>
          </cell>
          <cell r="X181">
            <v>28.455509325088688</v>
          </cell>
        </row>
        <row r="182">
          <cell r="D182">
            <v>2275.6999999999998</v>
          </cell>
          <cell r="X182">
            <v>28.802518400328797</v>
          </cell>
        </row>
        <row r="183">
          <cell r="D183">
            <v>2283.2666666666669</v>
          </cell>
          <cell r="X183">
            <v>28.850874791233664</v>
          </cell>
        </row>
        <row r="184">
          <cell r="D184">
            <v>2232.9545454545455</v>
          </cell>
          <cell r="X184">
            <v>27.534849551483433</v>
          </cell>
        </row>
        <row r="185">
          <cell r="D185">
            <v>2147.1904761904761</v>
          </cell>
          <cell r="X185">
            <v>26.827558022822352</v>
          </cell>
        </row>
        <row r="186">
          <cell r="D186">
            <v>2180</v>
          </cell>
          <cell r="X186">
            <v>27.453840355113343</v>
          </cell>
        </row>
        <row r="187">
          <cell r="D187">
            <v>2279.090909090909</v>
          </cell>
          <cell r="X187">
            <v>27.66133096586368</v>
          </cell>
        </row>
        <row r="188">
          <cell r="D188">
            <v>2185.5238095238096</v>
          </cell>
          <cell r="X188">
            <v>26.078639550389415</v>
          </cell>
        </row>
        <row r="189">
          <cell r="D189">
            <v>2003.4</v>
          </cell>
          <cell r="X189">
            <v>22.437240118353987</v>
          </cell>
        </row>
        <row r="190">
          <cell r="D190">
            <v>2171.8947368421054</v>
          </cell>
          <cell r="X190">
            <v>22.865735256734585</v>
          </cell>
        </row>
        <row r="191">
          <cell r="D191">
            <v>2328.4285714285716</v>
          </cell>
          <cell r="X191">
            <v>24.829771038773607</v>
          </cell>
        </row>
        <row r="192">
          <cell r="D192">
            <v>2319.2105263157896</v>
          </cell>
          <cell r="X192">
            <v>24.394625289715524</v>
          </cell>
        </row>
        <row r="193">
          <cell r="D193">
            <v>2412.2857142857142</v>
          </cell>
          <cell r="X193">
            <v>25.594230509784612</v>
          </cell>
        </row>
        <row r="194">
          <cell r="D194">
            <v>2440.0555555555557</v>
          </cell>
          <cell r="X194">
            <v>25.515883070354185</v>
          </cell>
        </row>
        <row r="195">
          <cell r="D195">
            <v>2565.705882352941</v>
          </cell>
          <cell r="X195">
            <v>27.828883132088936</v>
          </cell>
        </row>
        <row r="196">
          <cell r="D196">
            <v>2624.409090909091</v>
          </cell>
          <cell r="X196">
            <v>29.301773230634684</v>
          </cell>
        </row>
        <row r="197">
          <cell r="D197">
            <v>2681.0952380952381</v>
          </cell>
          <cell r="X197">
            <v>31.205837758018212</v>
          </cell>
        </row>
        <row r="198">
          <cell r="D198">
            <v>2587.75</v>
          </cell>
          <cell r="X198">
            <v>29.03025135290315</v>
          </cell>
        </row>
        <row r="199">
          <cell r="D199">
            <v>2486.6190476190477</v>
          </cell>
          <cell r="X199">
            <v>27.645923218943135</v>
          </cell>
        </row>
        <row r="200">
          <cell r="D200">
            <v>2291.3333333333335</v>
          </cell>
          <cell r="X200">
            <v>25.888974055257119</v>
          </cell>
        </row>
        <row r="201">
          <cell r="D201">
            <v>2507.681818181818</v>
          </cell>
          <cell r="X201">
            <v>28.292730803611935</v>
          </cell>
        </row>
        <row r="202">
          <cell r="D202">
            <v>2630.4210526315787</v>
          </cell>
          <cell r="X202">
            <v>29.056542513217426</v>
          </cell>
        </row>
        <row r="203">
          <cell r="D203">
            <v>2688</v>
          </cell>
          <cell r="X203">
            <v>29.19940183291272</v>
          </cell>
        </row>
        <row r="204">
          <cell r="D204">
            <v>2887.7142857142858</v>
          </cell>
          <cell r="X204">
            <v>30.270559932402783</v>
          </cell>
        </row>
        <row r="205">
          <cell r="D205">
            <v>3115.85</v>
          </cell>
          <cell r="X205">
            <v>31.696343388495489</v>
          </cell>
        </row>
        <row r="206">
          <cell r="D206">
            <v>3112.8947368421054</v>
          </cell>
          <cell r="X206">
            <v>31.689679530267984</v>
          </cell>
        </row>
        <row r="207">
          <cell r="D207">
            <v>2945.705882352941</v>
          </cell>
          <cell r="X207">
            <v>30.087863949236834</v>
          </cell>
        </row>
        <row r="208">
          <cell r="D208">
            <v>2784.1304347826085</v>
          </cell>
          <cell r="X208">
            <v>28.471570985380684</v>
          </cell>
        </row>
        <row r="209">
          <cell r="D209">
            <v>2567.1111111111113</v>
          </cell>
          <cell r="X209">
            <v>26.44253692825178</v>
          </cell>
        </row>
        <row r="210">
          <cell r="D210">
            <v>2597.15</v>
          </cell>
          <cell r="X210">
            <v>27.308116066278735</v>
          </cell>
        </row>
        <row r="211">
          <cell r="D211">
            <v>2465.5789473684213</v>
          </cell>
          <cell r="X211">
            <v>26.15855460592477</v>
          </cell>
        </row>
        <row r="212">
          <cell r="D212">
            <v>2578.4</v>
          </cell>
          <cell r="X212">
            <v>27.278338842965791</v>
          </cell>
        </row>
        <row r="213">
          <cell r="D213">
            <v>2673.2272727272725</v>
          </cell>
          <cell r="X213">
            <v>28.314552783211351</v>
          </cell>
        </row>
        <row r="214">
          <cell r="D214">
            <v>2775.3333333333335</v>
          </cell>
          <cell r="X214">
            <v>29.929849540045236</v>
          </cell>
        </row>
        <row r="215">
          <cell r="D215">
            <v>2748.7619047619046</v>
          </cell>
          <cell r="X215">
            <v>29.487904649755954</v>
          </cell>
        </row>
        <row r="216">
          <cell r="D216">
            <v>2713</v>
          </cell>
          <cell r="X216">
            <v>29.507730552284276</v>
          </cell>
        </row>
        <row r="217">
          <cell r="D217">
            <v>2501.7894736842104</v>
          </cell>
          <cell r="X217">
            <v>27.847894236298639</v>
          </cell>
        </row>
        <row r="218">
          <cell r="D218">
            <v>2533</v>
          </cell>
          <cell r="X218">
            <v>29.054520422360703</v>
          </cell>
        </row>
        <row r="219">
          <cell r="D219">
            <v>2507.1176470588234</v>
          </cell>
          <cell r="X219">
            <v>29.07154439086337</v>
          </cell>
        </row>
        <row r="220">
          <cell r="D220">
            <v>2436.0476190476193</v>
          </cell>
          <cell r="X220">
            <v>28.309686047422062</v>
          </cell>
        </row>
        <row r="221">
          <cell r="D221">
            <v>2419.5714285714284</v>
          </cell>
          <cell r="X221">
            <v>28.248062820544678</v>
          </cell>
        </row>
        <row r="222">
          <cell r="D222">
            <v>2420.294117647059</v>
          </cell>
          <cell r="X222">
            <v>27.711414386610038</v>
          </cell>
        </row>
        <row r="223">
          <cell r="D223">
            <v>2331.6</v>
          </cell>
          <cell r="X223">
            <v>26.455787876954997</v>
          </cell>
        </row>
        <row r="224">
          <cell r="D224">
            <v>2211.6190476190477</v>
          </cell>
          <cell r="X224">
            <v>24.783811262716409</v>
          </cell>
        </row>
        <row r="225">
          <cell r="D225">
            <v>2222.6190476190477</v>
          </cell>
          <cell r="X225">
            <v>24.645110529033278</v>
          </cell>
        </row>
        <row r="226">
          <cell r="D226">
            <v>2208.3125</v>
          </cell>
          <cell r="X226">
            <v>24.204469492076978</v>
          </cell>
        </row>
        <row r="227">
          <cell r="D227">
            <v>2197.9565217391305</v>
          </cell>
          <cell r="X227">
            <v>23.98439479051769</v>
          </cell>
        </row>
        <row r="228">
          <cell r="D228">
            <v>2035.578947368421</v>
          </cell>
          <cell r="X228">
            <v>22.075147832850618</v>
          </cell>
        </row>
        <row r="229">
          <cell r="D229">
            <v>2079.3000000000002</v>
          </cell>
          <cell r="X229">
            <v>22.624566418741566</v>
          </cell>
        </row>
        <row r="230">
          <cell r="D230">
            <v>2217.5238095238096</v>
          </cell>
          <cell r="X230">
            <v>24.443202095215742</v>
          </cell>
        </row>
        <row r="231">
          <cell r="D231">
            <v>2246.0666666666666</v>
          </cell>
          <cell r="X231">
            <v>25.01605824956124</v>
          </cell>
        </row>
        <row r="232">
          <cell r="D232">
            <v>2130.0476190476193</v>
          </cell>
          <cell r="X232">
            <v>23.698944378861071</v>
          </cell>
        </row>
        <row r="233">
          <cell r="D233">
            <v>2165.1428571428573</v>
          </cell>
          <cell r="X233">
            <v>23.88668206527424</v>
          </cell>
        </row>
        <row r="234">
          <cell r="D234">
            <v>2037.7368421052631</v>
          </cell>
          <cell r="X234">
            <v>22.176748565339338</v>
          </cell>
        </row>
        <row r="235">
          <cell r="D235">
            <v>2005.7777777777778</v>
          </cell>
          <cell r="X235">
            <v>21.881459379761434</v>
          </cell>
        </row>
        <row r="236">
          <cell r="D236">
            <v>1985.7619047619048</v>
          </cell>
          <cell r="X236">
            <v>21.85213622421788</v>
          </cell>
        </row>
        <row r="237">
          <cell r="D237">
            <v>2181.4285714285716</v>
          </cell>
          <cell r="X237">
            <v>23.635102988294861</v>
          </cell>
        </row>
        <row r="238">
          <cell r="D238">
            <v>2195</v>
          </cell>
          <cell r="X238">
            <v>23.802141884518175</v>
          </cell>
        </row>
        <row r="239">
          <cell r="D239">
            <v>2260.8636363636365</v>
          </cell>
          <cell r="X239">
            <v>24.498929918816124</v>
          </cell>
        </row>
        <row r="240">
          <cell r="D240">
            <v>2615.8000000000002</v>
          </cell>
          <cell r="X240">
            <v>28.558325445473336</v>
          </cell>
        </row>
        <row r="241">
          <cell r="D241">
            <v>2896.5238095238096</v>
          </cell>
          <cell r="X241">
            <v>31.700519753520798</v>
          </cell>
        </row>
        <row r="242">
          <cell r="D242">
            <v>2930.1</v>
          </cell>
          <cell r="X242">
            <v>32.586547093661927</v>
          </cell>
        </row>
        <row r="243">
          <cell r="D243">
            <v>2620.8421052631579</v>
          </cell>
          <cell r="X243">
            <v>28.574468803936682</v>
          </cell>
        </row>
        <row r="244">
          <cell r="D244">
            <v>2343.5454545454545</v>
          </cell>
          <cell r="X244">
            <v>24.753303883061804</v>
          </cell>
        </row>
        <row r="245">
          <cell r="D245">
            <v>2192</v>
          </cell>
          <cell r="X245">
            <v>22.858821540616862</v>
          </cell>
        </row>
        <row r="246">
          <cell r="D246">
            <v>2111.6875</v>
          </cell>
          <cell r="X246">
            <v>22.077715146371016</v>
          </cell>
        </row>
        <row r="247">
          <cell r="D247">
            <v>2371.7619047619046</v>
          </cell>
          <cell r="X247">
            <v>25.176980276980949</v>
          </cell>
        </row>
        <row r="248">
          <cell r="D248">
            <v>2539.8571428571427</v>
          </cell>
          <cell r="X248">
            <v>27.039587069844771</v>
          </cell>
        </row>
        <row r="249">
          <cell r="D249">
            <v>2701.7368421052633</v>
          </cell>
          <cell r="X249">
            <v>29.282032433617726</v>
          </cell>
        </row>
        <row r="250">
          <cell r="D250">
            <v>2858.7619047619046</v>
          </cell>
          <cell r="X250">
            <v>31.261280071326013</v>
          </cell>
        </row>
        <row r="251">
          <cell r="D251">
            <v>2909.0952380952381</v>
          </cell>
          <cell r="X251">
            <v>31.802832862944094</v>
          </cell>
        </row>
        <row r="252">
          <cell r="D252">
            <v>3259.4285714285716</v>
          </cell>
          <cell r="X252">
            <v>35.984907918466668</v>
          </cell>
        </row>
        <row r="253">
          <cell r="D253">
            <v>3438.318181818182</v>
          </cell>
          <cell r="X253">
            <v>38.468536895250743</v>
          </cell>
        </row>
        <row r="254">
          <cell r="D254">
            <v>3509</v>
          </cell>
          <cell r="X254">
            <v>39.424419197056295</v>
          </cell>
        </row>
        <row r="255">
          <cell r="D255">
            <v>3544.9444444444443</v>
          </cell>
          <cell r="X255">
            <v>39.761982724797612</v>
          </cell>
        </row>
        <row r="256">
          <cell r="D256">
            <v>3830.217391304348</v>
          </cell>
          <cell r="X256">
            <v>42.288377907121905</v>
          </cell>
        </row>
        <row r="257">
          <cell r="D257">
            <v>3815.9047619047619</v>
          </cell>
          <cell r="X257">
            <v>42.002719058576254</v>
          </cell>
        </row>
        <row r="258">
          <cell r="D258">
            <v>4159.2222222222226</v>
          </cell>
          <cell r="X258">
            <v>45.733188332906501</v>
          </cell>
        </row>
        <row r="259">
          <cell r="D259" t="e">
            <v>#NAME?</v>
          </cell>
          <cell r="X259">
            <v>40.053925192383936</v>
          </cell>
        </row>
        <row r="260">
          <cell r="D260">
            <v>4067.7619047619046</v>
          </cell>
          <cell r="X260">
            <v>43.924257298338432</v>
          </cell>
        </row>
        <row r="261">
          <cell r="D261">
            <v>4317.8</v>
          </cell>
          <cell r="X261">
            <v>46.419404869236828</v>
          </cell>
        </row>
        <row r="262">
          <cell r="D262">
            <v>4353.4285714285716</v>
          </cell>
          <cell r="X262">
            <v>47.398494147617861</v>
          </cell>
        </row>
        <row r="263">
          <cell r="D263">
            <v>4898.3</v>
          </cell>
          <cell r="X263">
            <v>53.390141097956608</v>
          </cell>
        </row>
        <row r="264">
          <cell r="D264">
            <v>4902.2857142857147</v>
          </cell>
          <cell r="X264">
            <v>53.223160726965055</v>
          </cell>
        </row>
        <row r="265">
          <cell r="D265">
            <v>4635.636363636364</v>
          </cell>
          <cell r="X265">
            <v>49.972440247078268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 Data"/>
      <sheetName val="Cash Prices"/>
      <sheetName val="Futures Averages"/>
      <sheetName val="Spreads Averages"/>
      <sheetName val="SU in Aug"/>
      <sheetName val="SX in Sep"/>
      <sheetName val="SX in Oct"/>
      <sheetName val="SF in Nov"/>
      <sheetName val="SF in Dec"/>
      <sheetName val="SH in Jan"/>
      <sheetName val="SH in Feb"/>
      <sheetName val="SK in Mar"/>
      <sheetName val="SK in Apr"/>
      <sheetName val="SN in May"/>
      <sheetName val="SN in Jun"/>
      <sheetName val="SQ in Jul"/>
      <sheetName val="SN-SX in May"/>
      <sheetName val="SN-SX in Jun"/>
    </sheetNames>
    <sheetDataSet>
      <sheetData sheetId="0"/>
      <sheetData sheetId="1"/>
      <sheetData sheetId="2">
        <row r="118">
          <cell r="K118">
            <v>10.098867786466165</v>
          </cell>
          <cell r="L118">
            <v>9.9413898046301519</v>
          </cell>
        </row>
        <row r="177">
          <cell r="K177">
            <v>7.6482237864661666</v>
          </cell>
          <cell r="L177">
            <v>7.5095138046301546</v>
          </cell>
        </row>
        <row r="294">
          <cell r="K294">
            <v>9.3896907545161135</v>
          </cell>
          <cell r="L294">
            <v>9.9402484956659833</v>
          </cell>
        </row>
        <row r="352">
          <cell r="K352">
            <v>8.3936827545161155</v>
          </cell>
          <cell r="L352">
            <v>8.8410132956659808</v>
          </cell>
        </row>
        <row r="468">
          <cell r="K468">
            <v>9.9315489002506272</v>
          </cell>
          <cell r="L468">
            <v>9.9879606315789484</v>
          </cell>
        </row>
        <row r="526">
          <cell r="K526">
            <v>8.7156089002506292</v>
          </cell>
          <cell r="L526">
            <v>8.5171326315789511</v>
          </cell>
        </row>
        <row r="640">
          <cell r="K640">
            <v>10.420342661396573</v>
          </cell>
          <cell r="L640">
            <v>10.475040380952384</v>
          </cell>
        </row>
        <row r="697">
          <cell r="K697">
            <v>9.4549226613965711</v>
          </cell>
          <cell r="L697">
            <v>9.2445565675398118</v>
          </cell>
        </row>
        <row r="812">
          <cell r="K812">
            <v>10.749146873093816</v>
          </cell>
          <cell r="L812">
            <v>10.992937807844571</v>
          </cell>
        </row>
        <row r="870">
          <cell r="K870">
            <v>9.6154628730938168</v>
          </cell>
          <cell r="L870">
            <v>9.322205807844572</v>
          </cell>
        </row>
        <row r="988">
          <cell r="L988">
            <v>10.448846034285713</v>
          </cell>
        </row>
        <row r="1047">
          <cell r="L1047">
            <v>8.6724756342857123</v>
          </cell>
        </row>
        <row r="1164">
          <cell r="L1164">
            <v>10.264773818543198</v>
          </cell>
        </row>
        <row r="1222">
          <cell r="L1222">
            <v>8.4210370185431938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</sheetNames>
    <sheetDataSet>
      <sheetData sheetId="0"/>
      <sheetData sheetId="1"/>
      <sheetData sheetId="2"/>
      <sheetData sheetId="3"/>
      <sheetData sheetId="4"/>
      <sheetData sheetId="5">
        <row r="4">
          <cell r="BB4">
            <v>77.197999999999993</v>
          </cell>
          <cell r="BC4">
            <v>76.84</v>
          </cell>
          <cell r="BD4">
            <v>83.275999999999996</v>
          </cell>
          <cell r="BE4">
            <v>82.65</v>
          </cell>
          <cell r="BF4">
            <v>83.453000000000003</v>
          </cell>
          <cell r="BG4">
            <v>90.162000000000006</v>
          </cell>
          <cell r="BH4">
            <v>89.167000000000002</v>
          </cell>
          <cell r="BI4">
            <v>76.099999999999994</v>
          </cell>
          <cell r="BJ4">
            <v>83.353999999999999</v>
          </cell>
          <cell r="BK4">
            <v>87.194999999999993</v>
          </cell>
          <cell r="BL4">
            <v>87.45</v>
          </cell>
          <cell r="BM4">
            <v>83.6</v>
          </cell>
          <cell r="BN4">
            <v>87.05</v>
          </cell>
          <cell r="BO4">
            <v>83.38</v>
          </cell>
          <cell r="BP4">
            <v>84</v>
          </cell>
          <cell r="BQ4">
            <v>83</v>
          </cell>
          <cell r="BR4">
            <v>82</v>
          </cell>
          <cell r="BS4">
            <v>89</v>
          </cell>
          <cell r="BT4">
            <v>90</v>
          </cell>
          <cell r="BU4">
            <v>91</v>
          </cell>
          <cell r="BV4">
            <v>91</v>
          </cell>
          <cell r="BW4">
            <v>91</v>
          </cell>
        </row>
        <row r="38">
          <cell r="BQ38">
            <v>28816.815149647045</v>
          </cell>
          <cell r="BR38">
            <v>29520.622336021879</v>
          </cell>
          <cell r="BS38">
            <v>30120.771723923892</v>
          </cell>
          <cell r="BT38">
            <v>31694.097602503301</v>
          </cell>
          <cell r="BU38">
            <v>33215.028199272863</v>
          </cell>
          <cell r="BV38">
            <v>33976.783637275941</v>
          </cell>
          <cell r="BW38">
            <v>36182.002162999044</v>
          </cell>
          <cell r="BX38">
            <v>37226.76566332682</v>
          </cell>
          <cell r="BY38">
            <v>34506.052416032762</v>
          </cell>
        </row>
        <row r="46">
          <cell r="BQ46">
            <v>75.708670842373479</v>
          </cell>
          <cell r="BR46">
            <v>72.415560815166131</v>
          </cell>
          <cell r="BS46">
            <v>71.121749374463036</v>
          </cell>
          <cell r="BT46">
            <v>63.67760568185583</v>
          </cell>
          <cell r="BU46">
            <v>55.477287920949585</v>
          </cell>
          <cell r="BV46">
            <v>66.07328103803583</v>
          </cell>
          <cell r="BW46">
            <v>64.366081633516544</v>
          </cell>
          <cell r="BX46">
            <v>49.152115356127695</v>
          </cell>
          <cell r="BY46">
            <v>32.954541260356315</v>
          </cell>
        </row>
        <row r="499">
          <cell r="BO499">
            <v>27.672909655195454</v>
          </cell>
        </row>
        <row r="500">
          <cell r="BO500">
            <v>22.392732163084169</v>
          </cell>
        </row>
        <row r="501">
          <cell r="BO501">
            <v>33.226841854807127</v>
          </cell>
        </row>
        <row r="502">
          <cell r="BO502">
            <v>34.049796707319658</v>
          </cell>
        </row>
        <row r="503">
          <cell r="BO503">
            <v>39.047060250205405</v>
          </cell>
        </row>
        <row r="504">
          <cell r="BN504">
            <v>23.39875791618422</v>
          </cell>
        </row>
        <row r="505">
          <cell r="BN505">
            <v>22.821786446266159</v>
          </cell>
        </row>
        <row r="506">
          <cell r="BN506">
            <v>24.078962293710557</v>
          </cell>
        </row>
        <row r="507">
          <cell r="BN507">
            <v>33.178512235280387</v>
          </cell>
        </row>
        <row r="508">
          <cell r="BN508">
            <v>28.005824514544969</v>
          </cell>
        </row>
        <row r="509">
          <cell r="BN509">
            <v>34.175981385336904</v>
          </cell>
        </row>
        <row r="526">
          <cell r="BN526">
            <v>48.605737367285641</v>
          </cell>
          <cell r="BO526">
            <v>80.82626973927394</v>
          </cell>
          <cell r="BP526">
            <v>79.205512712861463</v>
          </cell>
          <cell r="BQ526">
            <v>73.881317004327002</v>
          </cell>
          <cell r="BR526">
            <v>70.469458896186154</v>
          </cell>
          <cell r="BS526">
            <v>71.209861702462291</v>
          </cell>
          <cell r="BT526">
            <v>61.965448250192537</v>
          </cell>
          <cell r="BU526">
            <v>55.610310718966204</v>
          </cell>
          <cell r="BV526">
            <v>63.09927214190138</v>
          </cell>
          <cell r="BW526">
            <v>60.893132539188642</v>
          </cell>
          <cell r="BX526">
            <v>53.307692020173846</v>
          </cell>
          <cell r="BY526">
            <v>34.006294231800688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48">
          <cell r="BL448">
            <v>59.847999999999999</v>
          </cell>
          <cell r="BM448">
            <v>57.856000000000002</v>
          </cell>
          <cell r="BN448">
            <v>27.056000000000001</v>
          </cell>
        </row>
        <row r="449">
          <cell r="BL449">
            <v>61.701000000000001</v>
          </cell>
          <cell r="BM449">
            <v>74.387</v>
          </cell>
          <cell r="BN449">
            <v>39.905000000000001</v>
          </cell>
        </row>
        <row r="450">
          <cell r="BL450">
            <v>87.566999999999993</v>
          </cell>
          <cell r="BM450">
            <v>92.734999999999999</v>
          </cell>
          <cell r="BN450">
            <v>28.529</v>
          </cell>
        </row>
        <row r="451">
          <cell r="BL451">
            <v>81.224000000000004</v>
          </cell>
          <cell r="BM451">
            <v>74.296999999999997</v>
          </cell>
          <cell r="BN451">
            <v>34.773000000000003</v>
          </cell>
        </row>
        <row r="452">
          <cell r="BL452">
            <v>70.893000000000001</v>
          </cell>
          <cell r="BM452">
            <v>57.5</v>
          </cell>
          <cell r="BN452">
            <v>126.74545722610721</v>
          </cell>
        </row>
        <row r="453">
          <cell r="BL453">
            <v>74.091999999999999</v>
          </cell>
          <cell r="BM453">
            <v>58.930999999999997</v>
          </cell>
          <cell r="BN453">
            <v>126.4029669515988</v>
          </cell>
        </row>
        <row r="454">
          <cell r="BL454">
            <v>66.314999999999998</v>
          </cell>
          <cell r="BM454">
            <v>49.27</v>
          </cell>
          <cell r="BN454">
            <v>110.07324533114669</v>
          </cell>
        </row>
        <row r="455">
          <cell r="BL455">
            <v>71.325999999999993</v>
          </cell>
          <cell r="BM455">
            <v>51.295999999999999</v>
          </cell>
          <cell r="BN455">
            <v>89.441038117173989</v>
          </cell>
        </row>
        <row r="456">
          <cell r="BL456">
            <v>71.429000000000002</v>
          </cell>
          <cell r="BM456">
            <v>53.292000000000002</v>
          </cell>
          <cell r="BN456">
            <v>90.414747432273415</v>
          </cell>
        </row>
        <row r="457">
          <cell r="BK457">
            <v>51.057000000000002</v>
          </cell>
          <cell r="BL457">
            <v>46.087000000000003</v>
          </cell>
          <cell r="BM457">
            <v>41.914000000000001</v>
          </cell>
          <cell r="BN457">
            <v>140.63684949519299</v>
          </cell>
        </row>
        <row r="458">
          <cell r="BK458">
            <v>47.622999999999998</v>
          </cell>
          <cell r="BL458">
            <v>44.484000000000002</v>
          </cell>
          <cell r="BM458">
            <v>28.298999999999999</v>
          </cell>
          <cell r="BN458">
            <v>172.48503008433505</v>
          </cell>
        </row>
        <row r="459">
          <cell r="BK459">
            <v>61.082000000000001</v>
          </cell>
          <cell r="BL459">
            <v>59.189</v>
          </cell>
          <cell r="BM459">
            <v>32.204999999999998</v>
          </cell>
          <cell r="BN459">
            <v>120.52850515260913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 (2)"/>
      <sheetName val="Chart1"/>
      <sheetName val="Chart17"/>
      <sheetName val="Chart20"/>
      <sheetName val="Spreads"/>
      <sheetName val="Chart9"/>
      <sheetName val="Monthly Data"/>
      <sheetName val="Chart2"/>
      <sheetName val="Chart3"/>
      <sheetName val="Chart4"/>
      <sheetName val="Chart5"/>
      <sheetName val="Arg Monthly SBO Price Comp"/>
      <sheetName val="Chart6"/>
      <sheetName val="Chart7"/>
      <sheetName val="Chart8"/>
      <sheetName val="Argentina Cash"/>
      <sheetName val="Brazil Cash"/>
      <sheetName val="Chart10"/>
      <sheetName val="Chart11"/>
      <sheetName val="Chart12"/>
      <sheetName val="Chart13"/>
      <sheetName val="Chart14"/>
      <sheetName val="Chart15"/>
      <sheetName val="Chart16"/>
      <sheetName val="Argy vs. SBO"/>
      <sheetName val="Argy Monthly SBO Basis"/>
      <sheetName val="Argy Daily SBO Basis"/>
      <sheetName val="Chart18"/>
      <sheetName val="Chart19"/>
      <sheetName val="Chart38"/>
      <sheetName val="Sheet1"/>
      <sheetName val="Old Veg Oil Spreads File - add "/>
    </sheetNames>
    <sheetDataSet>
      <sheetData sheetId="0"/>
      <sheetData sheetId="1"/>
      <sheetData sheetId="2"/>
      <sheetData sheetId="3"/>
      <sheetData sheetId="4"/>
      <sheetData sheetId="5"/>
      <sheetData sheetId="6">
        <row r="49">
          <cell r="F49">
            <v>84.172857142857154</v>
          </cell>
        </row>
        <row r="50">
          <cell r="F50">
            <v>91.439047619047614</v>
          </cell>
        </row>
        <row r="51">
          <cell r="F51">
            <v>78.703809523809525</v>
          </cell>
        </row>
        <row r="52">
          <cell r="F52">
            <v>74.771500000000003</v>
          </cell>
        </row>
        <row r="53">
          <cell r="F53">
            <v>71.927894736842092</v>
          </cell>
        </row>
        <row r="54">
          <cell r="F54">
            <v>68.043478260869549</v>
          </cell>
        </row>
        <row r="55">
          <cell r="F55">
            <v>66.049473684210511</v>
          </cell>
        </row>
        <row r="56">
          <cell r="F56">
            <v>63.129090909090912</v>
          </cell>
        </row>
        <row r="57">
          <cell r="F57">
            <v>71.920476190476194</v>
          </cell>
        </row>
        <row r="58">
          <cell r="F58">
            <v>83.214999999999989</v>
          </cell>
        </row>
        <row r="59">
          <cell r="F59">
            <v>79.824782608695656</v>
          </cell>
        </row>
        <row r="60">
          <cell r="F60">
            <v>74.341499999999982</v>
          </cell>
          <cell r="EH60">
            <v>13.340275</v>
          </cell>
        </row>
        <row r="61">
          <cell r="F61">
            <v>65.709090909090918</v>
          </cell>
          <cell r="K61">
            <v>58.163636363636378</v>
          </cell>
          <cell r="EE61">
            <v>430.15</v>
          </cell>
          <cell r="EH61">
            <v>12.700249999999999</v>
          </cell>
        </row>
        <row r="62">
          <cell r="F62">
            <v>63.272619047619052</v>
          </cell>
          <cell r="K62">
            <v>55.421428571428564</v>
          </cell>
          <cell r="EE62">
            <v>496.79523809523812</v>
          </cell>
          <cell r="EH62">
            <v>13.470238095238098</v>
          </cell>
        </row>
        <row r="63">
          <cell r="F63">
            <v>60.323</v>
          </cell>
          <cell r="K63">
            <v>52.085500000000003</v>
          </cell>
          <cell r="EE63">
            <v>442.3</v>
          </cell>
          <cell r="EH63">
            <v>13.045750000000002</v>
          </cell>
        </row>
        <row r="64">
          <cell r="F64">
            <v>56.135714285714279</v>
          </cell>
          <cell r="K64">
            <v>48.421428571428564</v>
          </cell>
          <cell r="EE64">
            <v>400.99523809523805</v>
          </cell>
          <cell r="EH64">
            <v>12.331785714285715</v>
          </cell>
        </row>
        <row r="65">
          <cell r="F65">
            <v>53.089999999999996</v>
          </cell>
          <cell r="K65">
            <v>43.989999999999995</v>
          </cell>
          <cell r="EE65">
            <v>389.42</v>
          </cell>
          <cell r="EH65">
            <v>11.743875000000001</v>
          </cell>
        </row>
        <row r="66">
          <cell r="F66">
            <v>53.306499999999993</v>
          </cell>
          <cell r="K66">
            <v>44.856499999999997</v>
          </cell>
          <cell r="EE66">
            <v>381.83499999999998</v>
          </cell>
          <cell r="EH66">
            <v>11.897375</v>
          </cell>
        </row>
        <row r="67">
          <cell r="F67">
            <v>50.796818181818168</v>
          </cell>
          <cell r="K67">
            <v>43.149090909090894</v>
          </cell>
          <cell r="EE67">
            <v>363.91363636363633</v>
          </cell>
          <cell r="EH67">
            <v>11.706136363636364</v>
          </cell>
        </row>
        <row r="68">
          <cell r="K68">
            <v>41.839545454545451</v>
          </cell>
          <cell r="EE68">
            <v>394.77272727272737</v>
          </cell>
          <cell r="EH68">
            <v>12.282045454545456</v>
          </cell>
        </row>
        <row r="69">
          <cell r="K69">
            <v>42.101578947368424</v>
          </cell>
          <cell r="EE69">
            <v>384.95789473684221</v>
          </cell>
          <cell r="EH69">
            <v>11.91013157894737</v>
          </cell>
        </row>
        <row r="70">
          <cell r="K70">
            <v>47.479090909090907</v>
          </cell>
          <cell r="EE70">
            <v>390.59090909090907</v>
          </cell>
          <cell r="EH70">
            <v>11.48068181818182</v>
          </cell>
        </row>
        <row r="71">
          <cell r="K71">
            <v>42.688571428571422</v>
          </cell>
          <cell r="EE71">
            <v>353.94761904761907</v>
          </cell>
          <cell r="EH71">
            <v>10.119642857142855</v>
          </cell>
        </row>
        <row r="72">
          <cell r="K72">
            <v>42.549300000000002</v>
          </cell>
          <cell r="EE72">
            <v>347.70500000000004</v>
          </cell>
          <cell r="EH72">
            <v>10.019500000000001</v>
          </cell>
        </row>
        <row r="73">
          <cell r="K73">
            <v>43.915900000000001</v>
          </cell>
          <cell r="EE73">
            <v>346.84380445998039</v>
          </cell>
          <cell r="EH73">
            <v>9.9378260869565231</v>
          </cell>
        </row>
        <row r="74">
          <cell r="K74">
            <v>45.168500000000002</v>
          </cell>
          <cell r="EE74">
            <v>309.65999999999997</v>
          </cell>
          <cell r="EH74">
            <v>10.043499999999998</v>
          </cell>
        </row>
        <row r="75">
          <cell r="K75">
            <v>40.866199999999999</v>
          </cell>
          <cell r="EE75">
            <v>292.09523809523807</v>
          </cell>
          <cell r="EH75">
            <v>9.8849999999999998</v>
          </cell>
        </row>
        <row r="76">
          <cell r="K76">
            <v>42.93</v>
          </cell>
          <cell r="EE76">
            <v>295.09090909090912</v>
          </cell>
          <cell r="EH76">
            <v>10.284886363636366</v>
          </cell>
        </row>
        <row r="77">
          <cell r="K77">
            <v>44.67</v>
          </cell>
          <cell r="EE77">
            <v>284.43999999999994</v>
          </cell>
          <cell r="EH77">
            <v>10.255875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#REF!</fb>
    <v>10</v>
    <v>38</v>
  </rv>
  <rv s="1">
    <v>10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ams.usda.gov/mnreports/gx_gr117.txt%20-%20discontinued%20Jul%202022" TargetMode="External"/><Relationship Id="rId1" Type="http://schemas.openxmlformats.org/officeDocument/2006/relationships/hyperlink" Target="https://mymarketnews.ams.usda.gov/public_data?slug_id=3192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FE45-3D08-4368-A20E-96BC9F816EB2}">
  <dimension ref="A1:AE50"/>
  <sheetViews>
    <sheetView topLeftCell="A28" workbookViewId="0">
      <selection activeCell="L965" sqref="L965"/>
    </sheetView>
  </sheetViews>
  <sheetFormatPr defaultColWidth="8.85546875" defaultRowHeight="15"/>
  <cols>
    <col min="3" max="3" width="2.140625" customWidth="1"/>
    <col min="4" max="4" width="8.85546875" style="10"/>
    <col min="7" max="7" width="2.140625" customWidth="1"/>
    <col min="11" max="11" width="2.140625" customWidth="1"/>
    <col min="16" max="16" width="9.7109375" bestFit="1" customWidth="1"/>
    <col min="17" max="17" width="9.85546875" bestFit="1" customWidth="1"/>
    <col min="19" max="19" width="9.7109375" bestFit="1" customWidth="1"/>
  </cols>
  <sheetData>
    <row r="1" spans="1:21">
      <c r="B1" s="1" t="s">
        <v>0</v>
      </c>
      <c r="C1" s="1"/>
      <c r="D1"/>
      <c r="E1" s="2"/>
      <c r="F1" s="2"/>
      <c r="G1" s="2"/>
      <c r="H1" s="2"/>
      <c r="I1" s="2"/>
      <c r="J1" s="2"/>
      <c r="K1" s="2"/>
      <c r="L1" s="3"/>
      <c r="M1" s="4"/>
    </row>
    <row r="2" spans="1:21">
      <c r="B2" s="5" t="s">
        <v>1</v>
      </c>
      <c r="C2" s="5"/>
      <c r="D2"/>
      <c r="E2" s="5" t="s">
        <v>2</v>
      </c>
      <c r="F2" s="5"/>
      <c r="G2" s="5"/>
      <c r="H2" s="5"/>
      <c r="I2" s="5" t="s">
        <v>3</v>
      </c>
      <c r="J2" s="5"/>
      <c r="K2" s="5"/>
      <c r="L2" s="5" t="s">
        <v>4</v>
      </c>
      <c r="M2" s="6" t="s">
        <v>5</v>
      </c>
      <c r="O2" s="7" t="s">
        <v>6</v>
      </c>
      <c r="P2" s="8">
        <v>43751</v>
      </c>
      <c r="T2" s="5" t="s">
        <v>7</v>
      </c>
    </row>
    <row r="3" spans="1:21">
      <c r="B3" s="5"/>
      <c r="C3" s="5"/>
      <c r="D3" s="5" t="s">
        <v>8</v>
      </c>
      <c r="E3" s="5" t="s">
        <v>9</v>
      </c>
      <c r="F3" s="5" t="s">
        <v>10</v>
      </c>
      <c r="G3" s="5"/>
      <c r="H3" s="5" t="s">
        <v>8</v>
      </c>
      <c r="I3" s="5" t="s">
        <v>9</v>
      </c>
      <c r="J3" s="5" t="s">
        <v>10</v>
      </c>
      <c r="K3" s="5"/>
      <c r="L3" s="5"/>
      <c r="M3" s="6"/>
      <c r="O3" s="7" t="s">
        <v>11</v>
      </c>
      <c r="P3" s="8" t="s">
        <v>12</v>
      </c>
      <c r="S3" s="5" t="s">
        <v>8</v>
      </c>
      <c r="T3" s="5" t="s">
        <v>13</v>
      </c>
      <c r="U3" s="5" t="s">
        <v>10</v>
      </c>
    </row>
    <row r="4" spans="1:21">
      <c r="A4" s="9">
        <v>43132</v>
      </c>
      <c r="B4" s="10" t="e">
        <f>Prices!B580</f>
        <v>#DIV/0!</v>
      </c>
      <c r="C4" s="10"/>
      <c r="E4" s="10">
        <f>Prices!C580</f>
        <v>360.51</v>
      </c>
      <c r="F4" s="10"/>
      <c r="G4" s="10"/>
      <c r="H4" s="10"/>
      <c r="I4" s="10">
        <f>Prices!D580</f>
        <v>32.18</v>
      </c>
      <c r="J4" s="10"/>
      <c r="K4" s="10"/>
      <c r="L4" s="10" t="e">
        <f>Prices!E581</f>
        <v>#DIV/0!</v>
      </c>
      <c r="M4" s="10" t="e">
        <f>Prices!F581</f>
        <v>#DIV/0!</v>
      </c>
    </row>
    <row r="5" spans="1:21">
      <c r="A5" s="9">
        <v>43160</v>
      </c>
      <c r="B5" s="10" t="e">
        <f>Prices!B581</f>
        <v>#DIV/0!</v>
      </c>
      <c r="C5" s="10"/>
      <c r="E5" s="10">
        <f>Prices!C581</f>
        <v>375.15</v>
      </c>
      <c r="F5" s="10"/>
      <c r="G5" s="10"/>
      <c r="H5" s="10"/>
      <c r="I5" s="10">
        <f>Prices!D581</f>
        <v>31.85</v>
      </c>
      <c r="J5" s="10"/>
      <c r="K5" s="10"/>
      <c r="L5" s="10" t="e">
        <f>Prices!E582</f>
        <v>#DIV/0!</v>
      </c>
      <c r="M5" s="10" t="e">
        <f>Prices!F582</f>
        <v>#DIV/0!</v>
      </c>
    </row>
    <row r="6" spans="1:21">
      <c r="A6" s="9">
        <v>43191</v>
      </c>
      <c r="B6" s="10" t="e">
        <f>Prices!B582</f>
        <v>#DIV/0!</v>
      </c>
      <c r="C6" s="10"/>
      <c r="E6" s="10">
        <f>Prices!C582</f>
        <v>380.78</v>
      </c>
      <c r="F6" s="10"/>
      <c r="G6" s="10"/>
      <c r="H6" s="10"/>
      <c r="I6" s="10">
        <f>Prices!D582</f>
        <v>31.35</v>
      </c>
      <c r="J6" s="10"/>
      <c r="K6" s="10"/>
      <c r="L6" s="10" t="e">
        <f>Prices!E583</f>
        <v>#DIV/0!</v>
      </c>
      <c r="M6" s="10" t="e">
        <f>Prices!F583</f>
        <v>#DIV/0!</v>
      </c>
    </row>
    <row r="7" spans="1:21">
      <c r="A7" s="9">
        <v>43221</v>
      </c>
      <c r="B7" s="10" t="e">
        <f>Prices!B583</f>
        <v>#DIV/0!</v>
      </c>
      <c r="C7" s="10"/>
      <c r="E7" s="10">
        <f>Prices!C583</f>
        <v>384.5</v>
      </c>
      <c r="F7" s="10"/>
      <c r="G7" s="10"/>
      <c r="H7" s="10"/>
      <c r="I7" s="10">
        <f>Prices!D583</f>
        <v>31</v>
      </c>
      <c r="J7" s="10"/>
      <c r="K7" s="10"/>
      <c r="L7" s="10" t="e">
        <f>Prices!E584</f>
        <v>#DIV/0!</v>
      </c>
      <c r="M7" s="10" t="e">
        <f>Prices!F584</f>
        <v>#DIV/0!</v>
      </c>
    </row>
    <row r="8" spans="1:21">
      <c r="A8" s="9">
        <v>43252</v>
      </c>
      <c r="B8" s="10" t="e">
        <f>Prices!B584</f>
        <v>#DIV/0!</v>
      </c>
      <c r="C8" s="10"/>
      <c r="E8" s="10">
        <f>Prices!C584</f>
        <v>345.95</v>
      </c>
      <c r="F8" s="10"/>
      <c r="G8" s="10"/>
      <c r="H8" s="10"/>
      <c r="I8" s="10">
        <f>Prices!D584</f>
        <v>29.82</v>
      </c>
      <c r="J8" s="10"/>
      <c r="K8" s="10"/>
      <c r="L8" s="10" t="e">
        <f>Prices!E585</f>
        <v>#DIV/0!</v>
      </c>
      <c r="M8" s="10" t="e">
        <f>Prices!F585</f>
        <v>#DIV/0!</v>
      </c>
    </row>
    <row r="9" spans="1:21">
      <c r="A9" s="9">
        <v>43282</v>
      </c>
      <c r="B9" s="10" t="e">
        <f>Prices!B585</f>
        <v>#DIV/0!</v>
      </c>
      <c r="C9" s="10"/>
      <c r="E9" s="10">
        <f>Prices!C585</f>
        <v>330.37</v>
      </c>
      <c r="F9" s="10"/>
      <c r="G9" s="10"/>
      <c r="H9" s="10"/>
      <c r="I9" s="10">
        <f>Prices!D585</f>
        <v>28.36</v>
      </c>
      <c r="J9" s="10"/>
      <c r="K9" s="10"/>
      <c r="L9" s="10" t="e">
        <f>Prices!E586</f>
        <v>#DIV/0!</v>
      </c>
      <c r="M9" s="10" t="e">
        <f>Prices!F586</f>
        <v>#DIV/0!</v>
      </c>
    </row>
    <row r="10" spans="1:21">
      <c r="A10" s="9">
        <v>43313</v>
      </c>
      <c r="B10" s="10" t="e">
        <f>Prices!B586</f>
        <v>#DIV/0!</v>
      </c>
      <c r="C10" s="10"/>
      <c r="E10" s="10">
        <f>Prices!C586</f>
        <v>322.5</v>
      </c>
      <c r="F10" s="10"/>
      <c r="G10" s="10"/>
      <c r="H10" s="10"/>
      <c r="I10" s="10">
        <f>Prices!D586</f>
        <v>28.33</v>
      </c>
      <c r="J10" s="10"/>
      <c r="K10" s="10"/>
      <c r="L10" s="10" t="e">
        <f>Prices!E587</f>
        <v>#DIV/0!</v>
      </c>
      <c r="M10" s="10" t="e">
        <f>Prices!F587</f>
        <v>#DIV/0!</v>
      </c>
      <c r="S10" s="11"/>
      <c r="T10" s="12"/>
    </row>
    <row r="11" spans="1:21">
      <c r="A11" s="9">
        <v>43344</v>
      </c>
      <c r="B11" s="10" t="e">
        <f>Prices!B587</f>
        <v>#DIV/0!</v>
      </c>
      <c r="C11" s="10"/>
      <c r="E11" s="10">
        <f>Prices!C587</f>
        <v>311.51</v>
      </c>
      <c r="F11" s="10"/>
      <c r="G11" s="10"/>
      <c r="H11" s="10"/>
      <c r="I11" s="10">
        <f>Prices!D587</f>
        <v>28.26</v>
      </c>
      <c r="J11" s="10"/>
      <c r="K11" s="10"/>
      <c r="L11" s="10" t="e">
        <f>Prices!E588</f>
        <v>#DIV/0!</v>
      </c>
      <c r="M11" s="10" t="e">
        <f>Prices!F588</f>
        <v>#DIV/0!</v>
      </c>
      <c r="S11" s="11"/>
      <c r="T11" s="12"/>
    </row>
    <row r="12" spans="1:21">
      <c r="A12" s="9">
        <v>43374</v>
      </c>
      <c r="B12" s="10" t="e">
        <f>Prices!B588</f>
        <v>#DIV/0!</v>
      </c>
      <c r="C12" s="10"/>
      <c r="E12" s="10">
        <f>Prices!C588</f>
        <v>313.95217391304357</v>
      </c>
      <c r="F12" s="10"/>
      <c r="G12" s="10"/>
      <c r="H12" s="10"/>
      <c r="I12" s="10">
        <f>Prices!D588</f>
        <v>29.051739130434775</v>
      </c>
      <c r="J12" s="10"/>
      <c r="K12" s="10"/>
      <c r="L12" s="10" t="e">
        <f>Prices!E589</f>
        <v>#DIV/0!</v>
      </c>
      <c r="M12" s="10" t="e">
        <f>Prices!F589</f>
        <v>#DIV/0!</v>
      </c>
    </row>
    <row r="13" spans="1:21">
      <c r="A13" s="9">
        <v>43405</v>
      </c>
      <c r="B13" s="10" t="e">
        <f>Prices!B589</f>
        <v>#DIV/0!</v>
      </c>
      <c r="C13" s="10"/>
      <c r="E13" s="10">
        <f>Prices!C589</f>
        <v>307.31</v>
      </c>
      <c r="F13" s="10"/>
      <c r="G13" s="10"/>
      <c r="H13" s="10"/>
      <c r="I13" s="10">
        <f>Prices!D589</f>
        <v>27.69</v>
      </c>
      <c r="J13" s="10"/>
      <c r="K13" s="10"/>
      <c r="L13" s="10" t="e">
        <f>Prices!E590</f>
        <v>#DIV/0!</v>
      </c>
      <c r="M13" s="10" t="e">
        <f>Prices!F590</f>
        <v>#DIV/0!</v>
      </c>
    </row>
    <row r="14" spans="1:21">
      <c r="A14" s="9">
        <v>43435</v>
      </c>
      <c r="B14" s="10" t="e">
        <f>Prices!B590</f>
        <v>#DIV/0!</v>
      </c>
      <c r="C14" s="10"/>
      <c r="E14" s="10">
        <f>Prices!C590</f>
        <v>309.31</v>
      </c>
      <c r="F14" s="10"/>
      <c r="G14" s="10"/>
      <c r="H14" s="10"/>
      <c r="I14" s="10">
        <f>Prices!D590</f>
        <v>28.32</v>
      </c>
      <c r="J14" s="10"/>
      <c r="K14" s="10"/>
      <c r="L14" s="10" t="e">
        <f>Prices!E591</f>
        <v>#DIV/0!</v>
      </c>
      <c r="M14" s="10" t="e">
        <f>Prices!F591</f>
        <v>#DIV/0!</v>
      </c>
    </row>
    <row r="15" spans="1:21">
      <c r="A15" s="9">
        <v>43466</v>
      </c>
      <c r="B15" s="10" t="e">
        <f>Prices!B591</f>
        <v>#DIV/0!</v>
      </c>
      <c r="C15" s="10"/>
      <c r="E15" s="10">
        <f>Prices!C591</f>
        <v>314.51904761904763</v>
      </c>
      <c r="F15" s="10"/>
      <c r="G15" s="10"/>
      <c r="H15" s="10"/>
      <c r="I15" s="10">
        <f>Prices!D591</f>
        <v>29.000952380952373</v>
      </c>
      <c r="J15" s="10"/>
      <c r="K15" s="10"/>
      <c r="L15" s="10" t="e">
        <f>Prices!E592</f>
        <v>#DIV/0!</v>
      </c>
      <c r="M15" s="10" t="e">
        <f>Prices!F592</f>
        <v>#DIV/0!</v>
      </c>
    </row>
    <row r="16" spans="1:21">
      <c r="A16" s="9">
        <v>43497</v>
      </c>
      <c r="B16" s="10" t="e">
        <f>Prices!B592</f>
        <v>#DIV/0!</v>
      </c>
      <c r="C16" s="10"/>
      <c r="E16" s="10">
        <f>Prices!C592</f>
        <v>306.67</v>
      </c>
      <c r="F16" s="10"/>
      <c r="G16" s="10"/>
      <c r="H16" s="10"/>
      <c r="I16" s="10">
        <f>Prices!D592</f>
        <v>30.23</v>
      </c>
      <c r="J16" s="10"/>
      <c r="K16" s="10"/>
      <c r="L16" s="10" t="e">
        <f>Prices!E593</f>
        <v>#DIV/0!</v>
      </c>
      <c r="M16" s="10" t="e">
        <f>Prices!F593</f>
        <v>#DIV/0!</v>
      </c>
    </row>
    <row r="17" spans="1:31">
      <c r="A17" s="9">
        <v>43525</v>
      </c>
      <c r="B17" s="10" t="e">
        <f>Prices!B593</f>
        <v>#DIV/0!</v>
      </c>
      <c r="C17" s="10"/>
      <c r="E17" s="10">
        <f>Prices!C593</f>
        <v>308.37</v>
      </c>
      <c r="F17" s="10"/>
      <c r="G17" s="10"/>
      <c r="H17" s="10"/>
      <c r="I17" s="10">
        <f>Prices!D593</f>
        <v>29.38</v>
      </c>
      <c r="J17" s="10"/>
      <c r="K17" s="10"/>
      <c r="L17" s="10" t="e">
        <f>Prices!E594</f>
        <v>#DIV/0!</v>
      </c>
      <c r="M17" s="10" t="e">
        <f>Prices!F594</f>
        <v>#DIV/0!</v>
      </c>
    </row>
    <row r="18" spans="1:31">
      <c r="A18" s="9">
        <v>43556</v>
      </c>
      <c r="B18" s="10" t="e">
        <f>Prices!B594</f>
        <v>#DIV/0!</v>
      </c>
      <c r="C18" s="10"/>
      <c r="E18" s="10">
        <f>Prices!C594</f>
        <v>305.8095238095238</v>
      </c>
      <c r="F18" s="10"/>
      <c r="G18" s="10"/>
      <c r="H18" s="10"/>
      <c r="I18" s="10">
        <f>Prices!D594</f>
        <v>28.556666666666668</v>
      </c>
      <c r="J18" s="10"/>
      <c r="K18" s="10"/>
      <c r="L18" s="10" t="e">
        <f>Prices!E595</f>
        <v>#DIV/0!</v>
      </c>
      <c r="M18" s="10" t="e">
        <f>Prices!F595</f>
        <v>#DIV/0!</v>
      </c>
    </row>
    <row r="19" spans="1:31">
      <c r="A19" s="9">
        <v>43586</v>
      </c>
      <c r="B19" s="10" t="e">
        <f>Prices!B595</f>
        <v>#DIV/0!</v>
      </c>
      <c r="C19" s="10"/>
      <c r="E19" s="10">
        <f>Prices!C595</f>
        <v>300.2227272727273</v>
      </c>
      <c r="F19" s="10"/>
      <c r="G19" s="10"/>
      <c r="H19" s="10"/>
      <c r="I19" s="10">
        <f>Prices!D595</f>
        <v>27.230454545454549</v>
      </c>
      <c r="J19" s="10"/>
      <c r="K19" s="10"/>
      <c r="L19" s="10" t="e">
        <f>Prices!E596</f>
        <v>#DIV/0!</v>
      </c>
      <c r="M19" s="10" t="e">
        <f>Prices!F596</f>
        <v>#DIV/0!</v>
      </c>
      <c r="R19" s="13">
        <v>43586</v>
      </c>
      <c r="S19" s="10"/>
      <c r="T19" s="10"/>
      <c r="U19" s="10"/>
    </row>
    <row r="20" spans="1:31">
      <c r="A20" s="9">
        <v>43617</v>
      </c>
      <c r="B20" s="10" t="e">
        <f>Prices!B596</f>
        <v>#DIV/0!</v>
      </c>
      <c r="C20" s="10"/>
      <c r="E20" s="10">
        <f>Prices!C596</f>
        <v>317.69</v>
      </c>
      <c r="F20" s="10"/>
      <c r="G20" s="10"/>
      <c r="H20" s="10"/>
      <c r="I20" s="10">
        <f>Prices!D596</f>
        <v>27.85</v>
      </c>
      <c r="J20" s="10"/>
      <c r="K20" s="10"/>
      <c r="L20" s="10" t="e">
        <f>Prices!E597</f>
        <v>#DIV/0!</v>
      </c>
      <c r="M20" s="10" t="e">
        <f>Prices!F597</f>
        <v>#DIV/0!</v>
      </c>
      <c r="R20" s="13">
        <v>43617</v>
      </c>
      <c r="S20" s="10"/>
      <c r="T20" s="10"/>
      <c r="U20" s="10"/>
    </row>
    <row r="21" spans="1:31">
      <c r="A21" s="9">
        <v>43647</v>
      </c>
      <c r="B21" s="10" t="e">
        <f>Prices!B597</f>
        <v>#DIV/0!</v>
      </c>
      <c r="C21" s="10"/>
      <c r="E21" s="10">
        <f>Prices!C597</f>
        <v>307.09999999999997</v>
      </c>
      <c r="F21" s="10"/>
      <c r="G21" s="10"/>
      <c r="H21" s="10"/>
      <c r="I21" s="10">
        <f>Prices!D597</f>
        <v>28.054999999999996</v>
      </c>
      <c r="J21" s="10"/>
      <c r="K21" s="10"/>
      <c r="L21" s="10" t="e">
        <f>Prices!E598</f>
        <v>#DIV/0!</v>
      </c>
      <c r="M21" s="10" t="e">
        <f>Prices!F598</f>
        <v>#DIV/0!</v>
      </c>
      <c r="R21" s="13">
        <v>43647</v>
      </c>
      <c r="S21" s="10"/>
      <c r="T21" s="10"/>
      <c r="U21" s="10"/>
    </row>
    <row r="22" spans="1:31">
      <c r="A22" s="9">
        <v>43678</v>
      </c>
      <c r="B22" s="10" t="e">
        <f>Prices!B598</f>
        <v>#DIV/0!</v>
      </c>
      <c r="C22" s="10"/>
      <c r="E22" s="10">
        <f>Prices!C598</f>
        <v>294.19090909090909</v>
      </c>
      <c r="F22" s="10"/>
      <c r="G22" s="10"/>
      <c r="H22" s="10"/>
      <c r="I22" s="10">
        <f>Prices!D598</f>
        <v>28.569999999999997</v>
      </c>
      <c r="J22" s="10"/>
      <c r="K22" s="10"/>
      <c r="L22" s="10" t="e">
        <f>Prices!E599</f>
        <v>#DIV/0!</v>
      </c>
      <c r="M22" s="10" t="e">
        <f>Prices!F599</f>
        <v>#DIV/0!</v>
      </c>
      <c r="R22" s="13">
        <v>43678</v>
      </c>
      <c r="S22" s="10"/>
      <c r="T22" s="10"/>
      <c r="U22" s="10"/>
      <c r="W22" s="12"/>
      <c r="AD22" s="5"/>
      <c r="AE22" s="5"/>
    </row>
    <row r="23" spans="1:31">
      <c r="A23" s="9">
        <v>43709</v>
      </c>
      <c r="B23" s="10" t="e">
        <f>Prices!B599</f>
        <v>#DIV/0!</v>
      </c>
      <c r="C23" s="10"/>
      <c r="E23" s="10">
        <f>Prices!C599</f>
        <v>293.00499999999994</v>
      </c>
      <c r="F23" s="10"/>
      <c r="G23" s="10"/>
      <c r="H23" s="10"/>
      <c r="I23" s="10">
        <f>Prices!D599</f>
        <v>29.063000000000006</v>
      </c>
      <c r="J23" s="10"/>
      <c r="K23" s="10"/>
      <c r="L23" s="10" t="e">
        <f>Prices!E600</f>
        <v>#DIV/0!</v>
      </c>
      <c r="M23" s="10" t="e">
        <f>Prices!F600</f>
        <v>#DIV/0!</v>
      </c>
      <c r="R23" s="13">
        <v>43709</v>
      </c>
      <c r="S23" s="10"/>
      <c r="T23" s="10"/>
      <c r="U23" s="10"/>
      <c r="W23" s="12"/>
      <c r="AC23" s="5"/>
      <c r="AD23" s="5"/>
      <c r="AE23" s="5"/>
    </row>
    <row r="24" spans="1:31">
      <c r="A24" s="9">
        <v>43739</v>
      </c>
      <c r="B24" s="10" t="e">
        <f>Prices!B600</f>
        <v>#DIV/0!</v>
      </c>
      <c r="C24" s="10"/>
      <c r="E24" s="10">
        <f>Prices!C600</f>
        <v>306.21739130434787</v>
      </c>
      <c r="F24" s="10"/>
      <c r="G24" s="10"/>
      <c r="H24" s="10"/>
      <c r="I24" s="10">
        <f>Prices!D600</f>
        <v>30.28</v>
      </c>
      <c r="J24" s="10"/>
      <c r="K24" s="10"/>
      <c r="L24" s="10" t="e">
        <f>Prices!E601</f>
        <v>#DIV/0!</v>
      </c>
      <c r="M24" s="10" t="e">
        <f>Prices!F601</f>
        <v>#DIV/0!</v>
      </c>
      <c r="R24" s="13">
        <v>43739</v>
      </c>
      <c r="S24" s="10"/>
      <c r="T24" s="10"/>
      <c r="U24" s="10"/>
      <c r="W24" s="12"/>
      <c r="AB24" s="9"/>
      <c r="AC24" s="10"/>
      <c r="AD24" s="10"/>
      <c r="AE24" s="10"/>
    </row>
    <row r="25" spans="1:31">
      <c r="A25" s="9">
        <v>43770</v>
      </c>
      <c r="B25" s="10" t="e">
        <f>Prices!B601</f>
        <v>#DIV/0!</v>
      </c>
      <c r="C25" s="10"/>
      <c r="E25" s="10">
        <f>Prices!C601</f>
        <v>300.81499999999994</v>
      </c>
      <c r="F25" s="10"/>
      <c r="G25" s="10"/>
      <c r="H25" s="10"/>
      <c r="I25" s="10">
        <f>Prices!D601</f>
        <v>30.957999999999998</v>
      </c>
      <c r="J25" s="10"/>
      <c r="K25" s="10"/>
      <c r="L25" s="10" t="e">
        <f>Prices!E602</f>
        <v>#DIV/0!</v>
      </c>
      <c r="M25" s="10" t="e">
        <f>Prices!F602</f>
        <v>#DIV/0!</v>
      </c>
      <c r="R25" s="13">
        <v>43770</v>
      </c>
      <c r="S25" s="10">
        <f>[3]Prices!$B593*100</f>
        <v>391.75</v>
      </c>
      <c r="T25" s="10">
        <f>[3]Prices!$D593*100</f>
        <v>375.1875</v>
      </c>
      <c r="U25" s="10">
        <f>[3]Prices!$C593*100</f>
        <v>365.75</v>
      </c>
      <c r="W25" s="12">
        <f t="shared" ref="W25:W35" si="0">S25-U25</f>
        <v>26</v>
      </c>
      <c r="AB25" s="9"/>
      <c r="AC25" s="10"/>
      <c r="AD25" s="10"/>
      <c r="AE25" s="10"/>
    </row>
    <row r="26" spans="1:31">
      <c r="A26" s="9">
        <v>43800</v>
      </c>
      <c r="B26" s="10" t="e">
        <f>Prices!B602</f>
        <v>#DIV/0!</v>
      </c>
      <c r="C26" s="10"/>
      <c r="E26" s="10">
        <f>Prices!C602</f>
        <v>298.44285714285712</v>
      </c>
      <c r="F26" s="10"/>
      <c r="G26" s="10"/>
      <c r="H26" s="10"/>
      <c r="I26" s="10">
        <f>Prices!D602</f>
        <v>32.689523809523813</v>
      </c>
      <c r="J26" s="10"/>
      <c r="K26" s="10"/>
      <c r="L26" s="10" t="e">
        <f>Prices!E603</f>
        <v>#DIV/0!</v>
      </c>
      <c r="M26" s="10" t="e">
        <f>Prices!F603</f>
        <v>#DIV/0!</v>
      </c>
      <c r="R26" s="13">
        <v>43800</v>
      </c>
      <c r="S26" s="10">
        <f>[3]Prices!$B594*100</f>
        <v>392</v>
      </c>
      <c r="T26" s="10">
        <f>[3]Prices!$D594*100</f>
        <v>383.23809523809524</v>
      </c>
      <c r="U26" s="10">
        <f>[3]Prices!$C594*100</f>
        <v>370.84245523809523</v>
      </c>
      <c r="W26" s="12">
        <f t="shared" si="0"/>
        <v>21.157544761904774</v>
      </c>
      <c r="AB26" s="9"/>
      <c r="AC26" s="10"/>
      <c r="AD26" s="10"/>
      <c r="AE26" s="10"/>
    </row>
    <row r="27" spans="1:31">
      <c r="A27" s="9">
        <v>43831</v>
      </c>
      <c r="B27" s="10" t="e">
        <f>Prices!B603</f>
        <v>#DIV/0!</v>
      </c>
      <c r="C27" s="10"/>
      <c r="E27" s="10">
        <f>Prices!C603</f>
        <v>299.63809523809527</v>
      </c>
      <c r="F27" s="10"/>
      <c r="G27" s="10"/>
      <c r="H27" s="10"/>
      <c r="I27" s="10">
        <f>Prices!D603</f>
        <v>33.150952380952383</v>
      </c>
      <c r="J27" s="10"/>
      <c r="K27" s="10"/>
      <c r="L27" s="10" t="e">
        <f>Prices!E604</f>
        <v>#DIV/0!</v>
      </c>
      <c r="M27" s="10" t="e">
        <f>Prices!F604</f>
        <v>#DIV/0!</v>
      </c>
      <c r="R27" s="13">
        <v>43831</v>
      </c>
      <c r="S27" s="10">
        <f>[3]Prices!$B595*100</f>
        <v>394</v>
      </c>
      <c r="T27" s="10">
        <f>[3]Prices!$D595*100</f>
        <v>385.73809523809524</v>
      </c>
      <c r="U27" s="10">
        <f>[3]Prices!$C595*100</f>
        <v>375.25</v>
      </c>
      <c r="W27" s="12">
        <f t="shared" si="0"/>
        <v>18.75</v>
      </c>
      <c r="AB27" s="9"/>
      <c r="AC27" s="10"/>
      <c r="AD27" s="10"/>
      <c r="AE27" s="10"/>
    </row>
    <row r="28" spans="1:31">
      <c r="A28" s="9">
        <v>43862</v>
      </c>
      <c r="B28" s="10" t="e">
        <f>Prices!B604</f>
        <v>#DIV/0!</v>
      </c>
      <c r="C28" s="10"/>
      <c r="E28" s="10">
        <f>Prices!C604</f>
        <v>290.88421052631583</v>
      </c>
      <c r="F28" s="10"/>
      <c r="G28" s="10"/>
      <c r="H28" s="10"/>
      <c r="I28" s="10">
        <f>Prices!D604</f>
        <v>30.248421052631581</v>
      </c>
      <c r="J28" s="10"/>
      <c r="K28" s="10"/>
      <c r="L28" s="10" t="e">
        <f>Prices!E605</f>
        <v>#DIV/0!</v>
      </c>
      <c r="M28" s="10" t="e">
        <f>Prices!F605</f>
        <v>#DIV/0!</v>
      </c>
      <c r="R28" s="13">
        <v>43862</v>
      </c>
      <c r="S28" s="10">
        <f>[3]Prices!$B596*100</f>
        <v>385</v>
      </c>
      <c r="T28" s="10">
        <f>[3]Prices!$D596*100</f>
        <v>378.14473684210526</v>
      </c>
      <c r="U28" s="10">
        <f>[3]Prices!$C596*100</f>
        <v>365.75</v>
      </c>
      <c r="W28" s="12">
        <f t="shared" si="0"/>
        <v>19.25</v>
      </c>
      <c r="AB28" s="9"/>
      <c r="AC28" s="10"/>
      <c r="AD28" s="10"/>
      <c r="AE28" s="10"/>
    </row>
    <row r="29" spans="1:31">
      <c r="A29" s="9">
        <v>43891</v>
      </c>
      <c r="B29" s="10" t="e">
        <f>Prices!B605</f>
        <v>#DIV/0!</v>
      </c>
      <c r="C29" s="10"/>
      <c r="E29" s="10">
        <f>Prices!C605</f>
        <v>311.91363636363644</v>
      </c>
      <c r="F29" s="10"/>
      <c r="G29" s="10"/>
      <c r="H29" s="10"/>
      <c r="I29" s="10">
        <f>Prices!D605</f>
        <v>27.017727272727271</v>
      </c>
      <c r="J29" s="10"/>
      <c r="K29" s="10"/>
      <c r="L29" s="10" t="e">
        <f>Prices!E606</f>
        <v>#DIV/0!</v>
      </c>
      <c r="M29" s="10" t="e">
        <f>Prices!F606</f>
        <v>#DIV/0!</v>
      </c>
      <c r="R29" s="13">
        <v>43891</v>
      </c>
      <c r="S29" s="10">
        <f>[3]Prices!$B597*100</f>
        <v>385</v>
      </c>
      <c r="T29" s="10">
        <f>[3]Prices!$D597*100</f>
        <v>358.86363636363637</v>
      </c>
      <c r="U29" s="10">
        <f>[3]Prices!$C597*100</f>
        <v>335.25</v>
      </c>
      <c r="W29" s="12">
        <f t="shared" si="0"/>
        <v>49.75</v>
      </c>
      <c r="AB29" s="9"/>
      <c r="AC29" s="10"/>
      <c r="AD29" s="10"/>
      <c r="AE29" s="10"/>
    </row>
    <row r="30" spans="1:31">
      <c r="A30" s="9">
        <v>43922</v>
      </c>
      <c r="B30" s="10" t="e">
        <f>Prices!B606</f>
        <v>#DIV/0!</v>
      </c>
      <c r="C30" s="10"/>
      <c r="E30" s="10">
        <f>Prices!C606</f>
        <v>291.94761904761907</v>
      </c>
      <c r="F30" s="10"/>
      <c r="G30" s="10"/>
      <c r="H30" s="10"/>
      <c r="I30" s="10">
        <f>Prices!D606</f>
        <v>26.202857142857148</v>
      </c>
      <c r="J30" s="10"/>
      <c r="K30" s="10"/>
      <c r="L30" s="10" t="e">
        <f>Prices!E607</f>
        <v>#DIV/0!</v>
      </c>
      <c r="M30" s="10" t="e">
        <f>Prices!F607</f>
        <v>#DIV/0!</v>
      </c>
      <c r="R30" s="13">
        <v>43922</v>
      </c>
      <c r="S30" s="10">
        <f>[3]Prices!$B598*100</f>
        <v>334.75</v>
      </c>
      <c r="T30" s="10">
        <f>[3]Prices!$D598*100</f>
        <v>323.98809523809524</v>
      </c>
      <c r="U30" s="10">
        <f>[3]Prices!$C598*100</f>
        <v>312</v>
      </c>
      <c r="W30" s="12">
        <f t="shared" si="0"/>
        <v>22.75</v>
      </c>
      <c r="AB30" s="9"/>
      <c r="AC30" s="10"/>
      <c r="AD30" s="10"/>
      <c r="AE30" s="10"/>
    </row>
    <row r="31" spans="1:31">
      <c r="A31" s="9">
        <v>43952</v>
      </c>
      <c r="B31" s="10" t="e">
        <f>Prices!B607</f>
        <v>#DIV/0!</v>
      </c>
      <c r="C31" s="10"/>
      <c r="E31" s="10">
        <f>Prices!C607</f>
        <v>287.05999999999995</v>
      </c>
      <c r="F31" s="10"/>
      <c r="G31" s="10"/>
      <c r="H31" s="10"/>
      <c r="I31" s="10">
        <f>Prices!D607</f>
        <v>26.708999999999996</v>
      </c>
      <c r="J31" s="10"/>
      <c r="K31" s="10"/>
      <c r="L31" s="10" t="e">
        <f>Prices!E608</f>
        <v>#DIV/0!</v>
      </c>
      <c r="M31" s="10" t="e">
        <f>Prices!F608</f>
        <v>#DIV/0!</v>
      </c>
      <c r="R31" s="13">
        <v>43952</v>
      </c>
      <c r="S31" s="10">
        <f>[3]Prices!$B599*100</f>
        <v>327.5</v>
      </c>
      <c r="T31" s="10">
        <f>[3]Prices!$D599*100</f>
        <v>319.41250000000002</v>
      </c>
      <c r="U31" s="10">
        <f>[3]Prices!$C599*100</f>
        <v>314.25</v>
      </c>
      <c r="W31" s="12">
        <f t="shared" si="0"/>
        <v>13.25</v>
      </c>
      <c r="AB31" s="9"/>
      <c r="AC31" s="10"/>
      <c r="AD31" s="10"/>
      <c r="AE31" s="10"/>
    </row>
    <row r="32" spans="1:31">
      <c r="A32" s="9">
        <v>43983</v>
      </c>
      <c r="B32" s="10" t="e">
        <f>Prices!B608</f>
        <v>#DIV/0!</v>
      </c>
      <c r="C32" s="10"/>
      <c r="E32" s="10">
        <f>Prices!C608</f>
        <v>286.76363636363641</v>
      </c>
      <c r="F32" s="10"/>
      <c r="G32" s="10"/>
      <c r="H32" s="10"/>
      <c r="I32" s="10">
        <f>Prices!D608</f>
        <v>27.891363636363643</v>
      </c>
      <c r="J32" s="10"/>
      <c r="K32" s="10"/>
      <c r="L32" s="10" t="e">
        <f>Prices!E609</f>
        <v>#DIV/0!</v>
      </c>
      <c r="M32" s="10" t="e">
        <f>Prices!F609</f>
        <v>#DIV/0!</v>
      </c>
      <c r="R32" s="13">
        <v>43983</v>
      </c>
      <c r="S32" s="10">
        <f>[3]Prices!$B600*100</f>
        <v>341.5</v>
      </c>
      <c r="T32" s="10">
        <f>[3]Prices!$D600*100</f>
        <v>328.125</v>
      </c>
      <c r="U32" s="10">
        <f>[3]Prices!$C600*100</f>
        <v>317.25</v>
      </c>
      <c r="W32" s="12">
        <f t="shared" si="0"/>
        <v>24.25</v>
      </c>
      <c r="AB32" s="9"/>
      <c r="AC32" s="10"/>
      <c r="AD32" s="10"/>
      <c r="AE32" s="10"/>
    </row>
    <row r="33" spans="1:31">
      <c r="A33" s="9">
        <v>44013</v>
      </c>
      <c r="B33" s="10" t="e">
        <f>Prices!B609</f>
        <v>#DIV/0!</v>
      </c>
      <c r="C33" s="10"/>
      <c r="E33" s="10">
        <f>Prices!C609</f>
        <v>290.32272727272726</v>
      </c>
      <c r="F33" s="10"/>
      <c r="G33" s="10"/>
      <c r="H33" s="10"/>
      <c r="I33" s="10">
        <f>Prices!D609</f>
        <v>29.206818181818178</v>
      </c>
      <c r="J33" s="10"/>
      <c r="K33" s="10"/>
      <c r="L33" s="10" t="e">
        <f>Prices!E610</f>
        <v>#DIV/0!</v>
      </c>
      <c r="M33" s="10" t="e">
        <f>Prices!F610</f>
        <v>#DIV/0!</v>
      </c>
      <c r="R33" s="13">
        <v>44013</v>
      </c>
      <c r="S33" s="10">
        <f>[3]Prices!$B601*100</f>
        <v>360.5</v>
      </c>
      <c r="T33" s="10">
        <f>[3]Prices!$D601*100</f>
        <v>339.51136363636363</v>
      </c>
      <c r="U33" s="10">
        <f>[3]Prices!$C601*100</f>
        <v>326.25</v>
      </c>
      <c r="W33" s="12">
        <f t="shared" si="0"/>
        <v>34.25</v>
      </c>
      <c r="AB33" s="9"/>
      <c r="AC33" s="10"/>
      <c r="AD33" s="10"/>
      <c r="AE33" s="10"/>
    </row>
    <row r="34" spans="1:31">
      <c r="A34" s="9">
        <v>44044</v>
      </c>
      <c r="B34" s="10" t="e">
        <f>Prices!B610</f>
        <v>#DIV/0!</v>
      </c>
      <c r="C34" s="10"/>
      <c r="E34" s="10">
        <f>Prices!C610</f>
        <v>290.90952380952388</v>
      </c>
      <c r="F34" s="10"/>
      <c r="G34" s="10"/>
      <c r="H34" s="10"/>
      <c r="I34" s="10">
        <f>Prices!D610</f>
        <v>31.59238095238096</v>
      </c>
      <c r="J34" s="10"/>
      <c r="K34" s="10"/>
      <c r="L34" s="10" t="e">
        <f>Prices!E611</f>
        <v>#DIV/0!</v>
      </c>
      <c r="M34" s="10" t="e">
        <f>Prices!F611</f>
        <v>#DIV/0!</v>
      </c>
      <c r="R34" s="13">
        <v>44044</v>
      </c>
      <c r="S34" s="10">
        <f>[3]Prices!$B602*100</f>
        <v>359.25</v>
      </c>
      <c r="T34" s="10">
        <f>[3]Prices!$D602*100</f>
        <v>325.15476190476198</v>
      </c>
      <c r="U34" s="10">
        <f>[3]Prices!$C602*100</f>
        <v>320.25</v>
      </c>
      <c r="W34" s="12">
        <f t="shared" si="0"/>
        <v>39</v>
      </c>
      <c r="AB34" s="9"/>
      <c r="AC34" s="10"/>
      <c r="AD34" s="10"/>
      <c r="AE34" s="10"/>
    </row>
    <row r="35" spans="1:31">
      <c r="A35" s="9">
        <v>44075</v>
      </c>
      <c r="B35" s="10" t="e">
        <f>Prices!B611</f>
        <v>#DIV/0!</v>
      </c>
      <c r="C35" s="10"/>
      <c r="E35" s="10">
        <f>Prices!C611</f>
        <v>323.22380952380956</v>
      </c>
      <c r="F35" s="10"/>
      <c r="G35" s="10"/>
      <c r="H35" s="10"/>
      <c r="I35" s="10">
        <f>Prices!D611</f>
        <v>33.51047619047619</v>
      </c>
      <c r="J35" s="10"/>
      <c r="K35" s="10"/>
      <c r="L35" s="10" t="e">
        <f>Prices!E612</f>
        <v>#DIV/0!</v>
      </c>
      <c r="M35" s="10" t="e">
        <f>Prices!F612</f>
        <v>#DIV/0!</v>
      </c>
      <c r="R35" s="13">
        <v>44075</v>
      </c>
      <c r="S35" s="10">
        <f>[3]Prices!$B603*100</f>
        <v>379</v>
      </c>
      <c r="T35" s="10">
        <f>[3]Prices!$D603*100</f>
        <v>366.27380952380952</v>
      </c>
      <c r="U35" s="10">
        <f>[3]Prices!$C603*100</f>
        <v>353.75</v>
      </c>
      <c r="W35" s="12">
        <f t="shared" si="0"/>
        <v>25.25</v>
      </c>
    </row>
    <row r="36" spans="1:31">
      <c r="A36" s="9">
        <v>44105</v>
      </c>
      <c r="B36" s="10" t="e">
        <f>Prices!B612</f>
        <v>#DIV/0!</v>
      </c>
      <c r="C36" s="10"/>
      <c r="E36" s="10">
        <f>Prices!C612</f>
        <v>368.10909090909087</v>
      </c>
      <c r="F36" s="10"/>
      <c r="G36" s="10"/>
      <c r="H36" s="10"/>
      <c r="I36" s="10">
        <f>Prices!D612</f>
        <v>33.276818181818186</v>
      </c>
      <c r="J36" s="10"/>
      <c r="K36" s="10"/>
      <c r="L36" s="10" t="e">
        <f>Prices!E613</f>
        <v>#DIV/0!</v>
      </c>
      <c r="M36" s="10" t="e">
        <f>Prices!F613</f>
        <v>#DIV/0!</v>
      </c>
      <c r="R36" s="13">
        <v>44105</v>
      </c>
      <c r="S36" s="10">
        <f>[3]Prices!$B604*100</f>
        <v>419.25</v>
      </c>
      <c r="T36" s="10">
        <f>[3]Prices!$D604*100</f>
        <v>398.89772727272725</v>
      </c>
      <c r="U36" s="10">
        <f>[3]Prices!$C604*100</f>
        <v>379.5</v>
      </c>
    </row>
    <row r="37" spans="1:31">
      <c r="A37" s="9">
        <v>44136</v>
      </c>
      <c r="B37" s="10" t="e">
        <f>Prices!B613</f>
        <v>#DIV/0!</v>
      </c>
      <c r="C37" s="10"/>
      <c r="E37" s="10">
        <f>Prices!C613</f>
        <v>390.30499999999995</v>
      </c>
      <c r="F37" s="10"/>
      <c r="G37" s="10"/>
      <c r="H37" s="10"/>
      <c r="I37" s="10">
        <f>Prices!D613</f>
        <v>36.862499999999997</v>
      </c>
      <c r="J37" s="10"/>
      <c r="K37" s="10"/>
      <c r="L37" s="10" t="e">
        <f>Prices!E614</f>
        <v>#DIV/0!</v>
      </c>
      <c r="M37" s="10" t="e">
        <f>Prices!F614</f>
        <v>#DIV/0!</v>
      </c>
      <c r="R37" s="13">
        <v>44136</v>
      </c>
      <c r="S37" s="10">
        <f>[3]Prices!$B605*100</f>
        <v>433.75000000000006</v>
      </c>
      <c r="T37" s="10">
        <f>[3]Prices!$D605*100</f>
        <v>417.85000000000008</v>
      </c>
      <c r="U37" s="10">
        <f>[3]Prices!$C605*100</f>
        <v>397.5</v>
      </c>
    </row>
    <row r="38" spans="1:31">
      <c r="A38" s="9">
        <v>44166</v>
      </c>
      <c r="B38" s="10" t="e">
        <f>Prices!B614</f>
        <v>#DIV/0!</v>
      </c>
      <c r="C38" s="10"/>
      <c r="E38" s="10">
        <f>Prices!C614</f>
        <v>399.46818181818179</v>
      </c>
      <c r="F38" s="10"/>
      <c r="G38" s="10"/>
      <c r="H38" s="10"/>
      <c r="I38" s="10">
        <f>Prices!D614</f>
        <v>39.571363636363643</v>
      </c>
      <c r="J38" s="10"/>
      <c r="K38" s="10"/>
      <c r="L38" s="10" t="e">
        <f>Prices!E615</f>
        <v>#DIV/0!</v>
      </c>
      <c r="M38" s="10" t="e">
        <f>Prices!F615</f>
        <v>#DIV/0!</v>
      </c>
      <c r="R38" s="13">
        <v>44166</v>
      </c>
      <c r="S38" s="10">
        <f>[3]Prices!$B606*100</f>
        <v>484</v>
      </c>
      <c r="T38" s="10">
        <f>[3]Prices!$D606*100</f>
        <v>439.02631578947376</v>
      </c>
      <c r="U38" s="10">
        <f>[3]Prices!$C606*100</f>
        <v>419.75</v>
      </c>
    </row>
    <row r="39" spans="1:31">
      <c r="A39" s="9">
        <v>44197</v>
      </c>
      <c r="B39" s="10" t="e">
        <f>Prices!B615</f>
        <v>#DIV/0!</v>
      </c>
      <c r="C39" s="10"/>
      <c r="D39" s="10">
        <f>E39+(Forecasts!J24/2)</f>
        <v>440.86842105263156</v>
      </c>
      <c r="E39" s="10">
        <f>Prices!C615</f>
        <v>440.86842105263156</v>
      </c>
      <c r="F39" s="10"/>
      <c r="G39" s="10"/>
      <c r="H39" s="10"/>
      <c r="I39" s="10">
        <f>Prices!D615</f>
        <v>43.154210526315786</v>
      </c>
      <c r="J39" s="10"/>
      <c r="K39" s="10"/>
      <c r="L39" s="10" t="e">
        <f>Prices!E615</f>
        <v>#DIV/0!</v>
      </c>
      <c r="M39" s="10" t="e">
        <f>Prices!F615</f>
        <v>#DIV/0!</v>
      </c>
      <c r="R39" s="13">
        <v>44197</v>
      </c>
      <c r="S39" s="10">
        <f>[3]Prices!$B607*100</f>
        <v>547</v>
      </c>
      <c r="T39" s="10">
        <f>[3]Prices!$D607*100</f>
        <v>515.39473684210532</v>
      </c>
      <c r="U39" s="10">
        <f>[3]Prices!$C607*100</f>
        <v>483.75000000000006</v>
      </c>
    </row>
    <row r="40" spans="1:31">
      <c r="A40" s="9">
        <v>44228</v>
      </c>
      <c r="B40" s="10" t="e">
        <f>Prices!B616</f>
        <v>#DIV/0!</v>
      </c>
      <c r="C40" s="10"/>
      <c r="D40" s="10">
        <f>E40+(Forecasts!J26/2)</f>
        <v>428.77894736842109</v>
      </c>
      <c r="E40" s="10">
        <f>Prices!C616</f>
        <v>428.77894736842109</v>
      </c>
      <c r="F40" s="10">
        <f>E40-(Forecasts!J26/2)</f>
        <v>428.77894736842109</v>
      </c>
      <c r="G40" s="10"/>
      <c r="H40" s="10">
        <f>I40+(Forecasts!J36/2)</f>
        <v>46.94631578947368</v>
      </c>
      <c r="I40" s="10">
        <f>Prices!D616</f>
        <v>46.94631578947368</v>
      </c>
      <c r="J40" s="10">
        <f>I40-(Forecasts!J36/2)</f>
        <v>46.94631578947368</v>
      </c>
      <c r="K40" s="10"/>
      <c r="L40" s="10" t="e">
        <f>Prices!E616</f>
        <v>#DIV/0!</v>
      </c>
      <c r="M40" s="10" t="e">
        <f>Prices!F616</f>
        <v>#DIV/0!</v>
      </c>
      <c r="R40" s="13">
        <v>44228</v>
      </c>
      <c r="S40" s="10">
        <f>[3]Prices!$B608*100</f>
        <v>563.75</v>
      </c>
      <c r="T40" s="10">
        <f>[3]Prices!$D608*100</f>
        <v>549.97368421052636</v>
      </c>
      <c r="U40" s="10">
        <f>[3]Prices!$C608*100</f>
        <v>534.5</v>
      </c>
    </row>
    <row r="41" spans="1:31">
      <c r="A41" s="9">
        <v>44256</v>
      </c>
      <c r="B41" s="10" t="e">
        <f>Prices!B617</f>
        <v>#DIV/0!</v>
      </c>
      <c r="C41" s="10"/>
      <c r="D41" s="10">
        <f>E41+(Forecasts!J27/2)</f>
        <v>408.1652173913044</v>
      </c>
      <c r="E41" s="10">
        <f>Prices!C617</f>
        <v>408.1652173913044</v>
      </c>
      <c r="F41" s="10">
        <f>E41-(Forecasts!J27/2)</f>
        <v>408.1652173913044</v>
      </c>
      <c r="G41" s="10"/>
      <c r="H41" s="10">
        <f>I41+(Forecasts!J41/2)</f>
        <v>53.370000000000012</v>
      </c>
      <c r="I41" s="10">
        <f>Prices!D617</f>
        <v>53.370000000000012</v>
      </c>
      <c r="J41" s="10">
        <f>I41-(Forecasts!J41/2)</f>
        <v>53.370000000000012</v>
      </c>
      <c r="K41" s="10"/>
      <c r="L41" s="10" t="e">
        <f>Prices!E617</f>
        <v>#DIV/0!</v>
      </c>
      <c r="M41" s="10" t="e">
        <f>Prices!F617</f>
        <v>#DIV/0!</v>
      </c>
      <c r="R41" s="13">
        <v>44256</v>
      </c>
      <c r="S41" s="10">
        <f>[3]Prices!$B609*100</f>
        <v>564.25</v>
      </c>
      <c r="T41" s="10">
        <f>[3]Prices!$D609*100</f>
        <v>547.54999999999995</v>
      </c>
      <c r="U41" s="10">
        <f>[3]Prices!$C609*100</f>
        <v>532.5</v>
      </c>
    </row>
    <row r="42" spans="1:31">
      <c r="A42" s="9">
        <v>44287</v>
      </c>
      <c r="B42" s="10" t="e">
        <f>Prices!B618</f>
        <v>#DIV/0!</v>
      </c>
      <c r="C42" s="10"/>
      <c r="D42" s="10">
        <f>E42+(Forecasts!J28/2)</f>
        <v>411.33333333333331</v>
      </c>
      <c r="E42" s="10">
        <f>Prices!C618</f>
        <v>411.33333333333331</v>
      </c>
      <c r="F42" s="10">
        <f>E42-(Forecasts!J28/2)</f>
        <v>411.33333333333331</v>
      </c>
      <c r="G42" s="10"/>
      <c r="H42" s="10">
        <f>I42+(Forecasts!J42/2)</f>
        <v>58.235714285714302</v>
      </c>
      <c r="I42" s="10">
        <f>Prices!D618</f>
        <v>58.235714285714302</v>
      </c>
      <c r="J42" s="10">
        <f>I42-(Forecasts!J42/2)</f>
        <v>58.235714285714302</v>
      </c>
      <c r="K42" s="10"/>
      <c r="L42" s="10" t="e">
        <f>Prices!E618</f>
        <v>#DIV/0!</v>
      </c>
      <c r="M42" s="10" t="e">
        <f>Prices!F618</f>
        <v>#DIV/0!</v>
      </c>
      <c r="R42" s="13">
        <v>44287</v>
      </c>
      <c r="S42" s="10">
        <f>[3]Prices!$B610*100</f>
        <v>740</v>
      </c>
      <c r="T42" s="10">
        <f>[3]Prices!$D610*100</f>
        <v>616.07142857142856</v>
      </c>
      <c r="U42" s="10">
        <f>[3]Prices!$C610*100</f>
        <v>553.25</v>
      </c>
    </row>
    <row r="43" spans="1:31">
      <c r="A43" s="9">
        <v>44317</v>
      </c>
      <c r="B43" s="10" t="e">
        <f>Prices!B619</f>
        <v>#DIV/0!</v>
      </c>
      <c r="C43" s="10"/>
      <c r="E43" s="10">
        <f>Prices!C619</f>
        <v>414.65500000000003</v>
      </c>
      <c r="F43" s="10"/>
      <c r="G43" s="10"/>
      <c r="H43" s="10"/>
      <c r="I43" s="10">
        <f>Prices!D619</f>
        <v>65.639500000000012</v>
      </c>
      <c r="J43" s="10"/>
      <c r="K43" s="10"/>
      <c r="L43" s="10" t="e">
        <f>Prices!E619</f>
        <v>#DIV/0!</v>
      </c>
      <c r="M43" s="10" t="e">
        <f>Prices!F619</f>
        <v>#DIV/0!</v>
      </c>
      <c r="R43" s="13">
        <v>44317</v>
      </c>
    </row>
    <row r="44" spans="1:31">
      <c r="A44" s="9">
        <v>44348</v>
      </c>
      <c r="B44" s="10" t="e">
        <f>Prices!B620</f>
        <v>#DIV/0!</v>
      </c>
      <c r="C44" s="10"/>
      <c r="E44" s="10">
        <f>Prices!C620</f>
        <v>374</v>
      </c>
      <c r="F44" s="10"/>
      <c r="G44" s="10"/>
      <c r="H44" s="10"/>
      <c r="I44" s="10">
        <f>Prices!D620</f>
        <v>65.243181818181839</v>
      </c>
      <c r="J44" s="10"/>
      <c r="K44" s="10"/>
      <c r="L44" s="10" t="e">
        <f>Prices!E620</f>
        <v>#DIV/0!</v>
      </c>
      <c r="M44" s="10" t="e">
        <f>Prices!F620</f>
        <v>#DIV/0!</v>
      </c>
      <c r="R44" s="13">
        <v>44348</v>
      </c>
    </row>
    <row r="45" spans="1:31">
      <c r="A45" s="9">
        <v>44378</v>
      </c>
      <c r="B45" s="10" t="e">
        <f>Prices!B621</f>
        <v>#DIV/0!</v>
      </c>
      <c r="C45" s="10"/>
      <c r="E45" s="10">
        <f>Prices!C621</f>
        <v>361.36666666666667</v>
      </c>
      <c r="F45" s="10"/>
      <c r="G45" s="10"/>
      <c r="H45" s="10"/>
      <c r="I45" s="10">
        <f>Prices!D621</f>
        <v>64.936190476190475</v>
      </c>
      <c r="J45" s="10"/>
      <c r="K45" s="10"/>
      <c r="L45" s="10" t="e">
        <f>Prices!E621</f>
        <v>#DIV/0!</v>
      </c>
      <c r="M45" s="10" t="e">
        <f>Prices!F621</f>
        <v>#DIV/0!</v>
      </c>
      <c r="R45" s="13">
        <v>44378</v>
      </c>
    </row>
    <row r="46" spans="1:31">
      <c r="A46" s="9">
        <v>44409</v>
      </c>
      <c r="B46" s="10" t="e">
        <f>Prices!B622</f>
        <v>#DIV/0!</v>
      </c>
      <c r="C46" s="10"/>
      <c r="E46" s="10">
        <f>Prices!C622</f>
        <v>354.02727272727276</v>
      </c>
      <c r="F46" s="10"/>
      <c r="G46" s="10"/>
      <c r="H46" s="10"/>
      <c r="I46" s="10">
        <f>Prices!D622</f>
        <v>61.464090909090899</v>
      </c>
      <c r="J46" s="10"/>
      <c r="K46" s="10"/>
      <c r="L46" s="10" t="e">
        <f>Prices!E622</f>
        <v>#DIV/0!</v>
      </c>
      <c r="M46" s="10" t="e">
        <f>Prices!F622</f>
        <v>#DIV/0!</v>
      </c>
      <c r="R46" s="13">
        <v>44409</v>
      </c>
    </row>
    <row r="47" spans="1:31">
      <c r="A47" s="9">
        <v>44440</v>
      </c>
      <c r="B47" s="10" t="e">
        <f>Prices!B623</f>
        <v>#DIV/0!</v>
      </c>
      <c r="C47" s="10"/>
      <c r="E47" s="10">
        <f>Prices!C623</f>
        <v>337.04761904761909</v>
      </c>
      <c r="F47" s="10"/>
      <c r="G47" s="10"/>
      <c r="H47" s="10"/>
      <c r="I47" s="10">
        <f>Prices!D623</f>
        <v>57.204761904761902</v>
      </c>
      <c r="J47" s="10"/>
      <c r="K47" s="10"/>
      <c r="L47" s="10" t="e">
        <f>Prices!E623</f>
        <v>#DIV/0!</v>
      </c>
      <c r="M47" s="10" t="e">
        <f>Prices!F623</f>
        <v>#DIV/0!</v>
      </c>
      <c r="R47" s="13">
        <v>44440</v>
      </c>
    </row>
    <row r="48" spans="1:31">
      <c r="A48" s="9">
        <v>44470</v>
      </c>
      <c r="B48" s="10" t="e">
        <f>Prices!B624</f>
        <v>#DIV/0!</v>
      </c>
      <c r="C48" s="10"/>
      <c r="E48" s="10">
        <f>Prices!C624</f>
        <v>322.55714285714276</v>
      </c>
      <c r="F48" s="10"/>
      <c r="G48" s="10"/>
      <c r="H48" s="10"/>
      <c r="I48" s="10">
        <f>Prices!D624</f>
        <v>61.246190476190478</v>
      </c>
      <c r="J48" s="10"/>
      <c r="K48" s="10"/>
      <c r="L48" s="10" t="e">
        <f>Prices!E624</f>
        <v>#DIV/0!</v>
      </c>
      <c r="M48" s="10" t="e">
        <f>Prices!F624</f>
        <v>#DIV/0!</v>
      </c>
      <c r="R48" s="13">
        <v>44470</v>
      </c>
    </row>
    <row r="49" spans="1:18">
      <c r="A49" s="9">
        <v>44501</v>
      </c>
      <c r="B49" s="10" t="e">
        <f>Prices!B625</f>
        <v>#DIV/0!</v>
      </c>
      <c r="C49" s="10"/>
      <c r="E49" s="10">
        <f>Prices!C625</f>
        <v>352.2619047619047</v>
      </c>
      <c r="F49" s="10"/>
      <c r="G49" s="10"/>
      <c r="H49" s="10"/>
      <c r="I49" s="10">
        <f>Prices!D625</f>
        <v>59.234761904761896</v>
      </c>
      <c r="J49" s="10"/>
      <c r="K49" s="10"/>
      <c r="L49" s="10" t="e">
        <f>Prices!E625</f>
        <v>#DIV/0!</v>
      </c>
      <c r="M49" s="10" t="e">
        <f>Prices!F625</f>
        <v>#DIV/0!</v>
      </c>
      <c r="R49" s="13">
        <v>44501</v>
      </c>
    </row>
    <row r="50" spans="1:18">
      <c r="A50" s="9">
        <v>44531</v>
      </c>
      <c r="B50" s="10" t="e">
        <f>Prices!B626</f>
        <v>#DIV/0!</v>
      </c>
      <c r="C50" s="10"/>
      <c r="E50" s="10">
        <f>Prices!C626</f>
        <v>380.27272727272725</v>
      </c>
      <c r="F50" s="10"/>
      <c r="G50" s="10"/>
      <c r="H50" s="10"/>
      <c r="I50" s="10">
        <f>Prices!D626</f>
        <v>55.209545454545463</v>
      </c>
      <c r="J50" s="10"/>
      <c r="K50" s="10"/>
      <c r="L50" s="10" t="e">
        <f>Prices!E626</f>
        <v>#DIV/0!</v>
      </c>
      <c r="M50" s="10" t="e">
        <f>Prices!F626</f>
        <v>#DIV/0!</v>
      </c>
      <c r="R50" s="13">
        <v>44531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0F85-95CD-4F2B-B774-B02CA1A72E50}">
  <sheetPr>
    <pageSetUpPr fitToPage="1"/>
  </sheetPr>
  <dimension ref="A1:AB206"/>
  <sheetViews>
    <sheetView topLeftCell="A29" zoomScale="115" zoomScaleNormal="115" workbookViewId="0">
      <selection activeCell="L965" sqref="L965"/>
    </sheetView>
  </sheetViews>
  <sheetFormatPr defaultColWidth="8.85546875" defaultRowHeight="15"/>
  <cols>
    <col min="1" max="1" width="11.140625" customWidth="1"/>
    <col min="2" max="2" width="10.42578125" customWidth="1"/>
    <col min="3" max="4" width="10" customWidth="1"/>
    <col min="5" max="5" width="10.42578125" customWidth="1"/>
    <col min="6" max="7" width="10" customWidth="1"/>
    <col min="8" max="8" width="14.140625" customWidth="1"/>
    <col min="9" max="9" width="21.140625" customWidth="1"/>
    <col min="10" max="10" width="10" customWidth="1"/>
    <col min="11" max="11" width="9.42578125" bestFit="1" customWidth="1"/>
    <col min="12" max="17" width="11.42578125" customWidth="1"/>
    <col min="18" max="18" width="10.28515625" customWidth="1"/>
    <col min="25" max="25" width="9.42578125" bestFit="1" customWidth="1"/>
    <col min="26" max="26" width="10" customWidth="1"/>
    <col min="27" max="27" width="9.42578125" bestFit="1" customWidth="1"/>
  </cols>
  <sheetData>
    <row r="1" spans="1:26" ht="22.5">
      <c r="A1" s="14" t="s">
        <v>14</v>
      </c>
      <c r="L1" s="15" t="e" vm="1">
        <f>" "&amp;TEXT([1]!'@S@c[DTN:CBOT]?SETTLE DATE',"mmm d")&amp;" Closes"</f>
        <v>#REF!</v>
      </c>
    </row>
    <row r="2" spans="1:26">
      <c r="A2" s="16"/>
      <c r="B2" s="17" t="s">
        <v>15</v>
      </c>
      <c r="C2" s="17" t="s">
        <v>10</v>
      </c>
      <c r="D2" s="17" t="s">
        <v>8</v>
      </c>
      <c r="E2" s="17" t="s">
        <v>16</v>
      </c>
      <c r="F2" s="17" t="s">
        <v>17</v>
      </c>
      <c r="G2" s="17" t="s">
        <v>18</v>
      </c>
      <c r="H2" s="17" t="s">
        <v>19</v>
      </c>
      <c r="I2" s="18" t="s">
        <v>20</v>
      </c>
      <c r="J2" s="17" t="s">
        <v>21</v>
      </c>
      <c r="K2" s="19" t="s">
        <v>22</v>
      </c>
      <c r="X2" t="s">
        <v>23</v>
      </c>
    </row>
    <row r="3" spans="1:26">
      <c r="A3" s="20">
        <v>45778</v>
      </c>
      <c r="B3" s="21">
        <f>AVERAGE(Prices!B665:'Prices'!B666)</f>
        <v>9.9250000000000007</v>
      </c>
      <c r="C3" s="21">
        <f>MIN('[7]Futures Averages'!$K$697:$L$697)</f>
        <v>9.2445565675398118</v>
      </c>
      <c r="D3" s="21">
        <f>MAX('[7]Futures Averages'!$K$640:$L$640)</f>
        <v>10.475040380952384</v>
      </c>
      <c r="E3" s="21">
        <f t="shared" ref="E3:E9" si="0">AVERAGE(C3:D3)</f>
        <v>9.859798474246098</v>
      </c>
      <c r="F3" s="22" t="e" vm="1">
        <f>[1]!'@sk5[DTN:cbot]?Last'/100</f>
        <v>#REF!</v>
      </c>
      <c r="G3" s="23"/>
      <c r="H3" s="24"/>
      <c r="I3" s="25"/>
      <c r="J3" s="21">
        <f t="shared" ref="J3:J9" si="1">D3-C3</f>
        <v>1.2304838134125724</v>
      </c>
      <c r="K3" s="26" t="s">
        <v>24</v>
      </c>
      <c r="U3" s="27" t="s">
        <v>25</v>
      </c>
      <c r="V3" s="27"/>
      <c r="X3" s="12" t="e" vm="2">
        <f>F3-H3</f>
        <v>#VALUE!</v>
      </c>
    </row>
    <row r="4" spans="1:26">
      <c r="A4" s="28">
        <v>45839</v>
      </c>
      <c r="B4" s="29">
        <f>AVERAGE(Prices!B668:'Prices'!B667)</f>
        <v>10.124999999999998</v>
      </c>
      <c r="C4" s="29">
        <f>MIN('[7]Futures Averages'!$K$870:$L$870)</f>
        <v>9.322205807844572</v>
      </c>
      <c r="D4" s="29">
        <f>MAX('[7]Futures Averages'!$K$812:$L$812)</f>
        <v>10.992937807844571</v>
      </c>
      <c r="E4" s="29">
        <f t="shared" si="0"/>
        <v>10.157571807844572</v>
      </c>
      <c r="F4" s="30" t="e" vm="1">
        <f>[1]!'@sn5[DTN:cbot]?Last'/100</f>
        <v>#REF!</v>
      </c>
      <c r="G4" s="31" t="e" vm="2">
        <f t="shared" ref="G4:G9" si="2">F4-F3</f>
        <v>#VALUE!</v>
      </c>
      <c r="H4" s="32">
        <f>(B4*V$10/1200)+(V$4*(A4-A3))</f>
        <v>0.15231525937499998</v>
      </c>
      <c r="I4" s="33" t="e" vm="2">
        <f t="shared" ref="I4:I9" si="3">G4/H4</f>
        <v>#VALUE!</v>
      </c>
      <c r="J4" s="29">
        <f t="shared" si="1"/>
        <v>1.6707319999999992</v>
      </c>
      <c r="K4" s="26" t="s">
        <v>26</v>
      </c>
      <c r="U4" s="34" t="s">
        <v>14</v>
      </c>
      <c r="V4">
        <v>1.65E-3</v>
      </c>
      <c r="X4" s="12" t="e" vm="2">
        <f t="shared" ref="X4:X8" si="4">F4-H4</f>
        <v>#VALUE!</v>
      </c>
    </row>
    <row r="5" spans="1:26">
      <c r="A5" s="20">
        <v>45870</v>
      </c>
      <c r="B5" s="21">
        <f>AVERAGE(Prices!B669:'Prices'!B669)</f>
        <v>10.050000000000002</v>
      </c>
      <c r="C5" s="21">
        <f>'[7]Futures Averages'!$L$1047</f>
        <v>8.6724756342857123</v>
      </c>
      <c r="D5" s="21">
        <f>'[7]Futures Averages'!$L$988</f>
        <v>10.448846034285713</v>
      </c>
      <c r="E5" s="21">
        <f t="shared" si="0"/>
        <v>9.5606608342857129</v>
      </c>
      <c r="F5" s="22" t="e" vm="1">
        <f>[1]!'@sq5[DTN:cbot]?Last'/100</f>
        <v>#REF!</v>
      </c>
      <c r="G5" s="23" t="e" vm="2">
        <f t="shared" si="2"/>
        <v>#VALUE!</v>
      </c>
      <c r="H5" s="24">
        <f>(B5*V$10/1200)+(V$4*(A5-A4))</f>
        <v>0.10243255375000002</v>
      </c>
      <c r="I5" s="25" t="e" vm="2">
        <f t="shared" si="3"/>
        <v>#VALUE!</v>
      </c>
      <c r="J5" s="21">
        <f t="shared" si="1"/>
        <v>1.7763704000000011</v>
      </c>
      <c r="K5" s="26" t="s">
        <v>27</v>
      </c>
      <c r="U5" s="34" t="s">
        <v>28</v>
      </c>
      <c r="V5">
        <v>7.0000000000000007E-2</v>
      </c>
      <c r="X5" s="12" t="e" vm="2">
        <f t="shared" si="4"/>
        <v>#VALUE!</v>
      </c>
      <c r="Z5" s="35">
        <v>45597</v>
      </c>
    </row>
    <row r="6" spans="1:26">
      <c r="A6" s="28">
        <v>45901</v>
      </c>
      <c r="B6" s="29">
        <f>AVERAGE(Prices!B670:'Prices'!B670)</f>
        <v>9.5499999999999989</v>
      </c>
      <c r="C6" s="29">
        <f>'[7]Futures Averages'!$L$1222</f>
        <v>8.4210370185431938</v>
      </c>
      <c r="D6" s="29">
        <f>'[7]Futures Averages'!$L$1164</f>
        <v>10.264773818543198</v>
      </c>
      <c r="E6" s="29">
        <f t="shared" si="0"/>
        <v>9.3429054185431966</v>
      </c>
      <c r="F6" s="30" t="e" vm="1">
        <f>[1]!'@su5[DTN:cbot]?Last'/100</f>
        <v>#REF!</v>
      </c>
      <c r="G6" s="31" t="e" vm="2">
        <f t="shared" si="2"/>
        <v>#VALUE!</v>
      </c>
      <c r="H6" s="32">
        <f>(B6*V$10/1200)+(V$4*(A6-A5))</f>
        <v>9.9881182916666658E-2</v>
      </c>
      <c r="I6" s="33" t="e" vm="2">
        <f t="shared" si="3"/>
        <v>#VALUE!</v>
      </c>
      <c r="J6" s="29">
        <f t="shared" si="1"/>
        <v>1.8437368000000038</v>
      </c>
      <c r="K6" s="26" t="s">
        <v>29</v>
      </c>
      <c r="U6" s="34" t="s">
        <v>30</v>
      </c>
      <c r="V6">
        <v>3.0000000000000001E-3</v>
      </c>
      <c r="X6" s="12" t="e" vm="2">
        <f t="shared" si="4"/>
        <v>#VALUE!</v>
      </c>
      <c r="Z6" s="35">
        <v>45962</v>
      </c>
    </row>
    <row r="7" spans="1:26">
      <c r="A7" s="20">
        <v>45962</v>
      </c>
      <c r="B7" s="21">
        <f>AVERAGE(Prices!B671:'Prices'!B672)</f>
        <v>8.8249999999999993</v>
      </c>
      <c r="C7" s="21">
        <f>MIN('[7]Futures Averages'!$K$177:$L$177)</f>
        <v>7.5095138046301546</v>
      </c>
      <c r="D7" s="21">
        <f>MAX('[7]Futures Averages'!$K$118:$L$118)</f>
        <v>10.098867786466165</v>
      </c>
      <c r="E7" s="21">
        <f t="shared" si="0"/>
        <v>8.8041907955481591</v>
      </c>
      <c r="F7" s="22" t="e" vm="1">
        <f>[1]!'@sx5[DTN:cbot]?Last'/100</f>
        <v>#REF!</v>
      </c>
      <c r="G7" s="23" t="e" vm="2">
        <f t="shared" si="2"/>
        <v>#VALUE!</v>
      </c>
      <c r="H7" s="24">
        <f>(B7*V$10/1200)+(V$4*(A7-A6))</f>
        <v>0.14568169520833332</v>
      </c>
      <c r="I7" s="25" t="e" vm="2">
        <f t="shared" si="3"/>
        <v>#VALUE!</v>
      </c>
      <c r="J7" s="21">
        <f t="shared" si="1"/>
        <v>2.5893539818360107</v>
      </c>
      <c r="K7" s="26" t="s">
        <v>31</v>
      </c>
      <c r="X7" s="12" t="e" vm="2">
        <f t="shared" si="4"/>
        <v>#VALUE!</v>
      </c>
      <c r="Z7">
        <f>V4*(Z6-Z5)</f>
        <v>0.60224999999999995</v>
      </c>
    </row>
    <row r="8" spans="1:26">
      <c r="A8" s="28">
        <v>46023</v>
      </c>
      <c r="B8" s="29">
        <f>AVERAGE(Prices!B674:'Prices'!B673)</f>
        <v>9.0749999999999993</v>
      </c>
      <c r="C8" s="29">
        <f>MIN('[7]Futures Averages'!$K$352:$L$352)</f>
        <v>8.3936827545161155</v>
      </c>
      <c r="D8" s="29">
        <f>MAX('[7]Futures Averages'!$K$294:$L$294)</f>
        <v>9.9402484956659833</v>
      </c>
      <c r="E8" s="29">
        <f t="shared" si="0"/>
        <v>9.1669656250910485</v>
      </c>
      <c r="F8" s="30" t="e" vm="1">
        <f>[1]!'@sf6[DTN:cbot]?Last'/100</f>
        <v>#REF!</v>
      </c>
      <c r="G8" s="31" t="e" vm="2">
        <f t="shared" si="2"/>
        <v>#VALUE!</v>
      </c>
      <c r="H8" s="32">
        <f t="shared" ref="H8:H9" si="5">(B8*V$10/1200)+(V$4*(A8-A7))</f>
        <v>0.14695738062499999</v>
      </c>
      <c r="I8" s="33" t="e" vm="2">
        <f t="shared" si="3"/>
        <v>#VALUE!</v>
      </c>
      <c r="J8" s="29">
        <f t="shared" si="1"/>
        <v>1.5465657411498679</v>
      </c>
      <c r="K8" s="26" t="s">
        <v>32</v>
      </c>
      <c r="U8" s="27" t="s">
        <v>33</v>
      </c>
      <c r="V8" s="27"/>
      <c r="X8" s="12" t="e" vm="2">
        <f t="shared" si="4"/>
        <v>#VALUE!</v>
      </c>
    </row>
    <row r="9" spans="1:26">
      <c r="A9" s="20">
        <v>46082</v>
      </c>
      <c r="B9" s="21">
        <f>AVERAGE(Prices!B675:'Prices'!B676)</f>
        <v>9.1999999999999993</v>
      </c>
      <c r="C9" s="21">
        <f>MIN('[7]Futures Averages'!$K$526:$L$526)</f>
        <v>8.5171326315789511</v>
      </c>
      <c r="D9" s="21">
        <f>MAX('[7]Futures Averages'!$K$468:$L$468)</f>
        <v>9.9879606315789484</v>
      </c>
      <c r="E9" s="21">
        <f t="shared" si="0"/>
        <v>9.2525466315789497</v>
      </c>
      <c r="F9" s="22" t="e" vm="1">
        <f>[1]!'@sh6[DTN:cbot]?Last'/100</f>
        <v>#REF!</v>
      </c>
      <c r="G9" s="23" t="e" vm="2">
        <f t="shared" si="2"/>
        <v>#VALUE!</v>
      </c>
      <c r="H9" s="24">
        <f t="shared" si="5"/>
        <v>0.14429522333333333</v>
      </c>
      <c r="I9" s="25" t="e" vm="2">
        <f t="shared" si="3"/>
        <v>#VALUE!</v>
      </c>
      <c r="J9" s="21">
        <f t="shared" si="1"/>
        <v>1.4708279999999974</v>
      </c>
      <c r="K9" s="26" t="s">
        <v>34</v>
      </c>
      <c r="U9" s="34" t="s">
        <v>35</v>
      </c>
      <c r="V9">
        <v>4.1232899999999999</v>
      </c>
      <c r="X9" s="12" t="e" vm="2">
        <f>F9-H9</f>
        <v>#VALUE!</v>
      </c>
    </row>
    <row r="10" spans="1:26">
      <c r="A10" s="36"/>
      <c r="B10" s="36" t="e">
        <f>B3/#REF!-1</f>
        <v>#REF!</v>
      </c>
      <c r="C10" s="36"/>
      <c r="D10" s="36"/>
      <c r="E10" s="37"/>
      <c r="F10" s="38" t="e" vm="1">
        <f>[1]!'@sf6[DTN:cbot]?Last'/100</f>
        <v>#REF!</v>
      </c>
      <c r="G10" s="37"/>
      <c r="H10" s="36"/>
      <c r="I10" s="36"/>
      <c r="J10" s="36"/>
      <c r="U10" s="34" t="s">
        <v>36</v>
      </c>
      <c r="V10">
        <f>V9+2</f>
        <v>6.1232899999999999</v>
      </c>
    </row>
    <row r="13" spans="1:26">
      <c r="E13" s="39"/>
      <c r="F13" s="40"/>
    </row>
    <row r="14" spans="1:26" ht="22.5">
      <c r="A14" s="14" t="s">
        <v>28</v>
      </c>
    </row>
    <row r="15" spans="1:26">
      <c r="A15" s="16"/>
      <c r="B15" s="17" t="s">
        <v>15</v>
      </c>
      <c r="C15" s="17" t="s">
        <v>10</v>
      </c>
      <c r="D15" s="17" t="s">
        <v>8</v>
      </c>
      <c r="E15" s="17" t="s">
        <v>16</v>
      </c>
      <c r="F15" s="17" t="s">
        <v>17</v>
      </c>
      <c r="G15" s="17" t="s">
        <v>18</v>
      </c>
      <c r="H15" s="17" t="s">
        <v>37</v>
      </c>
      <c r="I15" s="18" t="s">
        <v>20</v>
      </c>
      <c r="J15" s="17" t="s">
        <v>21</v>
      </c>
      <c r="K15" s="19" t="s">
        <v>22</v>
      </c>
    </row>
    <row r="16" spans="1:26">
      <c r="A16" s="20">
        <v>45778</v>
      </c>
      <c r="B16" s="21" t="e" vm="2">
        <f>AVERAGE(Prices!C665:'Prices'!C666)</f>
        <v>#VALUE!</v>
      </c>
      <c r="C16" s="21" t="e" vm="2">
        <f>B16-(J16/2)</f>
        <v>#VALUE!</v>
      </c>
      <c r="D16" s="21" t="e" vm="2">
        <f>B16+(J16/2)</f>
        <v>#VALUE!</v>
      </c>
      <c r="E16" s="21" t="e" vm="2">
        <f t="shared" ref="E16:E23" si="6">AVERAGE(C16:D16)</f>
        <v>#VALUE!</v>
      </c>
      <c r="F16" s="21" t="e" vm="1">
        <f>[1]!'@smk5[DTN:cbot]?Last'</f>
        <v>#REF!</v>
      </c>
      <c r="G16" s="24"/>
      <c r="H16" s="24"/>
      <c r="I16" s="25"/>
      <c r="J16" s="21" t="e">
        <f t="shared" ref="J16:J23" si="7">60*(J31/AVERAGE($J$31:$J$36))</f>
        <v>#DIV/0!</v>
      </c>
      <c r="K16" s="26" t="s">
        <v>38</v>
      </c>
      <c r="X16" s="12" t="e" vm="2">
        <f t="shared" ref="X16:X23" si="8">F16-H16</f>
        <v>#VALUE!</v>
      </c>
    </row>
    <row r="17" spans="1:28">
      <c r="A17" s="28">
        <v>45839</v>
      </c>
      <c r="B17" s="29" t="e" vm="2">
        <f>AVERAGE(Prices!C668:'Prices'!C667)</f>
        <v>#VALUE!</v>
      </c>
      <c r="C17" s="29" t="e" vm="2">
        <f>B17-(J17/2)</f>
        <v>#VALUE!</v>
      </c>
      <c r="D17" s="29" t="e" vm="2">
        <f>B17+(J17/2)</f>
        <v>#VALUE!</v>
      </c>
      <c r="E17" s="29" t="e" vm="2">
        <f t="shared" si="6"/>
        <v>#VALUE!</v>
      </c>
      <c r="F17" s="29" t="e" vm="1">
        <f>[1]!'@smn5[DTN:cbot]?Last'</f>
        <v>#REF!</v>
      </c>
      <c r="G17" s="32" t="e" vm="2">
        <f t="shared" ref="G17:G23" si="9">F17-F16</f>
        <v>#VALUE!</v>
      </c>
      <c r="H17" s="32" t="e" vm="2">
        <f t="shared" ref="H17:H23" si="10">(B17*V$10/1200)+(V$5*(A17-A16))</f>
        <v>#VALUE!</v>
      </c>
      <c r="I17" s="33" t="e" vm="2">
        <f t="shared" ref="I17:I23" si="11">G17/H17</f>
        <v>#VALUE!</v>
      </c>
      <c r="J17" s="29" t="e">
        <f t="shared" si="7"/>
        <v>#DIV/0!</v>
      </c>
      <c r="K17" s="26" t="s">
        <v>39</v>
      </c>
      <c r="X17" s="12" t="e" vm="2">
        <f t="shared" si="8"/>
        <v>#VALUE!</v>
      </c>
    </row>
    <row r="18" spans="1:28">
      <c r="A18" s="20">
        <v>45870</v>
      </c>
      <c r="B18" s="21" t="e" vm="2">
        <f>AVERAGE(Prices!C669:'Prices'!C669)</f>
        <v>#VALUE!</v>
      </c>
      <c r="C18" s="21" t="e" vm="2">
        <f>B18-(J18/2)</f>
        <v>#VALUE!</v>
      </c>
      <c r="D18" s="21" t="e" vm="2">
        <f>B18+(J18/2)</f>
        <v>#VALUE!</v>
      </c>
      <c r="E18" s="21" t="e" vm="2">
        <f t="shared" si="6"/>
        <v>#VALUE!</v>
      </c>
      <c r="F18" s="21" t="e" vm="1">
        <f>[1]!'@smq5[DTN:cbot]?Last'</f>
        <v>#REF!</v>
      </c>
      <c r="G18" s="24" t="e" vm="2">
        <f t="shared" si="9"/>
        <v>#VALUE!</v>
      </c>
      <c r="H18" s="24" t="e" vm="2">
        <f t="shared" si="10"/>
        <v>#VALUE!</v>
      </c>
      <c r="I18" s="25" t="e" vm="2">
        <f t="shared" si="11"/>
        <v>#VALUE!</v>
      </c>
      <c r="J18" s="21" t="e">
        <f t="shared" si="7"/>
        <v>#DIV/0!</v>
      </c>
      <c r="K18" s="26" t="s">
        <v>27</v>
      </c>
      <c r="X18" s="12" t="e" vm="2">
        <f t="shared" si="8"/>
        <v>#VALUE!</v>
      </c>
    </row>
    <row r="19" spans="1:28">
      <c r="A19" s="28">
        <v>45901</v>
      </c>
      <c r="B19" s="29" t="e" vm="2">
        <f>AVERAGE(Prices!C670:'Prices'!C670)</f>
        <v>#VALUE!</v>
      </c>
      <c r="C19" s="29" t="e" vm="2">
        <f>B19-(J19/2)</f>
        <v>#VALUE!</v>
      </c>
      <c r="D19" s="29" t="e" vm="2">
        <f>B19+(J19/2)</f>
        <v>#VALUE!</v>
      </c>
      <c r="E19" s="29" t="e" vm="2">
        <f t="shared" si="6"/>
        <v>#VALUE!</v>
      </c>
      <c r="F19" s="29" t="e" vm="1">
        <f>[1]!'@smq5[DTN:cbot]?Last'</f>
        <v>#REF!</v>
      </c>
      <c r="G19" s="32" t="e" vm="2">
        <f t="shared" si="9"/>
        <v>#VALUE!</v>
      </c>
      <c r="H19" s="32" t="e" vm="2">
        <f t="shared" si="10"/>
        <v>#VALUE!</v>
      </c>
      <c r="I19" s="33" t="e" vm="2">
        <f t="shared" si="11"/>
        <v>#VALUE!</v>
      </c>
      <c r="J19" s="29" t="e">
        <f t="shared" si="7"/>
        <v>#DIV/0!</v>
      </c>
      <c r="K19" s="26" t="s">
        <v>29</v>
      </c>
      <c r="X19" s="12" t="e" vm="2">
        <f t="shared" si="8"/>
        <v>#VALUE!</v>
      </c>
    </row>
    <row r="20" spans="1:28">
      <c r="A20" s="20">
        <v>45931</v>
      </c>
      <c r="B20" s="21" t="e" vm="2">
        <f>AVERAGE(Prices!C671:'Prices'!C671)</f>
        <v>#VALUE!</v>
      </c>
      <c r="C20" s="21" t="e" vm="2">
        <f>B20-(J20/2)</f>
        <v>#VALUE!</v>
      </c>
      <c r="D20" s="21" t="e" vm="2">
        <f>B20+(J20/2)</f>
        <v>#VALUE!</v>
      </c>
      <c r="E20" s="21" t="e" vm="2">
        <f t="shared" si="6"/>
        <v>#VALUE!</v>
      </c>
      <c r="F20" s="21" t="e" vm="1">
        <f>[1]!'@smv5[DTN:cbot]?Last'</f>
        <v>#REF!</v>
      </c>
      <c r="G20" s="24" t="e" vm="2">
        <f t="shared" si="9"/>
        <v>#VALUE!</v>
      </c>
      <c r="H20" s="24" t="e" vm="2">
        <f t="shared" si="10"/>
        <v>#VALUE!</v>
      </c>
      <c r="I20" s="25" t="e" vm="2">
        <f t="shared" si="11"/>
        <v>#VALUE!</v>
      </c>
      <c r="J20" s="21" t="e">
        <f t="shared" si="7"/>
        <v>#DIV/0!</v>
      </c>
      <c r="K20" s="26" t="s">
        <v>40</v>
      </c>
      <c r="X20" s="12" t="e" vm="2">
        <f t="shared" si="8"/>
        <v>#VALUE!</v>
      </c>
    </row>
    <row r="21" spans="1:28">
      <c r="A21" s="28">
        <v>45992</v>
      </c>
      <c r="B21" s="29" t="e" vm="2">
        <f>AVERAGE(Prices!C673:'Prices'!C672)</f>
        <v>#VALUE!</v>
      </c>
      <c r="C21" s="29" t="e" vm="2">
        <f t="shared" ref="C21" si="12">B21-(J21/2)</f>
        <v>#VALUE!</v>
      </c>
      <c r="D21" s="29" t="e" vm="2">
        <f t="shared" ref="D21:D23" si="13">B21+(J21/2)</f>
        <v>#VALUE!</v>
      </c>
      <c r="E21" s="29" t="e" vm="2">
        <f t="shared" si="6"/>
        <v>#VALUE!</v>
      </c>
      <c r="F21" s="29" t="e" vm="1">
        <f>[1]!'@smq5[DTN:cbot]?Last'</f>
        <v>#REF!</v>
      </c>
      <c r="G21" s="32" t="e" vm="2">
        <f t="shared" si="9"/>
        <v>#VALUE!</v>
      </c>
      <c r="H21" s="32" t="e" vm="2">
        <f t="shared" si="10"/>
        <v>#VALUE!</v>
      </c>
      <c r="I21" s="33" t="e" vm="2">
        <f t="shared" si="11"/>
        <v>#VALUE!</v>
      </c>
      <c r="J21" s="29" t="e">
        <f t="shared" si="7"/>
        <v>#DIV/0!</v>
      </c>
      <c r="K21" s="26" t="s">
        <v>41</v>
      </c>
      <c r="X21" s="12" t="e" vm="2">
        <f t="shared" si="8"/>
        <v>#VALUE!</v>
      </c>
    </row>
    <row r="22" spans="1:28">
      <c r="A22" s="20">
        <v>46023</v>
      </c>
      <c r="B22" s="21" t="e" vm="2">
        <f>AVERAGE(Prices!C674)</f>
        <v>#VALUE!</v>
      </c>
      <c r="C22" s="21" t="e" vm="2">
        <f>B22-(J22/2)</f>
        <v>#VALUE!</v>
      </c>
      <c r="D22" s="21" t="e" vm="2">
        <f t="shared" si="13"/>
        <v>#VALUE!</v>
      </c>
      <c r="E22" s="21" t="e" vm="2">
        <f t="shared" si="6"/>
        <v>#VALUE!</v>
      </c>
      <c r="F22" s="21" t="e" vm="1">
        <f>[1]!'@smv5[DTN:cbot]?Last'</f>
        <v>#REF!</v>
      </c>
      <c r="G22" s="24" t="e" vm="2">
        <f t="shared" si="9"/>
        <v>#VALUE!</v>
      </c>
      <c r="H22" s="24" t="e" vm="2">
        <f t="shared" si="10"/>
        <v>#VALUE!</v>
      </c>
      <c r="I22" s="25" t="e" vm="2">
        <f t="shared" si="11"/>
        <v>#VALUE!</v>
      </c>
      <c r="J22" s="21" t="e">
        <f t="shared" si="7"/>
        <v>#DIV/0!</v>
      </c>
      <c r="K22" s="26" t="s">
        <v>42</v>
      </c>
      <c r="X22" s="12" t="e" vm="2">
        <f t="shared" si="8"/>
        <v>#VALUE!</v>
      </c>
    </row>
    <row r="23" spans="1:28">
      <c r="A23" s="28">
        <v>46082</v>
      </c>
      <c r="B23" s="29" t="e" vm="2">
        <f>AVERAGE(Prices!C675:'Prices'!C676)</f>
        <v>#VALUE!</v>
      </c>
      <c r="C23" s="29" t="e" vm="2">
        <f t="shared" ref="C23" si="14">B23-(J23/2)</f>
        <v>#VALUE!</v>
      </c>
      <c r="D23" s="29" t="e" vm="2">
        <f t="shared" si="13"/>
        <v>#VALUE!</v>
      </c>
      <c r="E23" s="29" t="e" vm="2">
        <f t="shared" si="6"/>
        <v>#VALUE!</v>
      </c>
      <c r="F23" s="29" t="e" vm="1">
        <f>[1]!'@smq5[DTN:cbot]?Last'</f>
        <v>#REF!</v>
      </c>
      <c r="G23" s="32" t="e" vm="2">
        <f t="shared" si="9"/>
        <v>#VALUE!</v>
      </c>
      <c r="H23" s="32" t="e" vm="2">
        <f t="shared" si="10"/>
        <v>#VALUE!</v>
      </c>
      <c r="I23" s="33" t="e" vm="2">
        <f t="shared" si="11"/>
        <v>#VALUE!</v>
      </c>
      <c r="J23" s="29" t="e">
        <f t="shared" si="7"/>
        <v>#DIV/0!</v>
      </c>
      <c r="K23" s="26" t="s">
        <v>34</v>
      </c>
      <c r="X23" s="12" t="e" vm="2">
        <f t="shared" si="8"/>
        <v>#VALUE!</v>
      </c>
    </row>
    <row r="24" spans="1:28">
      <c r="A24" s="36"/>
      <c r="B24" s="36"/>
      <c r="C24" s="36"/>
      <c r="D24" s="36"/>
      <c r="E24" s="36"/>
      <c r="F24" s="36"/>
      <c r="G24" s="36"/>
      <c r="H24" s="36"/>
      <c r="I24" s="36"/>
      <c r="J24" s="36"/>
    </row>
    <row r="25" spans="1:28">
      <c r="X25" s="12"/>
    </row>
    <row r="28" spans="1:28">
      <c r="F28" s="39"/>
    </row>
    <row r="29" spans="1:28" ht="22.5">
      <c r="A29" s="14" t="s">
        <v>30</v>
      </c>
    </row>
    <row r="30" spans="1:28">
      <c r="A30" s="16"/>
      <c r="B30" s="17" t="s">
        <v>15</v>
      </c>
      <c r="C30" s="17" t="s">
        <v>10</v>
      </c>
      <c r="D30" s="17" t="s">
        <v>8</v>
      </c>
      <c r="E30" s="17" t="s">
        <v>16</v>
      </c>
      <c r="F30" s="17" t="s">
        <v>17</v>
      </c>
      <c r="G30" s="17" t="s">
        <v>18</v>
      </c>
      <c r="H30" s="17" t="s">
        <v>37</v>
      </c>
      <c r="I30" s="18" t="s">
        <v>20</v>
      </c>
      <c r="J30" s="17" t="s">
        <v>21</v>
      </c>
      <c r="Z30" t="s">
        <v>43</v>
      </c>
    </row>
    <row r="31" spans="1:28">
      <c r="A31" s="20">
        <v>45778</v>
      </c>
      <c r="B31" s="21" t="e">
        <f>MROUND(AVERAGE('[5]Monthly Prices'!$AR$305:$AR$306),0.25)</f>
        <v>#DIV/0!</v>
      </c>
      <c r="C31" s="21">
        <f>MROUND(MIN('[5]Monthly Prices'!$AT$305:$AT$306),0.25)</f>
        <v>0</v>
      </c>
      <c r="D31" s="21">
        <f>MROUND(MAX('[5]Monthly Prices'!$AS$305:$AS$306),0.25)</f>
        <v>0</v>
      </c>
      <c r="E31" s="21">
        <f t="shared" ref="E31:E34" si="15">AVERAGE(C31:D31)</f>
        <v>0</v>
      </c>
      <c r="F31" s="21" t="e" vm="1">
        <f>[1]!'@BOk5[DTN:cbot]?Last'</f>
        <v>#REF!</v>
      </c>
      <c r="G31" s="24"/>
      <c r="H31" s="24"/>
      <c r="I31" s="25"/>
      <c r="J31" s="21">
        <f t="shared" ref="J31:J39" si="16">D31-C31</f>
        <v>0</v>
      </c>
      <c r="X31" s="11">
        <f t="shared" ref="X31:X37" si="17">A31</f>
        <v>45778</v>
      </c>
      <c r="Y31" s="12" t="e" vm="2">
        <f t="shared" ref="Y31:Y38" si="18">F31-H31</f>
        <v>#VALUE!</v>
      </c>
      <c r="Z31" s="41">
        <f>AVERAGE('[8]Soy Complex'!$BN$504:$BN$505)</f>
        <v>23.110272181225191</v>
      </c>
      <c r="AA31" s="12" t="e">
        <f>B31</f>
        <v>#DIV/0!</v>
      </c>
      <c r="AB31" s="12" t="e" vm="2">
        <f>F3</f>
        <v>#VALUE!</v>
      </c>
    </row>
    <row r="32" spans="1:28">
      <c r="A32" s="28">
        <v>45839</v>
      </c>
      <c r="B32" s="29" t="e">
        <f>MROUND(AVERAGE('[5]Monthly Prices'!$AR$307:$AR$308),0.25)</f>
        <v>#DIV/0!</v>
      </c>
      <c r="C32" s="29">
        <f>MROUND(MIN('[5]Monthly Prices'!$AT$307:$AT$308),0.25)</f>
        <v>0</v>
      </c>
      <c r="D32" s="29">
        <f>MROUND(MAX('[5]Monthly Prices'!$AS$307:$AS$308),0.25)</f>
        <v>0</v>
      </c>
      <c r="E32" s="29">
        <f t="shared" si="15"/>
        <v>0</v>
      </c>
      <c r="F32" s="29" t="e" vm="1">
        <f>[1]!'@BOn5[DTN:cbot]?Last'</f>
        <v>#REF!</v>
      </c>
      <c r="G32" s="32" t="e" vm="2">
        <f t="shared" ref="G32:G39" si="19">F32-F31</f>
        <v>#VALUE!</v>
      </c>
      <c r="H32" s="32" t="e">
        <f>(B32*V$10/1200)+(V$6*(A32-A31))</f>
        <v>#DIV/0!</v>
      </c>
      <c r="I32" s="33" t="e" vm="2">
        <f t="shared" ref="I32:I39" si="20">G32/H32</f>
        <v>#VALUE!</v>
      </c>
      <c r="J32" s="29">
        <f t="shared" si="16"/>
        <v>0</v>
      </c>
      <c r="X32" s="11">
        <f t="shared" si="17"/>
        <v>45839</v>
      </c>
      <c r="Y32" s="12" t="e" vm="2">
        <f t="shared" si="18"/>
        <v>#VALUE!</v>
      </c>
      <c r="Z32" s="41">
        <f>AVERAGE('[8]Soy Complex'!$BN$506:$BN$507)</f>
        <v>28.62873726449547</v>
      </c>
      <c r="AA32" s="12" t="e">
        <f>B32</f>
        <v>#DIV/0!</v>
      </c>
      <c r="AB32" s="12" t="e" vm="2">
        <f t="shared" ref="AB32:AB38" si="21">F4</f>
        <v>#VALUE!</v>
      </c>
    </row>
    <row r="33" spans="1:28">
      <c r="A33" s="20">
        <v>45870</v>
      </c>
      <c r="B33" s="21" t="e">
        <f>MROUND(AVERAGE('[5]Monthly Prices'!$AR$309),0.25)</f>
        <v>#DIV/0!</v>
      </c>
      <c r="C33" s="21">
        <f>MROUND(MIN('[5]Monthly Prices'!$AT$309),0.25)</f>
        <v>0</v>
      </c>
      <c r="D33" s="21">
        <f>MROUND(MAX('[5]Monthly Prices'!$AS$309),0.25)</f>
        <v>0</v>
      </c>
      <c r="E33" s="21">
        <f t="shared" si="15"/>
        <v>0</v>
      </c>
      <c r="F33" s="21" t="e" vm="1">
        <f>[1]!'@BOq5[DTN:cbot]?Last'</f>
        <v>#REF!</v>
      </c>
      <c r="G33" s="24" t="e" vm="2">
        <f t="shared" si="19"/>
        <v>#VALUE!</v>
      </c>
      <c r="H33" s="24" t="e">
        <f>(B33*V$10/1200)+(V$6*(A33-A32))</f>
        <v>#DIV/0!</v>
      </c>
      <c r="I33" s="25" t="e" vm="2">
        <f t="shared" si="20"/>
        <v>#VALUE!</v>
      </c>
      <c r="J33" s="21">
        <f t="shared" si="16"/>
        <v>0</v>
      </c>
      <c r="X33" s="11">
        <f t="shared" si="17"/>
        <v>45870</v>
      </c>
      <c r="Y33" s="12" t="e" vm="2">
        <f t="shared" si="18"/>
        <v>#VALUE!</v>
      </c>
      <c r="Z33" s="41">
        <f>'[8]Soy Complex'!$BN$508</f>
        <v>28.005824514544969</v>
      </c>
      <c r="AA33" s="12" t="e">
        <f>B33</f>
        <v>#DIV/0!</v>
      </c>
      <c r="AB33" s="12" t="e" vm="2">
        <f t="shared" si="21"/>
        <v>#VALUE!</v>
      </c>
    </row>
    <row r="34" spans="1:28">
      <c r="A34" s="28">
        <v>45901</v>
      </c>
      <c r="B34" s="29" t="e">
        <f>MROUND(AVERAGE('[5]Monthly Prices'!$AR$310),0.25)</f>
        <v>#DIV/0!</v>
      </c>
      <c r="C34" s="29">
        <f>MROUND(MIN('[5]Monthly Prices'!$AT$310),0.25)</f>
        <v>0</v>
      </c>
      <c r="D34" s="29">
        <f>MROUND(MAX('[5]Monthly Prices'!$AS$310),0.25)</f>
        <v>0</v>
      </c>
      <c r="E34" s="29">
        <f t="shared" si="15"/>
        <v>0</v>
      </c>
      <c r="F34" s="29" t="e" vm="1">
        <f>[1]!'@BOu5[DTN:cbot]?Last'</f>
        <v>#REF!</v>
      </c>
      <c r="G34" s="32" t="e" vm="2">
        <f t="shared" si="19"/>
        <v>#VALUE!</v>
      </c>
      <c r="H34" s="32" t="e">
        <f>(B34*V$10/1200)+(V$6*(A34-A33))</f>
        <v>#DIV/0!</v>
      </c>
      <c r="I34" s="33" t="e" vm="2">
        <f t="shared" si="20"/>
        <v>#VALUE!</v>
      </c>
      <c r="J34" s="29">
        <f t="shared" si="16"/>
        <v>0</v>
      </c>
      <c r="X34" s="11">
        <f t="shared" si="17"/>
        <v>45901</v>
      </c>
      <c r="Y34" s="12" t="e" vm="2">
        <f t="shared" si="18"/>
        <v>#VALUE!</v>
      </c>
      <c r="Z34" s="41">
        <f>'[8]Soy Complex'!$BN$509</f>
        <v>34.175981385336904</v>
      </c>
      <c r="AA34" s="12" t="e">
        <f>B34</f>
        <v>#DIV/0!</v>
      </c>
      <c r="AB34" s="12" t="e" vm="2">
        <f t="shared" si="21"/>
        <v>#VALUE!</v>
      </c>
    </row>
    <row r="35" spans="1:28">
      <c r="A35" s="20">
        <v>45931</v>
      </c>
      <c r="B35" s="21" t="e">
        <f>MROUND(AVERAGE('[5]Monthly Prices'!$AR$311),0.25)</f>
        <v>#DIV/0!</v>
      </c>
      <c r="C35" s="21">
        <f>MROUND(MIN('[5]Monthly Prices'!$AT$311),0.25)</f>
        <v>0</v>
      </c>
      <c r="D35" s="21">
        <f>MROUND(MAX('[5]Monthly Prices'!$AS$311),0.25)</f>
        <v>0</v>
      </c>
      <c r="E35" s="21">
        <f>AVERAGE(C35:D35)</f>
        <v>0</v>
      </c>
      <c r="F35" s="21" t="e" vm="1">
        <f>[1]!'@BOv5[DTN:cbot]?Last'</f>
        <v>#REF!</v>
      </c>
      <c r="G35" s="24" t="e" vm="2">
        <f t="shared" si="19"/>
        <v>#VALUE!</v>
      </c>
      <c r="H35" s="24" t="e">
        <f>(B35*V$10/1200)+(V$6*(A35-A34))</f>
        <v>#DIV/0!</v>
      </c>
      <c r="I35" s="25" t="e" vm="2">
        <f t="shared" si="20"/>
        <v>#VALUE!</v>
      </c>
      <c r="J35" s="21">
        <f t="shared" si="16"/>
        <v>0</v>
      </c>
      <c r="X35" s="11">
        <f t="shared" si="17"/>
        <v>45931</v>
      </c>
      <c r="Y35" s="12" t="e" vm="2">
        <f t="shared" si="18"/>
        <v>#VALUE!</v>
      </c>
      <c r="Z35" s="41">
        <f>'[8]Soy Complex'!$BN$510</f>
        <v>0</v>
      </c>
      <c r="AA35" s="12" t="e">
        <f>B35</f>
        <v>#DIV/0!</v>
      </c>
      <c r="AB35" s="12" t="e" vm="2">
        <f t="shared" si="21"/>
        <v>#VALUE!</v>
      </c>
    </row>
    <row r="36" spans="1:28">
      <c r="A36" s="28">
        <v>45992</v>
      </c>
      <c r="B36" s="29" t="e">
        <f>MROUND(AVERAGE('[5]Monthly Prices'!$AR$312:$AR$313),0.25)</f>
        <v>#DIV/0!</v>
      </c>
      <c r="C36" s="29">
        <f>MROUND(MIN('[5]Monthly Prices'!$AT$312:$AT$313),0.25)</f>
        <v>0</v>
      </c>
      <c r="D36" s="29">
        <f>MROUND(MAX('[5]Monthly Prices'!$AS$312:$AS$313),0.25)</f>
        <v>0</v>
      </c>
      <c r="E36" s="29">
        <f t="shared" ref="E36" si="22">AVERAGE(C36:D36)</f>
        <v>0</v>
      </c>
      <c r="F36" s="29" t="e" vm="1">
        <f>[1]!'@BOz5[DTN:cbot]?Last'</f>
        <v>#REF!</v>
      </c>
      <c r="G36" s="32" t="e" vm="2">
        <f t="shared" si="19"/>
        <v>#VALUE!</v>
      </c>
      <c r="H36" s="32" t="e">
        <f>(B36*V$10/1200)+(V$6*(A36-A35))</f>
        <v>#DIV/0!</v>
      </c>
      <c r="I36" s="33" t="e" vm="2">
        <f t="shared" si="20"/>
        <v>#VALUE!</v>
      </c>
      <c r="J36" s="29">
        <f t="shared" si="16"/>
        <v>0</v>
      </c>
      <c r="X36" s="11">
        <f t="shared" si="17"/>
        <v>45992</v>
      </c>
      <c r="Y36" s="12" t="e" vm="2">
        <f t="shared" si="18"/>
        <v>#VALUE!</v>
      </c>
      <c r="Z36" s="41">
        <f>AVERAGE('[8]Soy Complex'!$BO$499:$BO$500)</f>
        <v>25.032820909139812</v>
      </c>
      <c r="AA36" s="12" t="e">
        <f t="shared" ref="AA36:AA38" si="23">B36</f>
        <v>#DIV/0!</v>
      </c>
      <c r="AB36" s="12" t="e" vm="2">
        <f t="shared" si="21"/>
        <v>#VALUE!</v>
      </c>
    </row>
    <row r="37" spans="1:28">
      <c r="A37" s="20">
        <v>46023</v>
      </c>
      <c r="B37" s="21" t="e">
        <f>MROUND(AVERAGE('[5]Monthly Prices'!$AR$314),0.25)</f>
        <v>#DIV/0!</v>
      </c>
      <c r="C37" s="21">
        <f>MROUND(MIN('[5]Monthly Prices'!$AT$314),0.25)</f>
        <v>0</v>
      </c>
      <c r="D37" s="21">
        <f>MROUND(MAX('[5]Monthly Prices'!$AS$314:$AS$314),0.25)</f>
        <v>0</v>
      </c>
      <c r="E37" s="21">
        <f>AVERAGE(C37:D37)</f>
        <v>0</v>
      </c>
      <c r="F37" s="21" t="e" vm="1">
        <f>[1]!'@BOf6[DTN:cbot]?Last'</f>
        <v>#REF!</v>
      </c>
      <c r="G37" s="24" t="e" vm="2">
        <f t="shared" si="19"/>
        <v>#VALUE!</v>
      </c>
      <c r="H37" s="24" t="e">
        <f t="shared" ref="H37:H39" si="24">(B37*V$10/1200)+(V$6*(A37-A36))</f>
        <v>#DIV/0!</v>
      </c>
      <c r="I37" s="25" t="e" vm="2">
        <f t="shared" si="20"/>
        <v>#VALUE!</v>
      </c>
      <c r="J37" s="21">
        <f t="shared" si="16"/>
        <v>0</v>
      </c>
      <c r="X37" s="11">
        <f t="shared" si="17"/>
        <v>46023</v>
      </c>
      <c r="Y37" s="12" t="e" vm="2">
        <f t="shared" si="18"/>
        <v>#VALUE!</v>
      </c>
      <c r="Z37" s="41">
        <f>'[8]Soy Complex'!$BO$501</f>
        <v>33.226841854807127</v>
      </c>
      <c r="AA37" s="12" t="e">
        <f t="shared" si="23"/>
        <v>#DIV/0!</v>
      </c>
      <c r="AB37" s="12" t="e" vm="2">
        <f t="shared" si="21"/>
        <v>#VALUE!</v>
      </c>
    </row>
    <row r="38" spans="1:28">
      <c r="A38" s="28">
        <v>46082</v>
      </c>
      <c r="B38" s="29" t="e">
        <f>MROUND(AVERAGE('[5]Monthly Prices'!$AR$315:$AR$316),0.25)</f>
        <v>#DIV/0!</v>
      </c>
      <c r="C38" s="29">
        <f>MROUND(MIN('[5]Monthly Prices'!$AT$315:$AT$316),0.25)</f>
        <v>0</v>
      </c>
      <c r="D38" s="29">
        <f>MROUND(MAX('[5]Monthly Prices'!$AS$315:$AS$316),0.25)</f>
        <v>0</v>
      </c>
      <c r="E38" s="29">
        <f t="shared" ref="E38" si="25">AVERAGE(C38:D38)</f>
        <v>0</v>
      </c>
      <c r="F38" s="29" t="e" vm="1">
        <f>[1]!'@BOh6[DTN:cbot]?Last'</f>
        <v>#REF!</v>
      </c>
      <c r="G38" s="32" t="e" vm="2">
        <f t="shared" si="19"/>
        <v>#VALUE!</v>
      </c>
      <c r="H38" s="32" t="e">
        <f t="shared" si="24"/>
        <v>#DIV/0!</v>
      </c>
      <c r="I38" s="33" t="e" vm="2">
        <f t="shared" si="20"/>
        <v>#VALUE!</v>
      </c>
      <c r="J38" s="29">
        <f>D38-C38</f>
        <v>0</v>
      </c>
      <c r="X38" s="11">
        <v>46082</v>
      </c>
      <c r="Y38" s="12" t="e" vm="2">
        <f t="shared" si="18"/>
        <v>#VALUE!</v>
      </c>
      <c r="Z38" s="41">
        <f>AVERAGE('[8]Soy Complex'!$BO$502:$BO$503)</f>
        <v>36.548428478762531</v>
      </c>
      <c r="AA38" s="12" t="e">
        <f t="shared" si="23"/>
        <v>#DIV/0!</v>
      </c>
      <c r="AB38" s="12" t="e" vm="2">
        <f t="shared" si="21"/>
        <v>#VALUE!</v>
      </c>
    </row>
    <row r="39" spans="1:28">
      <c r="A39" s="20">
        <v>46143</v>
      </c>
      <c r="B39" s="21" t="e">
        <f>MROUND(AVERAGE('[5]Monthly Prices'!$AR$317:$AR$318),0.25)</f>
        <v>#DIV/0!</v>
      </c>
      <c r="C39" s="21">
        <f>MROUND(MIN('[5]Monthly Prices'!$AT$317:$AT$318),0.25)</f>
        <v>0</v>
      </c>
      <c r="D39" s="21">
        <f>MROUND(MAX('[5]Monthly Prices'!$AS$317:$AS$318),0.25)</f>
        <v>0</v>
      </c>
      <c r="E39" s="21">
        <f>AVERAGE(C39:D39)</f>
        <v>0</v>
      </c>
      <c r="F39" s="21" t="e" vm="1">
        <f>[1]!'@BOk6[DTN:cbot]?Last'</f>
        <v>#REF!</v>
      </c>
      <c r="G39" s="24" t="e" vm="2">
        <f t="shared" si="19"/>
        <v>#VALUE!</v>
      </c>
      <c r="H39" s="24" t="e">
        <f t="shared" si="24"/>
        <v>#DIV/0!</v>
      </c>
      <c r="I39" s="25" t="e" vm="2">
        <f t="shared" si="20"/>
        <v>#VALUE!</v>
      </c>
      <c r="J39" s="21">
        <f t="shared" si="16"/>
        <v>0</v>
      </c>
    </row>
    <row r="42" spans="1:28" ht="22.5">
      <c r="A42" s="14" t="s">
        <v>44</v>
      </c>
    </row>
    <row r="43" spans="1:28" ht="51">
      <c r="A43" s="17"/>
      <c r="B43" s="17" t="s">
        <v>15</v>
      </c>
      <c r="C43" s="17" t="s">
        <v>10</v>
      </c>
      <c r="D43" s="17" t="s">
        <v>8</v>
      </c>
      <c r="E43" s="17" t="s">
        <v>16</v>
      </c>
      <c r="F43" s="42" t="s">
        <v>17</v>
      </c>
      <c r="G43" s="17" t="s">
        <v>18</v>
      </c>
      <c r="H43" s="17" t="s">
        <v>37</v>
      </c>
      <c r="I43" s="17" t="s">
        <v>20</v>
      </c>
      <c r="J43" s="17" t="s">
        <v>21</v>
      </c>
      <c r="K43" s="16"/>
      <c r="L43" s="18" t="s">
        <v>45</v>
      </c>
      <c r="M43" s="18" t="s">
        <v>46</v>
      </c>
      <c r="N43" s="18" t="s">
        <v>47</v>
      </c>
      <c r="O43" s="18" t="s">
        <v>48</v>
      </c>
      <c r="P43" s="18" t="s">
        <v>49</v>
      </c>
      <c r="Q43" s="18" t="s">
        <v>50</v>
      </c>
      <c r="R43" s="18" t="s">
        <v>51</v>
      </c>
    </row>
    <row r="44" spans="1:28">
      <c r="A44" s="43">
        <v>45748</v>
      </c>
      <c r="B44" s="44">
        <v>4750</v>
      </c>
      <c r="C44" s="44" t="e">
        <f t="shared" ref="C44:C52" si="26">B44-(J44/2)</f>
        <v>#DIV/0!</v>
      </c>
      <c r="D44" s="44" t="e">
        <f t="shared" ref="D44:D52" si="27">B44+(J44/2)</f>
        <v>#DIV/0!</v>
      </c>
      <c r="E44" s="44" t="e">
        <f>AVERAGE(C44:D44)</f>
        <v>#DIV/0!</v>
      </c>
      <c r="F44" s="44" t="e" vm="1">
        <f>[1]!'KPOj5[DTN:MDE]?Settle'</f>
        <v>#REF!</v>
      </c>
      <c r="G44" s="44"/>
      <c r="H44" s="44"/>
      <c r="I44" s="44"/>
      <c r="J44" s="44" t="e">
        <f>MROUND(450*(J31/AVERAGE($J$31:$J$38)),50)+100</f>
        <v>#DIV/0!</v>
      </c>
      <c r="K44" s="44"/>
      <c r="L44" s="44" t="e">
        <f>B44/$A$63/2204.622*100</f>
        <v>#N/A</v>
      </c>
      <c r="M44" s="44">
        <f>'[5]Monthly Prices'!$AR306</f>
        <v>0</v>
      </c>
      <c r="N44" s="44" t="e">
        <f t="shared" ref="N44:N52" si="28">M44-L44</f>
        <v>#N/A</v>
      </c>
      <c r="O44" s="44" t="e" vm="2">
        <f>F44/$A$63/2204.622*100</f>
        <v>#VALUE!</v>
      </c>
      <c r="P44" s="44" t="e" vm="2">
        <f>F31</f>
        <v>#VALUE!</v>
      </c>
      <c r="Q44" s="44" t="e" vm="2">
        <f t="shared" ref="Q44:Q52" si="29">P44-O44</f>
        <v>#VALUE!</v>
      </c>
      <c r="R44" s="44" t="e">
        <f t="shared" ref="R44:R52" si="30">N44-Q44</f>
        <v>#N/A</v>
      </c>
    </row>
    <row r="45" spans="1:28">
      <c r="A45" s="13">
        <v>45778</v>
      </c>
      <c r="B45" s="45">
        <v>4650</v>
      </c>
      <c r="C45" s="45" t="e">
        <f t="shared" si="26"/>
        <v>#DIV/0!</v>
      </c>
      <c r="D45" s="45" t="e">
        <f t="shared" si="27"/>
        <v>#DIV/0!</v>
      </c>
      <c r="E45" s="45" t="e">
        <f>AVERAGE(C45:D45)</f>
        <v>#DIV/0!</v>
      </c>
      <c r="F45" s="45" t="e" vm="1">
        <f>[1]!'KPOk5[DTN:MDE]?Settle'</f>
        <v>#REF!</v>
      </c>
      <c r="G45" s="45" t="e" vm="2">
        <f>F45-F44</f>
        <v>#VALUE!</v>
      </c>
      <c r="H45" s="45"/>
      <c r="I45" s="45"/>
      <c r="J45" s="45" t="e">
        <f>MROUND(450*(J32/AVERAGE($J$31:$J$38)),50)+100</f>
        <v>#DIV/0!</v>
      </c>
      <c r="K45" s="45"/>
      <c r="L45" s="45" t="e">
        <f>B45/$A$63/2204.622*100</f>
        <v>#N/A</v>
      </c>
      <c r="M45" s="45">
        <f>'[5]Monthly Prices'!$AR307</f>
        <v>0</v>
      </c>
      <c r="N45" s="45" t="e">
        <f t="shared" si="28"/>
        <v>#N/A</v>
      </c>
      <c r="O45" s="45" t="e" vm="2">
        <f>F45/$A$63/2204.622*100</f>
        <v>#VALUE!</v>
      </c>
      <c r="P45" s="45" t="e" vm="2">
        <f>F31</f>
        <v>#VALUE!</v>
      </c>
      <c r="Q45" s="45" t="e" vm="2">
        <f t="shared" si="29"/>
        <v>#VALUE!</v>
      </c>
      <c r="R45" s="45" t="e">
        <f t="shared" si="30"/>
        <v>#N/A</v>
      </c>
    </row>
    <row r="46" spans="1:28">
      <c r="A46" s="43">
        <v>45809</v>
      </c>
      <c r="B46" s="44">
        <v>5000</v>
      </c>
      <c r="C46" s="44" t="e">
        <f t="shared" si="26"/>
        <v>#DIV/0!</v>
      </c>
      <c r="D46" s="44" t="e">
        <f t="shared" si="27"/>
        <v>#DIV/0!</v>
      </c>
      <c r="E46" s="44" t="e">
        <f>AVERAGE(C46:D46)</f>
        <v>#DIV/0!</v>
      </c>
      <c r="F46" s="44" t="e" vm="1">
        <f>[1]!'KPOm5[DTN:MDE]?Settle'</f>
        <v>#REF!</v>
      </c>
      <c r="G46" s="44" t="e" vm="2">
        <f>F46-F45</f>
        <v>#VALUE!</v>
      </c>
      <c r="H46" s="44"/>
      <c r="I46" s="44"/>
      <c r="J46" s="44" t="e">
        <f>MROUND(450*(J32/AVERAGE($J$31:$J$38)),50)+100</f>
        <v>#DIV/0!</v>
      </c>
      <c r="K46" s="44"/>
      <c r="L46" s="44" t="e">
        <f t="shared" ref="L46:L56" si="31">B46/$A$63/2204.622*100</f>
        <v>#N/A</v>
      </c>
      <c r="M46" s="44">
        <f>'[5]Monthly Prices'!$AR308</f>
        <v>0</v>
      </c>
      <c r="N46" s="44" t="e">
        <f t="shared" si="28"/>
        <v>#N/A</v>
      </c>
      <c r="O46" s="44" t="e" vm="2">
        <f>F46/$A$63/2204.622*100</f>
        <v>#VALUE!</v>
      </c>
      <c r="P46" s="44" t="e" vm="2">
        <f>F32</f>
        <v>#VALUE!</v>
      </c>
      <c r="Q46" s="44" t="e" vm="2">
        <f t="shared" si="29"/>
        <v>#VALUE!</v>
      </c>
      <c r="R46" s="44" t="e">
        <f t="shared" si="30"/>
        <v>#N/A</v>
      </c>
    </row>
    <row r="47" spans="1:28">
      <c r="A47" s="13">
        <v>45839</v>
      </c>
      <c r="B47" s="45">
        <v>5000</v>
      </c>
      <c r="C47" s="45" t="e">
        <f t="shared" si="26"/>
        <v>#DIV/0!</v>
      </c>
      <c r="D47" s="45" t="e">
        <f t="shared" si="27"/>
        <v>#DIV/0!</v>
      </c>
      <c r="E47" s="45" t="e">
        <f>AVERAGE(C47:D47)</f>
        <v>#DIV/0!</v>
      </c>
      <c r="F47" s="45" t="e" vm="1">
        <f>[1]!'KPOn5[DTN:MDE]?Settle'</f>
        <v>#REF!</v>
      </c>
      <c r="G47" s="45" t="e" vm="2">
        <f t="shared" ref="G47:G52" si="32">F47-F46</f>
        <v>#VALUE!</v>
      </c>
      <c r="H47" s="45"/>
      <c r="I47" s="45"/>
      <c r="J47" s="45" t="e">
        <f>MROUND(450*(J33/AVERAGE($J$31:$J$38)),50)+100</f>
        <v>#DIV/0!</v>
      </c>
      <c r="K47" s="45"/>
      <c r="L47" s="45" t="e">
        <f t="shared" si="31"/>
        <v>#N/A</v>
      </c>
      <c r="M47" s="45">
        <f>'[5]Monthly Prices'!$AR309</f>
        <v>0</v>
      </c>
      <c r="N47" s="45" t="e">
        <f t="shared" si="28"/>
        <v>#N/A</v>
      </c>
      <c r="O47" s="45" t="e" vm="2">
        <f>F47/$A$63/2204.622*100</f>
        <v>#VALUE!</v>
      </c>
      <c r="P47" s="45" t="e" vm="2">
        <f>F32</f>
        <v>#VALUE!</v>
      </c>
      <c r="Q47" s="45" t="e" vm="2">
        <f t="shared" si="29"/>
        <v>#VALUE!</v>
      </c>
      <c r="R47" s="45" t="e">
        <f t="shared" si="30"/>
        <v>#N/A</v>
      </c>
    </row>
    <row r="48" spans="1:28">
      <c r="A48" s="43">
        <v>45870</v>
      </c>
      <c r="B48" s="44">
        <v>5100</v>
      </c>
      <c r="C48" s="44" t="e">
        <f t="shared" si="26"/>
        <v>#DIV/0!</v>
      </c>
      <c r="D48" s="44" t="e">
        <f t="shared" si="27"/>
        <v>#DIV/0!</v>
      </c>
      <c r="E48" s="44" t="e">
        <f>AVERAGE(C48:D48)</f>
        <v>#DIV/0!</v>
      </c>
      <c r="F48" s="44" t="e" vm="1">
        <f>[1]!'KPOq5[DTN:MDE]?Settle'</f>
        <v>#REF!</v>
      </c>
      <c r="G48" s="44" t="e" vm="2">
        <f t="shared" si="32"/>
        <v>#VALUE!</v>
      </c>
      <c r="H48" s="44"/>
      <c r="I48" s="44"/>
      <c r="J48" s="44" t="e">
        <f>MROUND(450*(J34/AVERAGE($J$31:$J$38)),50)+100</f>
        <v>#DIV/0!</v>
      </c>
      <c r="K48" s="44"/>
      <c r="L48" s="44" t="e">
        <f t="shared" si="31"/>
        <v>#N/A</v>
      </c>
      <c r="M48" s="44">
        <f>'[5]Monthly Prices'!$AR310</f>
        <v>0</v>
      </c>
      <c r="N48" s="44" t="e">
        <f t="shared" si="28"/>
        <v>#N/A</v>
      </c>
      <c r="O48" s="44" t="e" vm="2">
        <f t="shared" ref="O48:O52" si="33">F48/$A$63/2204.622*100</f>
        <v>#VALUE!</v>
      </c>
      <c r="P48" s="44" t="e" vm="2">
        <f>F33</f>
        <v>#VALUE!</v>
      </c>
      <c r="Q48" s="44" t="e" vm="2">
        <f t="shared" si="29"/>
        <v>#VALUE!</v>
      </c>
      <c r="R48" s="44" t="e">
        <f t="shared" si="30"/>
        <v>#N/A</v>
      </c>
    </row>
    <row r="49" spans="1:18">
      <c r="A49" s="13">
        <v>45901</v>
      </c>
      <c r="B49" s="45">
        <v>5200</v>
      </c>
      <c r="C49" s="45" t="e">
        <f t="shared" si="26"/>
        <v>#DIV/0!</v>
      </c>
      <c r="D49" s="45" t="e">
        <f t="shared" si="27"/>
        <v>#DIV/0!</v>
      </c>
      <c r="E49" s="45" t="e">
        <f t="shared" ref="E49:E52" si="34">AVERAGE(C49:D49)</f>
        <v>#DIV/0!</v>
      </c>
      <c r="F49" s="45" t="e" vm="1">
        <f>[1]!'KPOu5[DTN:MDE]?Settle'</f>
        <v>#REF!</v>
      </c>
      <c r="G49" s="45" t="e" vm="2">
        <f t="shared" si="32"/>
        <v>#VALUE!</v>
      </c>
      <c r="H49" s="45"/>
      <c r="I49" s="45"/>
      <c r="J49" s="45" t="e">
        <f>MROUND(450*(J35/AVERAGE($J$31:$J$38)),50)+100</f>
        <v>#DIV/0!</v>
      </c>
      <c r="K49" s="45"/>
      <c r="L49" s="45" t="e">
        <f t="shared" si="31"/>
        <v>#N/A</v>
      </c>
      <c r="M49" s="45">
        <f>'[5]Monthly Prices'!$AR311</f>
        <v>0</v>
      </c>
      <c r="N49" s="45" t="e">
        <f t="shared" si="28"/>
        <v>#N/A</v>
      </c>
      <c r="O49" s="45" t="e" vm="2">
        <f t="shared" si="33"/>
        <v>#VALUE!</v>
      </c>
      <c r="P49" s="45" t="e" vm="2">
        <f>F34</f>
        <v>#VALUE!</v>
      </c>
      <c r="Q49" s="45" t="e" vm="2">
        <f t="shared" si="29"/>
        <v>#VALUE!</v>
      </c>
      <c r="R49" s="45" t="e">
        <f t="shared" si="30"/>
        <v>#N/A</v>
      </c>
    </row>
    <row r="50" spans="1:18">
      <c r="A50" s="43">
        <v>45931</v>
      </c>
      <c r="B50" s="44">
        <v>5100</v>
      </c>
      <c r="C50" s="44" t="e">
        <f t="shared" si="26"/>
        <v>#DIV/0!</v>
      </c>
      <c r="D50" s="44" t="e">
        <f t="shared" si="27"/>
        <v>#DIV/0!</v>
      </c>
      <c r="E50" s="44" t="e">
        <f t="shared" si="34"/>
        <v>#DIV/0!</v>
      </c>
      <c r="F50" s="44" t="e" vm="1">
        <f>[1]!'KPOv5[DTN:MDE]?Settle'</f>
        <v>#REF!</v>
      </c>
      <c r="G50" s="44" t="e" vm="2">
        <f t="shared" si="32"/>
        <v>#VALUE!</v>
      </c>
      <c r="H50" s="44"/>
      <c r="I50" s="44"/>
      <c r="J50" s="44" t="e">
        <f>MROUND(450*(J36/AVERAGE($J$31:$J$38)),50)+100</f>
        <v>#DIV/0!</v>
      </c>
      <c r="K50" s="44"/>
      <c r="L50" s="44" t="e">
        <f t="shared" si="31"/>
        <v>#N/A</v>
      </c>
      <c r="M50" s="44">
        <f>'[5]Monthly Prices'!$AR312</f>
        <v>0</v>
      </c>
      <c r="N50" s="44" t="e">
        <f t="shared" si="28"/>
        <v>#N/A</v>
      </c>
      <c r="O50" s="44" t="e" vm="2">
        <f t="shared" si="33"/>
        <v>#VALUE!</v>
      </c>
      <c r="P50" s="44" t="e" vm="2">
        <f>F35</f>
        <v>#VALUE!</v>
      </c>
      <c r="Q50" s="44" t="e" vm="2">
        <f t="shared" si="29"/>
        <v>#VALUE!</v>
      </c>
      <c r="R50" s="44" t="e">
        <f t="shared" si="30"/>
        <v>#N/A</v>
      </c>
    </row>
    <row r="51" spans="1:18">
      <c r="A51" s="13">
        <v>45962</v>
      </c>
      <c r="B51" s="45">
        <v>4900</v>
      </c>
      <c r="C51" s="45" t="e">
        <f t="shared" si="26"/>
        <v>#DIV/0!</v>
      </c>
      <c r="D51" s="45" t="e">
        <f t="shared" si="27"/>
        <v>#DIV/0!</v>
      </c>
      <c r="E51" s="45" t="e">
        <f t="shared" si="34"/>
        <v>#DIV/0!</v>
      </c>
      <c r="F51" s="45" t="e" vm="1">
        <f>[1]!'KPOx5[DTN:MDE]?Settle'</f>
        <v>#REF!</v>
      </c>
      <c r="G51" s="45" t="e" vm="2">
        <f t="shared" si="32"/>
        <v>#VALUE!</v>
      </c>
      <c r="H51" s="45"/>
      <c r="I51" s="45"/>
      <c r="J51" s="45" t="e">
        <f>MROUND(450*(J36/AVERAGE($J$31:$J$38)),50)+100</f>
        <v>#DIV/0!</v>
      </c>
      <c r="K51" s="45"/>
      <c r="L51" s="45" t="e">
        <f t="shared" si="31"/>
        <v>#N/A</v>
      </c>
      <c r="M51" s="45">
        <f>'[5]Monthly Prices'!$AR313</f>
        <v>0</v>
      </c>
      <c r="N51" s="45" t="e">
        <f t="shared" si="28"/>
        <v>#N/A</v>
      </c>
      <c r="O51" s="45" t="e" vm="2">
        <f t="shared" si="33"/>
        <v>#VALUE!</v>
      </c>
      <c r="P51" s="45" t="e" vm="2">
        <f>F36</f>
        <v>#VALUE!</v>
      </c>
      <c r="Q51" s="45" t="e" vm="2">
        <f t="shared" si="29"/>
        <v>#VALUE!</v>
      </c>
      <c r="R51" s="45" t="e">
        <f t="shared" si="30"/>
        <v>#N/A</v>
      </c>
    </row>
    <row r="52" spans="1:18">
      <c r="A52" s="43">
        <v>45992</v>
      </c>
      <c r="B52" s="44">
        <v>4800</v>
      </c>
      <c r="C52" s="44" t="e">
        <f t="shared" si="26"/>
        <v>#DIV/0!</v>
      </c>
      <c r="D52" s="44" t="e">
        <f t="shared" si="27"/>
        <v>#DIV/0!</v>
      </c>
      <c r="E52" s="44" t="e">
        <f t="shared" si="34"/>
        <v>#DIV/0!</v>
      </c>
      <c r="F52" s="44" t="e" vm="1">
        <f>[1]!'KPOz5[DTN:MDE]?Settle'</f>
        <v>#REF!</v>
      </c>
      <c r="G52" s="44" t="e" vm="2">
        <f t="shared" si="32"/>
        <v>#VALUE!</v>
      </c>
      <c r="H52" s="44"/>
      <c r="I52" s="44"/>
      <c r="J52" s="44" t="e">
        <f>MROUND(450*(J37/AVERAGE($J$31:$J$38)),50)+100</f>
        <v>#DIV/0!</v>
      </c>
      <c r="K52" s="44"/>
      <c r="L52" s="44" t="e">
        <f t="shared" si="31"/>
        <v>#N/A</v>
      </c>
      <c r="M52" s="44">
        <f>'[5]Monthly Prices'!$AR314</f>
        <v>0</v>
      </c>
      <c r="N52" s="44" t="e">
        <f t="shared" si="28"/>
        <v>#N/A</v>
      </c>
      <c r="O52" s="44" t="e" vm="2">
        <f t="shared" si="33"/>
        <v>#VALUE!</v>
      </c>
      <c r="P52" s="44" t="e" vm="2">
        <f>F36</f>
        <v>#VALUE!</v>
      </c>
      <c r="Q52" s="44" t="e" vm="2">
        <f t="shared" si="29"/>
        <v>#VALUE!</v>
      </c>
      <c r="R52" s="44" t="e">
        <f t="shared" si="30"/>
        <v>#N/A</v>
      </c>
    </row>
    <row r="53" spans="1:18">
      <c r="A53" s="13">
        <v>46023</v>
      </c>
      <c r="B53" s="45">
        <v>5200</v>
      </c>
      <c r="C53" s="45" t="e">
        <f>B53-(J53/2)</f>
        <v>#DIV/0!</v>
      </c>
      <c r="D53" s="45" t="e">
        <f>B53+(J53/2)</f>
        <v>#DIV/0!</v>
      </c>
      <c r="E53" s="45" t="e">
        <f>AVERAGE(C53:D53)</f>
        <v>#DIV/0!</v>
      </c>
      <c r="F53" s="45" t="e" vm="1">
        <f>[1]!'KPof6[DTN:MDE]?Settle'</f>
        <v>#REF!</v>
      </c>
      <c r="G53" s="45" t="e" vm="2">
        <f>F53-F52</f>
        <v>#VALUE!</v>
      </c>
      <c r="H53" s="45"/>
      <c r="I53" s="45"/>
      <c r="J53" s="45" t="e">
        <f>MROUND(450*(J38/AVERAGE($J$31:$J$38)),50)+100</f>
        <v>#DIV/0!</v>
      </c>
      <c r="K53" s="45"/>
      <c r="L53" s="45" t="e">
        <f t="shared" si="31"/>
        <v>#N/A</v>
      </c>
      <c r="M53" s="45">
        <f>'[5]Monthly Prices'!$AR315</f>
        <v>0</v>
      </c>
      <c r="N53" s="45" t="e">
        <f>M53-L53</f>
        <v>#N/A</v>
      </c>
      <c r="O53" s="45" t="e" vm="2">
        <f>F53/$A$63/2204.622*100</f>
        <v>#VALUE!</v>
      </c>
      <c r="P53" s="45" t="e" vm="2">
        <f>F37</f>
        <v>#VALUE!</v>
      </c>
      <c r="Q53" s="45" t="e" vm="2">
        <f>P53-O53</f>
        <v>#VALUE!</v>
      </c>
      <c r="R53" s="45" t="e">
        <f>N53-Q53</f>
        <v>#N/A</v>
      </c>
    </row>
    <row r="54" spans="1:18">
      <c r="A54" s="43">
        <v>46054</v>
      </c>
      <c r="B54" s="44">
        <v>5100</v>
      </c>
      <c r="C54" s="44" t="e">
        <f>B54-(J54/2)</f>
        <v>#DIV/0!</v>
      </c>
      <c r="D54" s="44" t="e">
        <f>B54+(J54/2)</f>
        <v>#DIV/0!</v>
      </c>
      <c r="E54" s="44" t="e">
        <f>AVERAGE(C54:D54)</f>
        <v>#DIV/0!</v>
      </c>
      <c r="F54" s="44" t="e" vm="1">
        <f>[1]!'KPOg6[DTN:MDE]?Settle'</f>
        <v>#REF!</v>
      </c>
      <c r="G54" s="44" t="e" vm="2">
        <f>F54-F53</f>
        <v>#VALUE!</v>
      </c>
      <c r="H54" s="44"/>
      <c r="I54" s="44"/>
      <c r="J54" s="44" t="e">
        <f>MROUND(450*(J38/AVERAGE($J$31:$J$38)),50)+100</f>
        <v>#DIV/0!</v>
      </c>
      <c r="K54" s="44"/>
      <c r="L54" s="44" t="e">
        <f t="shared" si="31"/>
        <v>#N/A</v>
      </c>
      <c r="M54" s="44">
        <f>'[5]Monthly Prices'!$AR316</f>
        <v>0</v>
      </c>
      <c r="N54" s="44" t="e">
        <f>M54-L54</f>
        <v>#N/A</v>
      </c>
      <c r="O54" s="44" t="e" vm="2">
        <f>F54/$A$63/2204.622*100</f>
        <v>#VALUE!</v>
      </c>
      <c r="P54" s="44" t="e" vm="2">
        <f>F38</f>
        <v>#VALUE!</v>
      </c>
      <c r="Q54" s="44" t="e" vm="2">
        <f>P54-O54</f>
        <v>#VALUE!</v>
      </c>
      <c r="R54" s="44" t="e">
        <f>N54-Q54</f>
        <v>#N/A</v>
      </c>
    </row>
    <row r="55" spans="1:18">
      <c r="A55" s="13">
        <v>46082</v>
      </c>
      <c r="B55" s="45">
        <v>4900</v>
      </c>
      <c r="C55" s="45" t="e">
        <f>B55-(J55/2)</f>
        <v>#DIV/0!</v>
      </c>
      <c r="D55" s="45" t="e">
        <f>B55+(J55/2)</f>
        <v>#DIV/0!</v>
      </c>
      <c r="E55" s="45" t="e">
        <f>AVERAGE(C55:D55)</f>
        <v>#DIV/0!</v>
      </c>
      <c r="F55" s="45" t="e" vm="1">
        <f>[1]!'KPOh6[DTN:MDE]?Settle'</f>
        <v>#REF!</v>
      </c>
      <c r="G55" s="45" t="e" vm="2">
        <f>F55-F54</f>
        <v>#VALUE!</v>
      </c>
      <c r="H55" s="45"/>
      <c r="I55" s="45"/>
      <c r="J55" s="45" t="e">
        <f>MROUND(450*(J39/AVERAGE($J$31:$J$39)),50)+100</f>
        <v>#DIV/0!</v>
      </c>
      <c r="K55" s="45"/>
      <c r="L55" s="45" t="e">
        <f t="shared" si="31"/>
        <v>#N/A</v>
      </c>
      <c r="M55" s="45">
        <f>'[5]Monthly Prices'!$AR317</f>
        <v>0</v>
      </c>
      <c r="N55" s="45" t="e">
        <f>M55-L55</f>
        <v>#N/A</v>
      </c>
      <c r="O55" s="45" t="e" vm="2">
        <f>F55/$A$63/2204.622*100</f>
        <v>#VALUE!</v>
      </c>
      <c r="P55" s="45" t="e" vm="2">
        <f>F38</f>
        <v>#VALUE!</v>
      </c>
      <c r="Q55" s="45" t="e" vm="2">
        <f>P55-O55</f>
        <v>#VALUE!</v>
      </c>
      <c r="R55" s="45" t="e">
        <f>N55-Q55</f>
        <v>#N/A</v>
      </c>
    </row>
    <row r="56" spans="1:18">
      <c r="A56" s="43">
        <v>46113</v>
      </c>
      <c r="B56" s="44">
        <v>4900</v>
      </c>
      <c r="C56" s="44" t="e">
        <f>B56-(J56/2)</f>
        <v>#DIV/0!</v>
      </c>
      <c r="D56" s="44" t="e">
        <f>B56+(J56/2)</f>
        <v>#DIV/0!</v>
      </c>
      <c r="E56" s="44" t="e">
        <f>AVERAGE(C56:D56)</f>
        <v>#DIV/0!</v>
      </c>
      <c r="F56" s="44" t="e" vm="2">
        <f>AVERAGE(F55,F59)</f>
        <v>#VALUE!</v>
      </c>
      <c r="G56" s="44" t="e" vm="2">
        <f>F56-F55</f>
        <v>#VALUE!</v>
      </c>
      <c r="H56" s="44"/>
      <c r="I56" s="44"/>
      <c r="J56" s="44" t="e">
        <f>MROUND(450*(J39/AVERAGE($J$31:$J$39)),50)+100</f>
        <v>#DIV/0!</v>
      </c>
      <c r="K56" s="44"/>
      <c r="L56" s="44" t="e">
        <f t="shared" si="31"/>
        <v>#N/A</v>
      </c>
      <c r="M56" s="44">
        <f>'[5]Monthly Prices'!$AR318</f>
        <v>0</v>
      </c>
      <c r="N56" s="44" t="e">
        <f>M56-L56</f>
        <v>#N/A</v>
      </c>
      <c r="O56" s="44" t="e" vm="2">
        <f>F56/$A$63/2204.622*100</f>
        <v>#VALUE!</v>
      </c>
      <c r="P56" s="44" t="e" vm="2">
        <f>F39</f>
        <v>#VALUE!</v>
      </c>
      <c r="Q56" s="44" t="e" vm="2">
        <f>P56-O56</f>
        <v>#VALUE!</v>
      </c>
      <c r="R56" s="44" t="e">
        <f>N56-Q56</f>
        <v>#N/A</v>
      </c>
    </row>
    <row r="58" spans="1:18">
      <c r="A58" s="4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</row>
    <row r="59" spans="1:18">
      <c r="F59" s="21" t="e" vm="1">
        <f>[1]!'KPOk6[DTN:MDE]?Settle'</f>
        <v>#REF!</v>
      </c>
    </row>
    <row r="60" spans="1:18">
      <c r="A60" s="47" t="e">
        <f>RTD("prophetx.rtdserver", "", "QUOTE", "kpo@c1", "Last")</f>
        <v>#N/A</v>
      </c>
      <c r="F60" s="29"/>
    </row>
    <row r="61" spans="1:18">
      <c r="A61" s="47" t="e">
        <f>RTD("prophetx.rtdserver", "", "QUOTE", "kpo@c3", "Settle")</f>
        <v>#N/A</v>
      </c>
      <c r="B61" s="48" t="s">
        <v>52</v>
      </c>
    </row>
    <row r="62" spans="1:18">
      <c r="A62" s="47" t="e">
        <f>RTD("prophetx.rtdserver", "", "QUOTE", "upo@c3", "Last")</f>
        <v>#N/A</v>
      </c>
      <c r="B62" s="48" t="s">
        <v>53</v>
      </c>
      <c r="J62" s="12"/>
    </row>
    <row r="63" spans="1:18">
      <c r="A63" s="49" t="e">
        <f>A61/A62</f>
        <v>#N/A</v>
      </c>
      <c r="B63" s="48" t="s">
        <v>54</v>
      </c>
      <c r="J63" s="50"/>
    </row>
    <row r="64" spans="1:18">
      <c r="A64" s="51" t="e">
        <f ca="1">_xll.TR("MYR=","CF_LAST")</f>
        <v>#NAME?</v>
      </c>
      <c r="B64" s="48" t="s">
        <v>55</v>
      </c>
      <c r="J64" s="50"/>
    </row>
    <row r="65" spans="1:7">
      <c r="A65" s="47" t="e">
        <f ca="1">A61/A64</f>
        <v>#N/A</v>
      </c>
      <c r="B65" s="48" t="s">
        <v>56</v>
      </c>
    </row>
    <row r="66" spans="1:7">
      <c r="B66" s="48"/>
    </row>
    <row r="67" spans="1:7">
      <c r="A67" s="49" t="e">
        <f>RTD("prophetx.rtdserver", "", "QUOTE", "@bo@c3", "Last")*22.04622</f>
        <v>#N/A</v>
      </c>
      <c r="B67" s="48" t="s">
        <v>57</v>
      </c>
      <c r="G67" s="52"/>
    </row>
    <row r="68" spans="1:7">
      <c r="A68" s="51" t="e">
        <f>A67-A62</f>
        <v>#N/A</v>
      </c>
      <c r="B68" s="48" t="s">
        <v>58</v>
      </c>
    </row>
    <row r="69" spans="1:7">
      <c r="A69" s="51" t="e">
        <f>A68/2204.622*100</f>
        <v>#N/A</v>
      </c>
      <c r="B69" s="48" t="s">
        <v>59</v>
      </c>
    </row>
    <row r="71" spans="1:7">
      <c r="A71" s="51">
        <v>20</v>
      </c>
      <c r="B71" s="48" t="s">
        <v>60</v>
      </c>
    </row>
    <row r="73" spans="1:7">
      <c r="A73" s="244" t="s">
        <v>61</v>
      </c>
      <c r="B73" s="244"/>
      <c r="C73" s="53"/>
      <c r="D73" s="244" t="s">
        <v>62</v>
      </c>
      <c r="E73" s="244"/>
    </row>
    <row r="74" spans="1:7">
      <c r="A74" s="54" t="e">
        <f>#REF!</f>
        <v>#REF!</v>
      </c>
      <c r="B74" s="55" t="e">
        <f>MROUND((((#REF!/22.04622/$A$63)*1.0702)+3.3839)*1.475,0.25)</f>
        <v>#REF!</v>
      </c>
      <c r="C74" s="56"/>
      <c r="D74" s="54" t="e">
        <f t="shared" ref="D74:D85" si="35">A74</f>
        <v>#REF!</v>
      </c>
      <c r="E74" s="55" t="e">
        <f t="shared" ref="E74:E85" si="36">MROUND((B74*20.773+30.912)*0.755,5)</f>
        <v>#REF!</v>
      </c>
    </row>
    <row r="75" spans="1:7">
      <c r="A75" s="54">
        <f t="shared" ref="A75:A85" si="37">A44</f>
        <v>45748</v>
      </c>
      <c r="B75" s="55" t="e">
        <f t="shared" ref="B75:B85" si="38">MROUND((((B44/22.04622/$A$63)*1.0702)+3.3839)*1.475,0.25)</f>
        <v>#N/A</v>
      </c>
      <c r="C75" s="56"/>
      <c r="D75" s="54">
        <f t="shared" si="35"/>
        <v>45748</v>
      </c>
      <c r="E75" s="55" t="e">
        <f t="shared" si="36"/>
        <v>#N/A</v>
      </c>
    </row>
    <row r="76" spans="1:7">
      <c r="A76" s="54">
        <f t="shared" si="37"/>
        <v>45778</v>
      </c>
      <c r="B76" s="55" t="e">
        <f t="shared" si="38"/>
        <v>#N/A</v>
      </c>
      <c r="C76" s="56"/>
      <c r="D76" s="54">
        <f t="shared" si="35"/>
        <v>45778</v>
      </c>
      <c r="E76" s="55" t="e">
        <f t="shared" si="36"/>
        <v>#N/A</v>
      </c>
    </row>
    <row r="77" spans="1:7">
      <c r="A77" s="54">
        <f t="shared" si="37"/>
        <v>45809</v>
      </c>
      <c r="B77" s="55" t="e">
        <f t="shared" si="38"/>
        <v>#N/A</v>
      </c>
      <c r="D77" s="54">
        <f t="shared" si="35"/>
        <v>45809</v>
      </c>
      <c r="E77" s="55" t="e">
        <f t="shared" si="36"/>
        <v>#N/A</v>
      </c>
    </row>
    <row r="78" spans="1:7">
      <c r="A78" s="54">
        <f t="shared" si="37"/>
        <v>45839</v>
      </c>
      <c r="B78" s="55" t="e">
        <f t="shared" si="38"/>
        <v>#N/A</v>
      </c>
      <c r="D78" s="54">
        <f t="shared" si="35"/>
        <v>45839</v>
      </c>
      <c r="E78" s="55" t="e">
        <f t="shared" si="36"/>
        <v>#N/A</v>
      </c>
    </row>
    <row r="79" spans="1:7">
      <c r="A79" s="54">
        <f t="shared" si="37"/>
        <v>45870</v>
      </c>
      <c r="B79" s="55" t="e">
        <f t="shared" si="38"/>
        <v>#N/A</v>
      </c>
      <c r="D79" s="54">
        <f t="shared" si="35"/>
        <v>45870</v>
      </c>
      <c r="E79" s="55" t="e">
        <f t="shared" si="36"/>
        <v>#N/A</v>
      </c>
    </row>
    <row r="80" spans="1:7">
      <c r="A80" s="54">
        <f t="shared" si="37"/>
        <v>45901</v>
      </c>
      <c r="B80" s="55" t="e">
        <f t="shared" si="38"/>
        <v>#N/A</v>
      </c>
      <c r="D80" s="54">
        <f t="shared" si="35"/>
        <v>45901</v>
      </c>
      <c r="E80" s="55" t="e">
        <f t="shared" si="36"/>
        <v>#N/A</v>
      </c>
    </row>
    <row r="81" spans="1:19">
      <c r="A81" s="54">
        <f t="shared" si="37"/>
        <v>45931</v>
      </c>
      <c r="B81" s="55" t="e">
        <f t="shared" si="38"/>
        <v>#N/A</v>
      </c>
      <c r="D81" s="54">
        <f t="shared" si="35"/>
        <v>45931</v>
      </c>
      <c r="E81" s="55" t="e">
        <f t="shared" si="36"/>
        <v>#N/A</v>
      </c>
    </row>
    <row r="82" spans="1:19">
      <c r="A82" s="54">
        <f t="shared" si="37"/>
        <v>45962</v>
      </c>
      <c r="B82" s="55" t="e">
        <f t="shared" si="38"/>
        <v>#N/A</v>
      </c>
      <c r="D82" s="54">
        <f t="shared" si="35"/>
        <v>45962</v>
      </c>
      <c r="E82" s="55" t="e">
        <f t="shared" si="36"/>
        <v>#N/A</v>
      </c>
    </row>
    <row r="83" spans="1:19">
      <c r="A83" s="54">
        <f t="shared" si="37"/>
        <v>45992</v>
      </c>
      <c r="B83" s="55" t="e">
        <f t="shared" si="38"/>
        <v>#N/A</v>
      </c>
      <c r="D83" s="54">
        <f t="shared" si="35"/>
        <v>45992</v>
      </c>
      <c r="E83" s="55" t="e">
        <f t="shared" si="36"/>
        <v>#N/A</v>
      </c>
    </row>
    <row r="84" spans="1:19">
      <c r="A84" s="54">
        <f t="shared" si="37"/>
        <v>46023</v>
      </c>
      <c r="B84" s="55" t="e">
        <f t="shared" si="38"/>
        <v>#N/A</v>
      </c>
      <c r="D84" s="54">
        <f t="shared" si="35"/>
        <v>46023</v>
      </c>
      <c r="E84" s="55" t="e">
        <f t="shared" si="36"/>
        <v>#N/A</v>
      </c>
    </row>
    <row r="85" spans="1:19">
      <c r="A85" s="54">
        <f t="shared" si="37"/>
        <v>46054</v>
      </c>
      <c r="B85" s="55" t="e">
        <f t="shared" si="38"/>
        <v>#N/A</v>
      </c>
      <c r="D85" s="54">
        <f t="shared" si="35"/>
        <v>46054</v>
      </c>
      <c r="E85" s="55" t="e">
        <f t="shared" si="36"/>
        <v>#N/A</v>
      </c>
    </row>
    <row r="86" spans="1:19">
      <c r="A86" s="54"/>
    </row>
    <row r="88" spans="1:19">
      <c r="A88" s="11"/>
    </row>
    <row r="89" spans="1:19">
      <c r="M89" s="26" t="s">
        <v>63</v>
      </c>
    </row>
    <row r="90" spans="1:19">
      <c r="M90" t="s">
        <v>64</v>
      </c>
    </row>
    <row r="91" spans="1:19">
      <c r="M91" s="26" t="s">
        <v>65</v>
      </c>
    </row>
    <row r="92" spans="1:19">
      <c r="M92" s="26" t="s">
        <v>66</v>
      </c>
    </row>
    <row r="93" spans="1:19">
      <c r="J93" s="12" t="e" vm="2">
        <f>F114</f>
        <v>#VALUE!</v>
      </c>
      <c r="K93" s="12" t="e" vm="2">
        <f>J114</f>
        <v>#VALUE!</v>
      </c>
    </row>
    <row r="95" spans="1:19">
      <c r="R95" s="57"/>
      <c r="S95" s="57"/>
    </row>
    <row r="96" spans="1:19">
      <c r="A96" s="58" t="s">
        <v>67</v>
      </c>
      <c r="B96" s="48">
        <v>3</v>
      </c>
      <c r="D96" s="59"/>
      <c r="E96" s="59"/>
      <c r="F96" s="59"/>
      <c r="G96" s="59"/>
      <c r="H96" s="59"/>
      <c r="I96" s="59"/>
      <c r="J96" s="59"/>
      <c r="K96" s="59"/>
      <c r="O96" s="57"/>
      <c r="P96" s="57"/>
      <c r="Q96" s="57"/>
      <c r="R96" s="57"/>
      <c r="S96" s="57"/>
    </row>
    <row r="97" spans="1:26">
      <c r="A97" s="58" t="s">
        <v>68</v>
      </c>
      <c r="B97" s="48">
        <v>21</v>
      </c>
      <c r="D97" s="59"/>
      <c r="E97" s="59"/>
      <c r="F97" s="59"/>
      <c r="G97" s="59"/>
      <c r="H97" s="59"/>
      <c r="I97" s="59"/>
      <c r="J97" s="59"/>
      <c r="K97" s="59"/>
      <c r="O97" s="57"/>
      <c r="P97" s="57"/>
      <c r="Q97" s="57"/>
      <c r="R97" s="57"/>
      <c r="S97" s="57"/>
    </row>
    <row r="98" spans="1:26">
      <c r="D98" s="59"/>
      <c r="E98" s="59"/>
      <c r="F98" s="59"/>
      <c r="G98" s="59"/>
      <c r="H98" s="245" t="s">
        <v>69</v>
      </c>
      <c r="I98" s="59"/>
      <c r="J98" s="59"/>
      <c r="K98" s="59"/>
      <c r="L98" s="245" t="s">
        <v>70</v>
      </c>
      <c r="O98" s="57"/>
      <c r="P98" s="57"/>
      <c r="Q98" s="57"/>
      <c r="S98" s="60" t="s">
        <v>71</v>
      </c>
    </row>
    <row r="99" spans="1:26">
      <c r="A99" s="61" t="s">
        <v>72</v>
      </c>
      <c r="B99" s="58"/>
      <c r="C99" s="58"/>
      <c r="D99" s="62"/>
      <c r="E99" s="61" t="s">
        <v>73</v>
      </c>
      <c r="F99" s="58"/>
      <c r="G99" s="58"/>
      <c r="H99" s="245"/>
      <c r="I99" s="61" t="s">
        <v>74</v>
      </c>
      <c r="J99" s="58"/>
      <c r="K99" s="58"/>
      <c r="L99" s="245"/>
      <c r="M99" s="58" t="s">
        <v>4</v>
      </c>
      <c r="N99" s="58" t="s">
        <v>5</v>
      </c>
      <c r="O99" s="57"/>
      <c r="P99" s="61" t="s">
        <v>75</v>
      </c>
      <c r="S99" s="60" t="s">
        <v>76</v>
      </c>
      <c r="X99" s="61" t="s">
        <v>77</v>
      </c>
      <c r="Y99" s="58"/>
      <c r="Z99" s="58"/>
    </row>
    <row r="100" spans="1:26">
      <c r="A100" s="63" t="e" vm="1">
        <f t="array" ref="A100:B124">([2]!'@Sk5[INTERVAL:DAILY,COMPRESSION:1,SORT:ASC,SPAN:25]?DATE,CLOSE')</f>
        <v>#REF!</v>
      </c>
      <c r="B100" s="64" t="e" vm="1">
        <v>#REF!</v>
      </c>
      <c r="C100" s="66" t="e" vm="2">
        <f t="array" ref="C100">IF(IF(ISNUMBER(A100),MONTH(A100),MONTH(DATEVALUE(A100)))=$B$96,B100/100,"-- ")</f>
        <v>#VALUE!</v>
      </c>
      <c r="D100" s="67"/>
      <c r="E100" s="63" t="e" vm="1">
        <f t="array" ref="E100:F124">[2]!'@SMk5[INTERVAL:DAILY,COMPRESSION:1,SORT:ASC,SPAN:25]?DATE,CLOSE'</f>
        <v>#REF!</v>
      </c>
      <c r="F100" s="64" t="e" vm="1">
        <v>#REF!</v>
      </c>
      <c r="G100" s="66" t="e" vm="2">
        <f t="shared" ref="G100:G124" si="39">IF(IF(ISNUMBER(E100),MONTH(E100),MONTH(DATEVALUE(E100)))=$B$96,F100,"-- ")</f>
        <v>#VALUE!</v>
      </c>
      <c r="H100" s="45" t="e" vm="2">
        <f t="shared" ref="H100:H113" si="40">F100*44.5/2000</f>
        <v>#VALUE!</v>
      </c>
      <c r="I100" s="63" t="e" vm="1">
        <f t="array" ref="I100:J124">[2]!'@BOk5[INTERVAL:DAILY,COMPRESSION:1,SORT:ASC,SPAN:25]?DATE,CLOSE'</f>
        <v>#REF!</v>
      </c>
      <c r="J100" s="64" t="e" vm="1">
        <v>#REF!</v>
      </c>
      <c r="K100" s="66" t="e" vm="2">
        <f t="shared" ref="K100:K124" si="41">IF(IF(ISNUMBER(I100),MONTH(I100),MONTH(DATEVALUE(I100)))=$B$96,J100,"-- ")</f>
        <v>#VALUE!</v>
      </c>
      <c r="L100" s="68" t="e" vm="2">
        <f t="shared" ref="L100:L113" si="42">(J100/100)*11.7</f>
        <v>#VALUE!</v>
      </c>
      <c r="M100" s="69" t="e" vm="2">
        <f t="shared" ref="M100:M113" si="43">(F100/2000*44.5)+(J100/100*11.7)-(B100/100)</f>
        <v>#VALUE!</v>
      </c>
      <c r="N100" s="67" t="e" vm="2">
        <f t="shared" ref="N100:N113" si="44">(J100*11.7/100)/((J100*11.7/100)+(F100*44.5/2000))</f>
        <v>#VALUE!</v>
      </c>
      <c r="O100" s="70"/>
      <c r="P100" s="63" t="e" vm="1">
        <f t="array" ref="P100:Q124">[2]!'qhok5[INTERVAL:DAILY,COMPRESSION:1,SORT:ASC,SPAN:25]?DATE,CLOSE'</f>
        <v>#REF!</v>
      </c>
      <c r="Q100" s="64" t="e" vm="1">
        <v>#REF!</v>
      </c>
      <c r="R100" s="66" t="e" vm="2">
        <f t="shared" ref="R100:R124" si="45">IF(IF(ISNUMBER(P100),MONTH(P100),MONTH(DATEVALUE(P100)))=$B$96,Q100,"-- ")</f>
        <v>#VALUE!</v>
      </c>
      <c r="S100" s="68" t="e" vm="2">
        <f>Q100+0.2+0.1-0.29-0.08-0.08-(J100+AVERAGE('[6]Monthly SBO'!$M$259:$N$259)/100*7.5)</f>
        <v>#VALUE!</v>
      </c>
      <c r="T100" s="48"/>
      <c r="U100" s="69" t="e" vm="2">
        <f t="shared" ref="U100:U124" si="46">(F100/2000*44)+(J100/100*11)-B100/100</f>
        <v>#VALUE!</v>
      </c>
      <c r="V100" s="67" t="e" vm="2">
        <f>J100/100*11/(B100/100+U100)</f>
        <v>#VALUE!</v>
      </c>
      <c r="X100" s="63" t="e" vm="1">
        <f t="array" ref="X100:Y124">[2]!'KPOk5[INTERVAL:DAILY,COMPRESSION:1,SORT:ASC,SPAN:25]?DATE,CLOSE'</f>
        <v>#REF!</v>
      </c>
      <c r="Y100" s="64" t="e" vm="1">
        <v>#REF!</v>
      </c>
      <c r="Z100" s="66" t="e" vm="2">
        <f t="shared" ref="Z100:Z124" si="47">IF(IF(ISNUMBER(X100),MONTH(X100),MONTH(DATEVALUE(X100)))=$B$96,Y100,"-- ")</f>
        <v>#VALUE!</v>
      </c>
    </row>
    <row r="101" spans="1:26">
      <c r="A101" s="63" t="e" vm="1">
        <v>#REF!</v>
      </c>
      <c r="B101" s="64" t="e" vm="1">
        <v>#REF!</v>
      </c>
      <c r="C101" s="66" t="e" vm="2">
        <f t="array" ref="C101">IF(IF(ISNUMBER(A101),MONTH(A101),MONTH(DATEVALUE(A101)))=$B$96,B101/100,"-- ")</f>
        <v>#VALUE!</v>
      </c>
      <c r="D101" s="67"/>
      <c r="E101" s="63" t="e" vm="1">
        <v>#REF!</v>
      </c>
      <c r="F101" s="64" t="e" vm="1">
        <v>#REF!</v>
      </c>
      <c r="G101" s="66" t="e" vm="2">
        <f t="shared" si="39"/>
        <v>#VALUE!</v>
      </c>
      <c r="H101" s="45" t="e" vm="2">
        <f t="shared" si="40"/>
        <v>#VALUE!</v>
      </c>
      <c r="I101" s="63" t="e" vm="1">
        <v>#REF!</v>
      </c>
      <c r="J101" s="64" t="e" vm="1">
        <v>#REF!</v>
      </c>
      <c r="K101" s="66" t="e" vm="2">
        <f t="shared" si="41"/>
        <v>#VALUE!</v>
      </c>
      <c r="L101" s="68" t="e" vm="2">
        <f t="shared" si="42"/>
        <v>#VALUE!</v>
      </c>
      <c r="M101" s="69" t="e" vm="2">
        <f t="shared" si="43"/>
        <v>#VALUE!</v>
      </c>
      <c r="N101" s="67" t="e" vm="2">
        <f t="shared" si="44"/>
        <v>#VALUE!</v>
      </c>
      <c r="O101" s="70"/>
      <c r="P101" s="63" t="e" vm="1">
        <v>#REF!</v>
      </c>
      <c r="Q101" s="64" t="e" vm="1">
        <v>#REF!</v>
      </c>
      <c r="R101" s="66" t="e" vm="2">
        <f t="shared" si="45"/>
        <v>#VALUE!</v>
      </c>
      <c r="S101" s="68" t="e" vm="2">
        <f>Q101+0.2+0.1-0.29-0.08-0.08-(J101+AVERAGE('[6]Monthly SBO'!$M$259:$N$259)/100*7.5)</f>
        <v>#VALUE!</v>
      </c>
      <c r="T101" s="48"/>
      <c r="U101" s="69" t="e" vm="2">
        <f t="shared" si="46"/>
        <v>#VALUE!</v>
      </c>
      <c r="V101" s="67" t="e" vm="2">
        <f t="shared" ref="V101:V120" si="48">J101/100*11/(B101/100+U101)</f>
        <v>#VALUE!</v>
      </c>
      <c r="X101" s="63" t="e" vm="1">
        <v>#REF!</v>
      </c>
      <c r="Y101" s="64" t="e" vm="1">
        <v>#REF!</v>
      </c>
      <c r="Z101" s="66" t="e" vm="2">
        <f t="shared" si="47"/>
        <v>#VALUE!</v>
      </c>
    </row>
    <row r="102" spans="1:26">
      <c r="A102" s="63" t="e" vm="1">
        <v>#REF!</v>
      </c>
      <c r="B102" s="64" t="e" vm="1">
        <v>#REF!</v>
      </c>
      <c r="C102" s="66" t="e" vm="2">
        <f t="array" ref="C102">IF(IF(ISNUMBER(A102),MONTH(A102),MONTH(DATEVALUE(A102)))=$B$96,B102/100,"-- ")</f>
        <v>#VALUE!</v>
      </c>
      <c r="D102" s="67"/>
      <c r="E102" s="63" t="e" vm="1">
        <v>#REF!</v>
      </c>
      <c r="F102" s="64" t="e" vm="1">
        <v>#REF!</v>
      </c>
      <c r="G102" s="66" t="e" vm="2">
        <f t="shared" si="39"/>
        <v>#VALUE!</v>
      </c>
      <c r="H102" s="45" t="e" vm="2">
        <f t="shared" si="40"/>
        <v>#VALUE!</v>
      </c>
      <c r="I102" s="63" t="e" vm="1">
        <v>#REF!</v>
      </c>
      <c r="J102" s="64" t="e" vm="1">
        <v>#REF!</v>
      </c>
      <c r="K102" s="66" t="e" vm="2">
        <f t="shared" si="41"/>
        <v>#VALUE!</v>
      </c>
      <c r="L102" s="68" t="e" vm="2">
        <f t="shared" si="42"/>
        <v>#VALUE!</v>
      </c>
      <c r="M102" s="69" t="e" vm="2">
        <f t="shared" si="43"/>
        <v>#VALUE!</v>
      </c>
      <c r="N102" s="67" t="e" vm="2">
        <f t="shared" si="44"/>
        <v>#VALUE!</v>
      </c>
      <c r="O102" s="70"/>
      <c r="P102" s="63" t="e" vm="1">
        <v>#REF!</v>
      </c>
      <c r="Q102" s="64" t="e" vm="1">
        <v>#REF!</v>
      </c>
      <c r="R102" s="66" t="e" vm="2">
        <f t="shared" si="45"/>
        <v>#VALUE!</v>
      </c>
      <c r="S102" s="68" t="e" vm="2">
        <f>Q102+0.2+0.1-0.29-0.08-0.08-(J102+AVERAGE('[6]Monthly SBO'!$M$259:$N$259)/100*7.5)</f>
        <v>#VALUE!</v>
      </c>
      <c r="T102" s="48"/>
      <c r="U102" s="69" t="e" vm="2">
        <f t="shared" si="46"/>
        <v>#VALUE!</v>
      </c>
      <c r="V102" s="67" t="e" vm="2">
        <f t="shared" si="48"/>
        <v>#VALUE!</v>
      </c>
      <c r="X102" s="63" t="e" vm="1">
        <v>#REF!</v>
      </c>
      <c r="Y102" s="64" t="e" vm="1">
        <v>#REF!</v>
      </c>
      <c r="Z102" s="66" t="e" vm="2">
        <f t="shared" si="47"/>
        <v>#VALUE!</v>
      </c>
    </row>
    <row r="103" spans="1:26">
      <c r="A103" s="63" t="e" vm="1">
        <v>#REF!</v>
      </c>
      <c r="B103" s="64" t="e" vm="1">
        <v>#REF!</v>
      </c>
      <c r="C103" s="66" t="e" vm="2">
        <f t="array" ref="C103">IF(IF(ISNUMBER(A103),MONTH(A103),MONTH(DATEVALUE(A103)))=$B$96,B103/100,"-- ")</f>
        <v>#VALUE!</v>
      </c>
      <c r="D103" s="67"/>
      <c r="E103" s="63" t="e" vm="1">
        <v>#REF!</v>
      </c>
      <c r="F103" s="64" t="e" vm="1">
        <v>#REF!</v>
      </c>
      <c r="G103" s="66" t="e" vm="2">
        <f t="shared" si="39"/>
        <v>#VALUE!</v>
      </c>
      <c r="H103" s="45" t="e" vm="2">
        <f t="shared" si="40"/>
        <v>#VALUE!</v>
      </c>
      <c r="I103" s="63" t="e" vm="1">
        <v>#REF!</v>
      </c>
      <c r="J103" s="64" t="e" vm="1">
        <v>#REF!</v>
      </c>
      <c r="K103" s="66" t="e" vm="2">
        <f t="shared" si="41"/>
        <v>#VALUE!</v>
      </c>
      <c r="L103" s="68" t="e" vm="2">
        <f t="shared" si="42"/>
        <v>#VALUE!</v>
      </c>
      <c r="M103" s="69" t="e" vm="2">
        <f t="shared" si="43"/>
        <v>#VALUE!</v>
      </c>
      <c r="N103" s="67" t="e" vm="2">
        <f t="shared" si="44"/>
        <v>#VALUE!</v>
      </c>
      <c r="O103" s="70"/>
      <c r="P103" s="63" t="e" vm="1">
        <v>#REF!</v>
      </c>
      <c r="Q103" s="64" t="e" vm="1">
        <v>#REF!</v>
      </c>
      <c r="R103" s="66" t="e" vm="2">
        <f t="shared" si="45"/>
        <v>#VALUE!</v>
      </c>
      <c r="S103" s="68" t="e" vm="2">
        <f>Q103+0.2+0.1-0.29-0.08-0.08-(J103+AVERAGE('[6]Monthly SBO'!$M$259:$N$259)/100*7.5)</f>
        <v>#VALUE!</v>
      </c>
      <c r="T103" s="48"/>
      <c r="U103" s="69" t="e" vm="2">
        <f t="shared" si="46"/>
        <v>#VALUE!</v>
      </c>
      <c r="V103" s="67" t="e" vm="2">
        <f t="shared" si="48"/>
        <v>#VALUE!</v>
      </c>
      <c r="X103" s="63" t="e" vm="1">
        <v>#REF!</v>
      </c>
      <c r="Y103" s="64" t="e" vm="1">
        <v>#REF!</v>
      </c>
      <c r="Z103" s="66" t="e" vm="2">
        <f t="shared" si="47"/>
        <v>#VALUE!</v>
      </c>
    </row>
    <row r="104" spans="1:26">
      <c r="A104" s="63" t="e" vm="1">
        <v>#REF!</v>
      </c>
      <c r="B104" s="64" t="e" vm="1">
        <v>#REF!</v>
      </c>
      <c r="C104" s="66" t="e" vm="2">
        <f t="array" ref="C104">IF(IF(ISNUMBER(A104),MONTH(A104),MONTH(DATEVALUE(A104)))=$B$96,B104/100,"-- ")</f>
        <v>#VALUE!</v>
      </c>
      <c r="D104" s="67"/>
      <c r="E104" s="63" t="e" vm="1">
        <v>#REF!</v>
      </c>
      <c r="F104" s="64" t="e" vm="1">
        <v>#REF!</v>
      </c>
      <c r="G104" s="66" t="e" vm="2">
        <f t="shared" si="39"/>
        <v>#VALUE!</v>
      </c>
      <c r="H104" s="45" t="e" vm="2">
        <f t="shared" si="40"/>
        <v>#VALUE!</v>
      </c>
      <c r="I104" s="63" t="e" vm="1">
        <v>#REF!</v>
      </c>
      <c r="J104" s="64" t="e" vm="1">
        <v>#REF!</v>
      </c>
      <c r="K104" s="66" t="e" vm="2">
        <f t="shared" si="41"/>
        <v>#VALUE!</v>
      </c>
      <c r="L104" s="68" t="e" vm="2">
        <f t="shared" si="42"/>
        <v>#VALUE!</v>
      </c>
      <c r="M104" s="69" t="e" vm="2">
        <f t="shared" si="43"/>
        <v>#VALUE!</v>
      </c>
      <c r="N104" s="67" t="e" vm="2">
        <f t="shared" si="44"/>
        <v>#VALUE!</v>
      </c>
      <c r="O104" s="70"/>
      <c r="P104" s="63" t="e" vm="1">
        <v>#REF!</v>
      </c>
      <c r="Q104" s="64" t="e" vm="1">
        <v>#REF!</v>
      </c>
      <c r="R104" s="66" t="e" vm="2">
        <f t="shared" si="45"/>
        <v>#VALUE!</v>
      </c>
      <c r="S104" s="68" t="e" vm="2">
        <f>Q104+0.2+0.1-0.29-0.08-0.08-(J104+AVERAGE('[6]Monthly SBO'!$M$259:$N$259)/100*7.5)</f>
        <v>#VALUE!</v>
      </c>
      <c r="T104" s="48"/>
      <c r="U104" s="69" t="e" vm="2">
        <f t="shared" si="46"/>
        <v>#VALUE!</v>
      </c>
      <c r="V104" s="67" t="e" vm="2">
        <f t="shared" si="48"/>
        <v>#VALUE!</v>
      </c>
      <c r="X104" s="63" t="e" vm="1">
        <v>#REF!</v>
      </c>
      <c r="Y104" s="64" t="e" vm="1">
        <v>#REF!</v>
      </c>
      <c r="Z104" s="66" t="e" vm="2">
        <f t="shared" si="47"/>
        <v>#VALUE!</v>
      </c>
    </row>
    <row r="105" spans="1:26">
      <c r="A105" s="63" t="e" vm="1">
        <v>#REF!</v>
      </c>
      <c r="B105" s="64" t="e" vm="1">
        <v>#REF!</v>
      </c>
      <c r="C105" s="66" t="e" vm="2">
        <f t="array" ref="C105">IF(IF(ISNUMBER(A105),MONTH(A105),MONTH(DATEVALUE(A105)))=$B$96,B105/100,"-- ")</f>
        <v>#VALUE!</v>
      </c>
      <c r="D105" s="67"/>
      <c r="E105" s="63" t="e" vm="1">
        <v>#REF!</v>
      </c>
      <c r="F105" s="64" t="e" vm="1">
        <v>#REF!</v>
      </c>
      <c r="G105" s="66" t="e" vm="2">
        <f t="shared" si="39"/>
        <v>#VALUE!</v>
      </c>
      <c r="H105" s="45" t="e" vm="2">
        <f t="shared" si="40"/>
        <v>#VALUE!</v>
      </c>
      <c r="I105" s="63" t="e" vm="1">
        <v>#REF!</v>
      </c>
      <c r="J105" s="64" t="e" vm="1">
        <v>#REF!</v>
      </c>
      <c r="K105" s="66" t="e" vm="2">
        <f t="shared" si="41"/>
        <v>#VALUE!</v>
      </c>
      <c r="L105" s="68" t="e" vm="2">
        <f t="shared" si="42"/>
        <v>#VALUE!</v>
      </c>
      <c r="M105" s="69" t="e" vm="2">
        <f t="shared" si="43"/>
        <v>#VALUE!</v>
      </c>
      <c r="N105" s="67" t="e" vm="2">
        <f t="shared" si="44"/>
        <v>#VALUE!</v>
      </c>
      <c r="O105" s="70"/>
      <c r="P105" s="63" t="e" vm="1">
        <v>#REF!</v>
      </c>
      <c r="Q105" s="64" t="e" vm="1">
        <v>#REF!</v>
      </c>
      <c r="R105" s="66" t="e" vm="2">
        <f t="shared" si="45"/>
        <v>#VALUE!</v>
      </c>
      <c r="S105" s="68" t="e" vm="2">
        <f>Q105+0.2+0.1-0.29-0.08-0.08-(J105+AVERAGE('[6]Monthly SBO'!$M$259:$N$259)/100*7.5)</f>
        <v>#VALUE!</v>
      </c>
      <c r="T105" s="48"/>
      <c r="U105" s="69" t="e" vm="2">
        <f t="shared" si="46"/>
        <v>#VALUE!</v>
      </c>
      <c r="V105" s="67" t="e" vm="2">
        <f t="shared" si="48"/>
        <v>#VALUE!</v>
      </c>
      <c r="X105" s="63" t="e" vm="1">
        <v>#REF!</v>
      </c>
      <c r="Y105" s="64" t="e" vm="1">
        <v>#REF!</v>
      </c>
      <c r="Z105" s="66" t="e" vm="2">
        <f t="shared" si="47"/>
        <v>#VALUE!</v>
      </c>
    </row>
    <row r="106" spans="1:26">
      <c r="A106" s="63" t="e" vm="1">
        <v>#REF!</v>
      </c>
      <c r="B106" s="64" t="e" vm="1">
        <v>#REF!</v>
      </c>
      <c r="C106" s="66" t="e" vm="2">
        <f t="array" ref="C106">IF(IF(ISNUMBER(A106),MONTH(A106),MONTH(DATEVALUE(A106)))=$B$96,B106/100,"-- ")</f>
        <v>#VALUE!</v>
      </c>
      <c r="D106" s="67"/>
      <c r="E106" s="63" t="e" vm="1">
        <v>#REF!</v>
      </c>
      <c r="F106" s="64" t="e" vm="1">
        <v>#REF!</v>
      </c>
      <c r="G106" s="66" t="e" vm="2">
        <f t="shared" si="39"/>
        <v>#VALUE!</v>
      </c>
      <c r="H106" s="45" t="e" vm="2">
        <f t="shared" si="40"/>
        <v>#VALUE!</v>
      </c>
      <c r="I106" s="63" t="e" vm="1">
        <v>#REF!</v>
      </c>
      <c r="J106" s="64" t="e" vm="1">
        <v>#REF!</v>
      </c>
      <c r="K106" s="66" t="e" vm="2">
        <f t="shared" si="41"/>
        <v>#VALUE!</v>
      </c>
      <c r="L106" s="68" t="e" vm="2">
        <f t="shared" si="42"/>
        <v>#VALUE!</v>
      </c>
      <c r="M106" s="69" t="e" vm="2">
        <f t="shared" si="43"/>
        <v>#VALUE!</v>
      </c>
      <c r="N106" s="67" t="e" vm="2">
        <f t="shared" si="44"/>
        <v>#VALUE!</v>
      </c>
      <c r="O106" s="70"/>
      <c r="P106" s="63" t="e" vm="1">
        <v>#REF!</v>
      </c>
      <c r="Q106" s="64" t="e" vm="1">
        <v>#REF!</v>
      </c>
      <c r="R106" s="66" t="e" vm="2">
        <f t="shared" si="45"/>
        <v>#VALUE!</v>
      </c>
      <c r="S106" s="68" t="e" vm="2">
        <f>Q106+0.2+0.1-0.29-0.08-0.08-(J106+AVERAGE('[6]Monthly SBO'!$M$259:$N$259)/100*7.5)</f>
        <v>#VALUE!</v>
      </c>
      <c r="T106" s="48"/>
      <c r="U106" s="69" t="e" vm="2">
        <f t="shared" si="46"/>
        <v>#VALUE!</v>
      </c>
      <c r="V106" s="67" t="e" vm="2">
        <f t="shared" si="48"/>
        <v>#VALUE!</v>
      </c>
      <c r="X106" s="63" t="e" vm="1">
        <v>#REF!</v>
      </c>
      <c r="Y106" s="64" t="e" vm="1">
        <v>#REF!</v>
      </c>
      <c r="Z106" s="66" t="e" vm="2">
        <f t="shared" si="47"/>
        <v>#VALUE!</v>
      </c>
    </row>
    <row r="107" spans="1:26">
      <c r="A107" s="63" t="e" vm="1">
        <v>#REF!</v>
      </c>
      <c r="B107" s="64" t="e" vm="1">
        <v>#REF!</v>
      </c>
      <c r="C107" s="66" t="e" vm="2">
        <f t="array" ref="C107">IF(IF(ISNUMBER(A107),MONTH(A107),MONTH(DATEVALUE(A107)))=$B$96,B107/100,"-- ")</f>
        <v>#VALUE!</v>
      </c>
      <c r="D107" s="67"/>
      <c r="E107" s="63" t="e" vm="1">
        <v>#REF!</v>
      </c>
      <c r="F107" s="64" t="e" vm="1">
        <v>#REF!</v>
      </c>
      <c r="G107" s="66" t="e" vm="2">
        <f t="shared" si="39"/>
        <v>#VALUE!</v>
      </c>
      <c r="H107" s="45" t="e" vm="2">
        <f t="shared" si="40"/>
        <v>#VALUE!</v>
      </c>
      <c r="I107" s="63" t="e" vm="1">
        <v>#REF!</v>
      </c>
      <c r="J107" s="64" t="e" vm="1">
        <v>#REF!</v>
      </c>
      <c r="K107" s="66" t="e" vm="2">
        <f t="shared" si="41"/>
        <v>#VALUE!</v>
      </c>
      <c r="L107" s="68" t="e" vm="2">
        <f t="shared" si="42"/>
        <v>#VALUE!</v>
      </c>
      <c r="M107" s="69" t="e" vm="2">
        <f t="shared" si="43"/>
        <v>#VALUE!</v>
      </c>
      <c r="N107" s="67" t="e" vm="2">
        <f t="shared" si="44"/>
        <v>#VALUE!</v>
      </c>
      <c r="O107" s="70"/>
      <c r="P107" s="63" t="e" vm="1">
        <v>#REF!</v>
      </c>
      <c r="Q107" s="64" t="e" vm="1">
        <v>#REF!</v>
      </c>
      <c r="R107" s="66" t="e" vm="2">
        <f t="shared" si="45"/>
        <v>#VALUE!</v>
      </c>
      <c r="S107" s="68" t="e" vm="2">
        <f>Q107+0.2+0.1-0.29-0.08-0.08-(J107+AVERAGE('[6]Monthly SBO'!$M$259:$N$259)/100*7.5)</f>
        <v>#VALUE!</v>
      </c>
      <c r="T107" s="48"/>
      <c r="U107" s="69" t="e" vm="2">
        <f t="shared" si="46"/>
        <v>#VALUE!</v>
      </c>
      <c r="V107" s="67" t="e" vm="2">
        <f t="shared" si="48"/>
        <v>#VALUE!</v>
      </c>
      <c r="X107" s="63" t="e" vm="1">
        <v>#REF!</v>
      </c>
      <c r="Y107" s="64" t="e" vm="1">
        <v>#REF!</v>
      </c>
      <c r="Z107" s="66" t="e" vm="2">
        <f t="shared" si="47"/>
        <v>#VALUE!</v>
      </c>
    </row>
    <row r="108" spans="1:26">
      <c r="A108" s="63" t="e" vm="1">
        <v>#REF!</v>
      </c>
      <c r="B108" s="64" t="e" vm="1">
        <v>#REF!</v>
      </c>
      <c r="C108" s="66" t="e" vm="2">
        <f t="array" ref="C108">IF(IF(ISNUMBER(A108),MONTH(A108),MONTH(DATEVALUE(A108)))=$B$96,B108/100,"-- ")</f>
        <v>#VALUE!</v>
      </c>
      <c r="D108" s="71"/>
      <c r="E108" s="63" t="e" vm="1">
        <v>#REF!</v>
      </c>
      <c r="F108" s="64" t="e" vm="1">
        <v>#REF!</v>
      </c>
      <c r="G108" s="66" t="e" vm="2">
        <f t="shared" si="39"/>
        <v>#VALUE!</v>
      </c>
      <c r="H108" s="45" t="e" vm="2">
        <f t="shared" si="40"/>
        <v>#VALUE!</v>
      </c>
      <c r="I108" s="63" t="e" vm="1">
        <v>#REF!</v>
      </c>
      <c r="J108" s="64" t="e" vm="1">
        <v>#REF!</v>
      </c>
      <c r="K108" s="66" t="e" vm="2">
        <f t="shared" si="41"/>
        <v>#VALUE!</v>
      </c>
      <c r="L108" s="68" t="e" vm="2">
        <f t="shared" si="42"/>
        <v>#VALUE!</v>
      </c>
      <c r="M108" s="69" t="e" vm="2">
        <f t="shared" si="43"/>
        <v>#VALUE!</v>
      </c>
      <c r="N108" s="67" t="e" vm="2">
        <f t="shared" si="44"/>
        <v>#VALUE!</v>
      </c>
      <c r="O108" s="70"/>
      <c r="P108" s="63" t="e" vm="1">
        <v>#REF!</v>
      </c>
      <c r="Q108" s="64" t="e" vm="1">
        <v>#REF!</v>
      </c>
      <c r="R108" s="66" t="e" vm="2">
        <f t="shared" si="45"/>
        <v>#VALUE!</v>
      </c>
      <c r="S108" s="68" t="e" vm="2">
        <f>Q108+0.2+0.1-0.29-0.08-0.08-(J108+AVERAGE('[6]Monthly SBO'!$M$259:$N$259)/100*7.5)</f>
        <v>#VALUE!</v>
      </c>
      <c r="T108" s="48"/>
      <c r="U108" s="69" t="e" vm="2">
        <f t="shared" si="46"/>
        <v>#VALUE!</v>
      </c>
      <c r="V108" s="67" t="e" vm="2">
        <f t="shared" si="48"/>
        <v>#VALUE!</v>
      </c>
      <c r="X108" s="63" t="e" vm="1">
        <v>#REF!</v>
      </c>
      <c r="Y108" s="64" t="e" vm="1">
        <v>#REF!</v>
      </c>
      <c r="Z108" s="66" t="e" vm="2">
        <f t="shared" si="47"/>
        <v>#VALUE!</v>
      </c>
    </row>
    <row r="109" spans="1:26">
      <c r="A109" s="63" t="e" vm="1">
        <v>#REF!</v>
      </c>
      <c r="B109" s="64" t="e" vm="1">
        <v>#REF!</v>
      </c>
      <c r="C109" s="66" t="e" vm="2">
        <f t="array" ref="C109">IF(IF(ISNUMBER(A109),MONTH(A109),MONTH(DATEVALUE(A109)))=$B$96,B109/100,"-- ")</f>
        <v>#VALUE!</v>
      </c>
      <c r="D109" s="67"/>
      <c r="E109" s="63" t="e" vm="1">
        <v>#REF!</v>
      </c>
      <c r="F109" s="64" t="e" vm="1">
        <v>#REF!</v>
      </c>
      <c r="G109" s="66" t="e" vm="2">
        <f t="shared" si="39"/>
        <v>#VALUE!</v>
      </c>
      <c r="H109" s="45" t="e" vm="2">
        <f t="shared" si="40"/>
        <v>#VALUE!</v>
      </c>
      <c r="I109" s="63" t="e" vm="1">
        <v>#REF!</v>
      </c>
      <c r="J109" s="64" t="e" vm="1">
        <v>#REF!</v>
      </c>
      <c r="K109" s="66" t="e" vm="2">
        <f t="shared" si="41"/>
        <v>#VALUE!</v>
      </c>
      <c r="L109" s="68" t="e" vm="2">
        <f t="shared" si="42"/>
        <v>#VALUE!</v>
      </c>
      <c r="M109" s="69" t="e" vm="2">
        <f t="shared" si="43"/>
        <v>#VALUE!</v>
      </c>
      <c r="N109" s="67" t="e" vm="2">
        <f t="shared" si="44"/>
        <v>#VALUE!</v>
      </c>
      <c r="O109" s="70"/>
      <c r="P109" s="63" t="e" vm="1">
        <v>#REF!</v>
      </c>
      <c r="Q109" s="64" t="e" vm="1">
        <v>#REF!</v>
      </c>
      <c r="R109" s="66" t="e" vm="2">
        <f t="shared" si="45"/>
        <v>#VALUE!</v>
      </c>
      <c r="S109" s="68" t="e" vm="2">
        <f>Q109+0.2+0.1-0.29-0.08-0.08-(J109+AVERAGE('[6]Monthly SBO'!$M$259:$N$259)/100*7.5)</f>
        <v>#VALUE!</v>
      </c>
      <c r="T109" s="48"/>
      <c r="U109" s="69" t="e" vm="2">
        <f t="shared" si="46"/>
        <v>#VALUE!</v>
      </c>
      <c r="V109" s="67" t="e" vm="2">
        <f t="shared" si="48"/>
        <v>#VALUE!</v>
      </c>
      <c r="X109" s="63" t="e" vm="1">
        <v>#REF!</v>
      </c>
      <c r="Y109" s="64" t="e" vm="1">
        <v>#REF!</v>
      </c>
      <c r="Z109" s="66" t="e" vm="2">
        <f t="shared" si="47"/>
        <v>#VALUE!</v>
      </c>
    </row>
    <row r="110" spans="1:26">
      <c r="A110" s="63" t="e" vm="1">
        <v>#REF!</v>
      </c>
      <c r="B110" s="64" t="e" vm="1">
        <v>#REF!</v>
      </c>
      <c r="C110" s="66" t="e" vm="2">
        <f t="array" ref="C110">IF(IF(ISNUMBER(A110),MONTH(A110),MONTH(DATEVALUE(A110)))=$B$96,B110/100,"-- ")</f>
        <v>#VALUE!</v>
      </c>
      <c r="D110" s="67"/>
      <c r="E110" s="63" t="e" vm="1">
        <v>#REF!</v>
      </c>
      <c r="F110" s="64" t="e" vm="1">
        <v>#REF!</v>
      </c>
      <c r="G110" s="66" t="e" vm="2">
        <f t="shared" si="39"/>
        <v>#VALUE!</v>
      </c>
      <c r="H110" s="45" t="e" vm="2">
        <f t="shared" si="40"/>
        <v>#VALUE!</v>
      </c>
      <c r="I110" s="63" t="e" vm="1">
        <v>#REF!</v>
      </c>
      <c r="J110" s="64" t="e" vm="1">
        <v>#REF!</v>
      </c>
      <c r="K110" s="66" t="e" vm="2">
        <f t="shared" si="41"/>
        <v>#VALUE!</v>
      </c>
      <c r="L110" s="68" t="e" vm="2">
        <f t="shared" si="42"/>
        <v>#VALUE!</v>
      </c>
      <c r="M110" s="69" t="e" vm="2">
        <f t="shared" si="43"/>
        <v>#VALUE!</v>
      </c>
      <c r="N110" s="67" t="e" vm="2">
        <f t="shared" si="44"/>
        <v>#VALUE!</v>
      </c>
      <c r="O110" s="70"/>
      <c r="P110" s="63" t="e" vm="1">
        <v>#REF!</v>
      </c>
      <c r="Q110" s="64" t="e" vm="1">
        <v>#REF!</v>
      </c>
      <c r="R110" s="66" t="e" vm="2">
        <f t="shared" si="45"/>
        <v>#VALUE!</v>
      </c>
      <c r="S110" s="68" t="e" vm="2">
        <f>Q110+0.2+0.1-0.29-0.08-0.08-(J110+AVERAGE('[6]Monthly SBO'!$M$259:$N$259)/100*7.5)</f>
        <v>#VALUE!</v>
      </c>
      <c r="T110" s="48"/>
      <c r="U110" s="69" t="e" vm="2">
        <f t="shared" si="46"/>
        <v>#VALUE!</v>
      </c>
      <c r="V110" s="67" t="e" vm="2">
        <f t="shared" si="48"/>
        <v>#VALUE!</v>
      </c>
      <c r="X110" s="63" t="e" vm="1">
        <v>#REF!</v>
      </c>
      <c r="Y110" s="64" t="e" vm="1">
        <v>#REF!</v>
      </c>
      <c r="Z110" s="66" t="e" vm="2">
        <f t="shared" si="47"/>
        <v>#VALUE!</v>
      </c>
    </row>
    <row r="111" spans="1:26">
      <c r="A111" s="63" t="e" vm="1">
        <v>#REF!</v>
      </c>
      <c r="B111" s="64" t="e" vm="1">
        <v>#REF!</v>
      </c>
      <c r="C111" s="66" t="e" vm="2">
        <f t="array" ref="C111">IF(IF(ISNUMBER(A111),MONTH(A111),MONTH(DATEVALUE(A111)))=$B$96,B111/100,"-- ")</f>
        <v>#VALUE!</v>
      </c>
      <c r="D111" s="67"/>
      <c r="E111" s="63" t="e" vm="1">
        <v>#REF!</v>
      </c>
      <c r="F111" s="64" t="e" vm="1">
        <v>#REF!</v>
      </c>
      <c r="G111" s="66" t="e" vm="2">
        <f t="shared" si="39"/>
        <v>#VALUE!</v>
      </c>
      <c r="H111" s="45" t="e" vm="2">
        <f t="shared" si="40"/>
        <v>#VALUE!</v>
      </c>
      <c r="I111" s="63" t="e" vm="1">
        <v>#REF!</v>
      </c>
      <c r="J111" s="64" t="e" vm="1">
        <v>#REF!</v>
      </c>
      <c r="K111" s="66" t="e" vm="2">
        <f t="shared" si="41"/>
        <v>#VALUE!</v>
      </c>
      <c r="L111" s="68" t="e" vm="2">
        <f t="shared" si="42"/>
        <v>#VALUE!</v>
      </c>
      <c r="M111" s="69" t="e" vm="2">
        <f t="shared" si="43"/>
        <v>#VALUE!</v>
      </c>
      <c r="N111" s="67" t="e" vm="2">
        <f t="shared" si="44"/>
        <v>#VALUE!</v>
      </c>
      <c r="O111" s="70"/>
      <c r="P111" s="63" t="e" vm="1">
        <v>#REF!</v>
      </c>
      <c r="Q111" s="64" t="e" vm="1">
        <v>#REF!</v>
      </c>
      <c r="R111" s="66" t="e" vm="2">
        <f t="shared" si="45"/>
        <v>#VALUE!</v>
      </c>
      <c r="S111" s="68" t="e" vm="2">
        <f>Q111+0.2+0.1-0.29-0.08-0.08-(J111+AVERAGE('[6]Monthly SBO'!$M$259:$N$259)/100*7.5)</f>
        <v>#VALUE!</v>
      </c>
      <c r="T111" s="48"/>
      <c r="U111" s="69" t="e" vm="2">
        <f t="shared" si="46"/>
        <v>#VALUE!</v>
      </c>
      <c r="V111" s="67" t="e" vm="2">
        <f t="shared" si="48"/>
        <v>#VALUE!</v>
      </c>
      <c r="X111" s="63" t="e" vm="1">
        <v>#REF!</v>
      </c>
      <c r="Y111" s="64" t="e" vm="1">
        <v>#REF!</v>
      </c>
      <c r="Z111" s="66" t="e" vm="2">
        <f t="shared" si="47"/>
        <v>#VALUE!</v>
      </c>
    </row>
    <row r="112" spans="1:26">
      <c r="A112" s="63" t="e" vm="1">
        <v>#REF!</v>
      </c>
      <c r="B112" s="64" t="e" vm="1">
        <v>#REF!</v>
      </c>
      <c r="C112" s="66" t="e" vm="2">
        <f t="array" ref="C112">IF(IF(ISNUMBER(A112),MONTH(A112),MONTH(DATEVALUE(A112)))=$B$96,B112/100,"-- ")</f>
        <v>#VALUE!</v>
      </c>
      <c r="D112" s="67"/>
      <c r="E112" s="63" t="e" vm="1">
        <v>#REF!</v>
      </c>
      <c r="F112" s="64" t="e" vm="1">
        <v>#REF!</v>
      </c>
      <c r="G112" s="66" t="e" vm="2">
        <f t="shared" si="39"/>
        <v>#VALUE!</v>
      </c>
      <c r="H112" s="45" t="e" vm="2">
        <f t="shared" si="40"/>
        <v>#VALUE!</v>
      </c>
      <c r="I112" s="63" t="e" vm="1">
        <v>#REF!</v>
      </c>
      <c r="J112" s="64" t="e" vm="1">
        <v>#REF!</v>
      </c>
      <c r="K112" s="66" t="e" vm="2">
        <f t="shared" si="41"/>
        <v>#VALUE!</v>
      </c>
      <c r="L112" s="68" t="e" vm="2">
        <f t="shared" si="42"/>
        <v>#VALUE!</v>
      </c>
      <c r="M112" s="69" t="e" vm="2">
        <f t="shared" si="43"/>
        <v>#VALUE!</v>
      </c>
      <c r="N112" s="67" t="e" vm="2">
        <f t="shared" si="44"/>
        <v>#VALUE!</v>
      </c>
      <c r="O112" s="70"/>
      <c r="P112" s="63" t="e" vm="1">
        <v>#REF!</v>
      </c>
      <c r="Q112" s="64" t="e" vm="1">
        <v>#REF!</v>
      </c>
      <c r="R112" s="66" t="e" vm="2">
        <f t="shared" si="45"/>
        <v>#VALUE!</v>
      </c>
      <c r="S112" s="68" t="e" vm="2">
        <f>Q112+0.2+0.1-0.29-0.08-0.08-(J112+AVERAGE('[6]Monthly SBO'!$M$259:$N$259)/100*7.5)</f>
        <v>#VALUE!</v>
      </c>
      <c r="T112" s="48"/>
      <c r="U112" s="69" t="e" vm="2">
        <f t="shared" si="46"/>
        <v>#VALUE!</v>
      </c>
      <c r="V112" s="67" t="e" vm="2">
        <f t="shared" si="48"/>
        <v>#VALUE!</v>
      </c>
      <c r="X112" s="63" t="e" vm="1">
        <v>#REF!</v>
      </c>
      <c r="Y112" s="64" t="e" vm="1">
        <v>#REF!</v>
      </c>
      <c r="Z112" s="66" t="e" vm="2">
        <f t="shared" si="47"/>
        <v>#VALUE!</v>
      </c>
    </row>
    <row r="113" spans="1:27">
      <c r="A113" s="63" t="e" vm="1">
        <v>#REF!</v>
      </c>
      <c r="B113" s="64" t="e" vm="1">
        <v>#REF!</v>
      </c>
      <c r="C113" s="66" t="e" vm="2">
        <f t="array" ref="C113">IF(IF(ISNUMBER(A113),MONTH(A113),MONTH(DATEVALUE(A113)))=$B$96,B113/100,"-- ")</f>
        <v>#VALUE!</v>
      </c>
      <c r="D113" s="67"/>
      <c r="E113" s="63" t="e" vm="1">
        <v>#REF!</v>
      </c>
      <c r="F113" s="64" t="e" vm="1">
        <v>#REF!</v>
      </c>
      <c r="G113" s="66" t="e" vm="2">
        <f t="shared" si="39"/>
        <v>#VALUE!</v>
      </c>
      <c r="H113" s="45" t="e" vm="2">
        <f t="shared" si="40"/>
        <v>#VALUE!</v>
      </c>
      <c r="I113" s="63" t="e" vm="1">
        <v>#REF!</v>
      </c>
      <c r="J113" s="64" t="e" vm="1">
        <v>#REF!</v>
      </c>
      <c r="K113" s="66" t="e" vm="2">
        <f t="shared" si="41"/>
        <v>#VALUE!</v>
      </c>
      <c r="L113" s="68" t="e" vm="2">
        <f t="shared" si="42"/>
        <v>#VALUE!</v>
      </c>
      <c r="M113" s="69" t="e" vm="2">
        <f t="shared" si="43"/>
        <v>#VALUE!</v>
      </c>
      <c r="N113" s="67" t="e" vm="2">
        <f t="shared" si="44"/>
        <v>#VALUE!</v>
      </c>
      <c r="O113" s="70"/>
      <c r="P113" s="63" t="e" vm="1">
        <v>#REF!</v>
      </c>
      <c r="Q113" s="64" t="e" vm="1">
        <v>#REF!</v>
      </c>
      <c r="R113" s="66" t="e" vm="2">
        <f t="shared" si="45"/>
        <v>#VALUE!</v>
      </c>
      <c r="S113" s="68" t="e" vm="2">
        <f>Q113+0.2+0.1-0.29-0.08-0.08-(J113+AVERAGE('[6]Monthly SBO'!$M$259:$N$259)/100*7.5)</f>
        <v>#VALUE!</v>
      </c>
      <c r="T113" s="48"/>
      <c r="U113" s="69" t="e" vm="2">
        <f t="shared" si="46"/>
        <v>#VALUE!</v>
      </c>
      <c r="V113" s="67" t="e" vm="2">
        <f t="shared" si="48"/>
        <v>#VALUE!</v>
      </c>
      <c r="X113" s="63" t="e" vm="1">
        <v>#REF!</v>
      </c>
      <c r="Y113" s="64" t="e" vm="1">
        <v>#REF!</v>
      </c>
      <c r="Z113" s="66" t="e" vm="2">
        <f t="shared" si="47"/>
        <v>#VALUE!</v>
      </c>
    </row>
    <row r="114" spans="1:27">
      <c r="A114" s="63" t="e" vm="1">
        <v>#REF!</v>
      </c>
      <c r="B114" s="64" t="e" vm="1">
        <v>#REF!</v>
      </c>
      <c r="C114" s="66" t="e" vm="2">
        <f t="array" ref="C114">IF(IF(ISNUMBER(A114),MONTH(A114),MONTH(DATEVALUE(A114)))=$B$96,B114/100,"-- ")</f>
        <v>#VALUE!</v>
      </c>
      <c r="D114" s="66"/>
      <c r="E114" s="63" t="e" vm="1">
        <v>#REF!</v>
      </c>
      <c r="F114" s="64" t="e" vm="1">
        <v>#REF!</v>
      </c>
      <c r="G114" s="66" t="e" vm="2">
        <f t="shared" si="39"/>
        <v>#VALUE!</v>
      </c>
      <c r="H114" s="45" t="e" vm="2">
        <f>F114*44.5/2000</f>
        <v>#VALUE!</v>
      </c>
      <c r="I114" s="63" t="e" vm="1">
        <v>#REF!</v>
      </c>
      <c r="J114" s="64" t="e" vm="1">
        <v>#REF!</v>
      </c>
      <c r="K114" s="66" t="e" vm="2">
        <f t="shared" si="41"/>
        <v>#VALUE!</v>
      </c>
      <c r="L114" s="68" t="e" vm="2">
        <f>(J114/100)*11.7</f>
        <v>#VALUE!</v>
      </c>
      <c r="M114" s="69" t="e" vm="2">
        <f>(F114/2000*44.5)+(J114/100*11.7)-(B114/100)</f>
        <v>#VALUE!</v>
      </c>
      <c r="N114" s="67" t="e" vm="2">
        <f>(J114*11.7/100)/((J114*11.7/100)+(F114*44.5/2000))</f>
        <v>#VALUE!</v>
      </c>
      <c r="O114" t="e" vm="2">
        <f>L114/(L114+H114)</f>
        <v>#VALUE!</v>
      </c>
      <c r="P114" s="63" t="e" vm="1">
        <v>#REF!</v>
      </c>
      <c r="Q114" s="64" t="e" vm="1">
        <v>#REF!</v>
      </c>
      <c r="R114" s="66" t="e" vm="2">
        <f t="shared" si="45"/>
        <v>#VALUE!</v>
      </c>
      <c r="S114" s="68" t="e" vm="2">
        <f>Q114+0.2+0.1-0.29-0.08-0.08-(J114+AVERAGE('[6]Monthly SBO'!$M$259:$N$259)/100*7.5)</f>
        <v>#VALUE!</v>
      </c>
      <c r="T114" s="48"/>
      <c r="U114" s="69" t="e" vm="2">
        <f t="shared" si="46"/>
        <v>#VALUE!</v>
      </c>
      <c r="V114" s="67" t="e" vm="2">
        <f t="shared" si="48"/>
        <v>#VALUE!</v>
      </c>
      <c r="X114" s="63" t="e" vm="1">
        <v>#REF!</v>
      </c>
      <c r="Y114" s="64" t="e" vm="1">
        <v>#REF!</v>
      </c>
      <c r="Z114" s="66" t="e" vm="2">
        <f t="shared" si="47"/>
        <v>#VALUE!</v>
      </c>
    </row>
    <row r="115" spans="1:27">
      <c r="A115" s="63" t="e" vm="1">
        <v>#REF!</v>
      </c>
      <c r="B115" s="64" t="e" vm="1">
        <v>#REF!</v>
      </c>
      <c r="C115" s="66" t="e" vm="2">
        <f t="array" ref="C115">IF(IF(ISNUMBER(A115),MONTH(A115),MONTH(DATEVALUE(A115)))=$B$96,B115/100,"-- ")</f>
        <v>#VALUE!</v>
      </c>
      <c r="D115" s="66"/>
      <c r="E115" s="63" t="e" vm="1">
        <v>#REF!</v>
      </c>
      <c r="F115" s="64" t="e" vm="1">
        <v>#REF!</v>
      </c>
      <c r="G115" s="66" t="e" vm="2">
        <f t="shared" si="39"/>
        <v>#VALUE!</v>
      </c>
      <c r="H115" s="45" t="e" vm="2">
        <f t="shared" ref="H115:H124" si="49">F115*44.5/2000</f>
        <v>#VALUE!</v>
      </c>
      <c r="I115" s="63" t="e" vm="1">
        <v>#REF!</v>
      </c>
      <c r="J115" s="64" t="e" vm="1">
        <v>#REF!</v>
      </c>
      <c r="K115" s="66" t="e" vm="2">
        <f t="shared" si="41"/>
        <v>#VALUE!</v>
      </c>
      <c r="L115" s="68" t="e" vm="2">
        <f t="shared" ref="L115:L124" si="50">(J115/100)*11.7</f>
        <v>#VALUE!</v>
      </c>
      <c r="M115" s="69" t="e" vm="2">
        <f t="shared" ref="M115:M124" si="51">(F115/2000*44.5)+(J115/100*11.7)-(B115/100)</f>
        <v>#VALUE!</v>
      </c>
      <c r="N115" s="67" t="e" vm="2">
        <f t="shared" ref="N115:N124" si="52">(J115*11.7/100)/((J115*11.7/100)+(F115*44.5/2000))</f>
        <v>#VALUE!</v>
      </c>
      <c r="O115" s="70"/>
      <c r="P115" s="63" t="e" vm="1">
        <v>#REF!</v>
      </c>
      <c r="Q115" s="64" t="e" vm="1">
        <v>#REF!</v>
      </c>
      <c r="R115" s="66" t="e" vm="2">
        <f t="shared" si="45"/>
        <v>#VALUE!</v>
      </c>
      <c r="S115" s="68" t="e" vm="2">
        <f>Q115+0.2+0.1-0.29-0.08-0.08-(J115+AVERAGE('[6]Monthly SBO'!$M$259:$N$259)/100*7.5)</f>
        <v>#VALUE!</v>
      </c>
      <c r="T115" s="48"/>
      <c r="U115" s="69" t="e" vm="2">
        <f t="shared" si="46"/>
        <v>#VALUE!</v>
      </c>
      <c r="V115" s="67" t="e" vm="2">
        <f t="shared" si="48"/>
        <v>#VALUE!</v>
      </c>
      <c r="X115" s="63" t="e" vm="1">
        <v>#REF!</v>
      </c>
      <c r="Y115" s="64" t="e" vm="1">
        <v>#REF!</v>
      </c>
      <c r="Z115" s="66" t="e" vm="2">
        <f t="shared" si="47"/>
        <v>#VALUE!</v>
      </c>
    </row>
    <row r="116" spans="1:27">
      <c r="A116" s="65" t="e" vm="1">
        <v>#REF!</v>
      </c>
      <c r="B116" s="64" t="e" vm="1">
        <v>#REF!</v>
      </c>
      <c r="C116" s="66" t="e" vm="2">
        <f t="array" ref="C116">IF(IF(ISNUMBER(A116),MONTH(A116),MONTH(DATEVALUE(A116)))=$B$96,B116/100,"-- ")</f>
        <v>#VALUE!</v>
      </c>
      <c r="D116" s="67"/>
      <c r="E116" s="65" t="e" vm="1">
        <v>#REF!</v>
      </c>
      <c r="F116" s="64" t="e" vm="1">
        <v>#REF!</v>
      </c>
      <c r="G116" s="66" t="e" vm="2">
        <f t="shared" si="39"/>
        <v>#VALUE!</v>
      </c>
      <c r="H116" s="45" t="e" vm="2">
        <f t="shared" si="49"/>
        <v>#VALUE!</v>
      </c>
      <c r="I116" s="65" t="e" vm="1">
        <v>#REF!</v>
      </c>
      <c r="J116" s="64" t="e" vm="1">
        <v>#REF!</v>
      </c>
      <c r="K116" s="66" t="e" vm="2">
        <f t="shared" si="41"/>
        <v>#VALUE!</v>
      </c>
      <c r="L116" s="68" t="e" vm="2">
        <f t="shared" si="50"/>
        <v>#VALUE!</v>
      </c>
      <c r="M116" s="69" t="e" vm="2">
        <f t="shared" si="51"/>
        <v>#VALUE!</v>
      </c>
      <c r="N116" s="67" t="e" vm="2">
        <f t="shared" si="52"/>
        <v>#VALUE!</v>
      </c>
      <c r="O116" s="70"/>
      <c r="P116" s="65" t="e" vm="1">
        <v>#REF!</v>
      </c>
      <c r="Q116" s="64" t="e" vm="1">
        <v>#REF!</v>
      </c>
      <c r="R116" s="66" t="e" vm="2">
        <f t="shared" si="45"/>
        <v>#VALUE!</v>
      </c>
      <c r="S116" s="68" t="e" vm="2">
        <f>Q116+0.2+0.1-0.29-0.08-0.08-(J116+AVERAGE('[6]Monthly SBO'!$M$259:$N$259)/100*7.5)</f>
        <v>#VALUE!</v>
      </c>
      <c r="T116" s="48"/>
      <c r="U116" s="69" t="e" vm="2">
        <f t="shared" si="46"/>
        <v>#VALUE!</v>
      </c>
      <c r="V116" s="67" t="e" vm="2">
        <f t="shared" si="48"/>
        <v>#VALUE!</v>
      </c>
      <c r="X116" s="65" t="e" vm="1">
        <v>#REF!</v>
      </c>
      <c r="Y116" s="64" t="e" vm="1">
        <v>#REF!</v>
      </c>
      <c r="Z116" s="66" t="e" vm="2">
        <f t="shared" si="47"/>
        <v>#VALUE!</v>
      </c>
    </row>
    <row r="117" spans="1:27">
      <c r="A117" s="65" t="e" vm="1">
        <v>#REF!</v>
      </c>
      <c r="B117" s="64" t="e" vm="1">
        <v>#REF!</v>
      </c>
      <c r="C117" s="66" t="e" vm="2">
        <f t="array" ref="C117">IF(IF(ISNUMBER(A117),MONTH(A117),MONTH(DATEVALUE(A117)))=$B$96,B117/100,"-- ")</f>
        <v>#VALUE!</v>
      </c>
      <c r="D117" s="67"/>
      <c r="E117" s="65" t="e" vm="1">
        <v>#REF!</v>
      </c>
      <c r="F117" s="64" t="e" vm="1">
        <v>#REF!</v>
      </c>
      <c r="G117" s="66" t="e" vm="2">
        <f t="shared" si="39"/>
        <v>#VALUE!</v>
      </c>
      <c r="H117" s="45" t="e" vm="2">
        <f t="shared" si="49"/>
        <v>#VALUE!</v>
      </c>
      <c r="I117" s="65" t="e" vm="1">
        <v>#REF!</v>
      </c>
      <c r="J117" s="64" t="e" vm="1">
        <v>#REF!</v>
      </c>
      <c r="K117" s="66" t="e" vm="2">
        <f t="shared" si="41"/>
        <v>#VALUE!</v>
      </c>
      <c r="L117" s="68" t="e" vm="2">
        <f t="shared" si="50"/>
        <v>#VALUE!</v>
      </c>
      <c r="M117" s="69" t="e" vm="2">
        <f t="shared" si="51"/>
        <v>#VALUE!</v>
      </c>
      <c r="N117" s="67" t="e" vm="2">
        <f t="shared" si="52"/>
        <v>#VALUE!</v>
      </c>
      <c r="O117" s="70"/>
      <c r="P117" s="65" t="e" vm="1">
        <v>#REF!</v>
      </c>
      <c r="Q117" s="64" t="e" vm="1">
        <v>#REF!</v>
      </c>
      <c r="R117" s="66" t="e" vm="2">
        <f t="shared" si="45"/>
        <v>#VALUE!</v>
      </c>
      <c r="S117" s="68" t="e" vm="2">
        <f>Q117+0.2+0.1-0.29-0.08-0.08-(J117+AVERAGE('[6]Monthly SBO'!$M$259:$N$259)/100*7.5)</f>
        <v>#VALUE!</v>
      </c>
      <c r="T117" s="48"/>
      <c r="U117" s="69" t="e" vm="2">
        <f t="shared" si="46"/>
        <v>#VALUE!</v>
      </c>
      <c r="V117" s="67" t="e" vm="2">
        <f t="shared" si="48"/>
        <v>#VALUE!</v>
      </c>
      <c r="X117" s="65" t="e" vm="1">
        <v>#REF!</v>
      </c>
      <c r="Y117" s="64" t="e" vm="1">
        <v>#REF!</v>
      </c>
      <c r="Z117" s="66" t="e" vm="2">
        <f t="shared" si="47"/>
        <v>#VALUE!</v>
      </c>
    </row>
    <row r="118" spans="1:27">
      <c r="A118" s="65" t="e" vm="1">
        <v>#REF!</v>
      </c>
      <c r="B118" s="64" t="e" vm="1">
        <v>#REF!</v>
      </c>
      <c r="C118" s="66" t="e" vm="2">
        <f t="array" ref="C118">IF(IF(ISNUMBER(A118),MONTH(A118),MONTH(DATEVALUE(A118)))=$B$96,B118/100,"-- ")</f>
        <v>#VALUE!</v>
      </c>
      <c r="D118" s="67"/>
      <c r="E118" s="65" t="e" vm="1">
        <v>#REF!</v>
      </c>
      <c r="F118" s="64" t="e" vm="1">
        <v>#REF!</v>
      </c>
      <c r="G118" s="66" t="e" vm="2">
        <f t="shared" si="39"/>
        <v>#VALUE!</v>
      </c>
      <c r="H118" s="45" t="e" vm="2">
        <f t="shared" si="49"/>
        <v>#VALUE!</v>
      </c>
      <c r="I118" s="65" t="e" vm="1">
        <v>#REF!</v>
      </c>
      <c r="J118" s="64" t="e" vm="1">
        <v>#REF!</v>
      </c>
      <c r="K118" s="66" t="e" vm="2">
        <f t="shared" si="41"/>
        <v>#VALUE!</v>
      </c>
      <c r="L118" s="68" t="e" vm="2">
        <f t="shared" si="50"/>
        <v>#VALUE!</v>
      </c>
      <c r="M118" s="69" t="e" vm="2">
        <f t="shared" si="51"/>
        <v>#VALUE!</v>
      </c>
      <c r="N118" s="67" t="e" vm="2">
        <f t="shared" si="52"/>
        <v>#VALUE!</v>
      </c>
      <c r="O118" s="70"/>
      <c r="P118" s="65" t="e" vm="1">
        <v>#REF!</v>
      </c>
      <c r="Q118" s="64" t="e" vm="1">
        <v>#REF!</v>
      </c>
      <c r="R118" s="66" t="e" vm="2">
        <f t="shared" si="45"/>
        <v>#VALUE!</v>
      </c>
      <c r="S118" s="68" t="e" vm="2">
        <f>Q118+0.2+0.1-0.29-0.08-0.08-(J118+AVERAGE('[6]Monthly SBO'!$M$259:$N$259)/100*7.5)</f>
        <v>#VALUE!</v>
      </c>
      <c r="T118" s="48"/>
      <c r="U118" s="69" t="e" vm="2">
        <f t="shared" si="46"/>
        <v>#VALUE!</v>
      </c>
      <c r="V118" s="67" t="e" vm="2">
        <f t="shared" si="48"/>
        <v>#VALUE!</v>
      </c>
      <c r="X118" s="65" t="e" vm="1">
        <v>#REF!</v>
      </c>
      <c r="Y118" s="64" t="e" vm="1">
        <v>#REF!</v>
      </c>
      <c r="Z118" s="66" t="e" vm="2">
        <f t="shared" si="47"/>
        <v>#VALUE!</v>
      </c>
    </row>
    <row r="119" spans="1:27">
      <c r="A119" s="65" t="e" vm="1">
        <v>#REF!</v>
      </c>
      <c r="B119" s="64" t="e" vm="1">
        <v>#REF!</v>
      </c>
      <c r="C119" s="66" t="e" vm="2">
        <f t="array" ref="C119">IF(IF(ISNUMBER(A119),MONTH(A119),MONTH(DATEVALUE(A119)))=$B$96,B119/100,"-- ")</f>
        <v>#VALUE!</v>
      </c>
      <c r="D119" s="67"/>
      <c r="E119" s="65" t="e" vm="1">
        <v>#REF!</v>
      </c>
      <c r="F119" s="64" t="e" vm="1">
        <v>#REF!</v>
      </c>
      <c r="G119" s="66" t="e" vm="2">
        <f t="shared" si="39"/>
        <v>#VALUE!</v>
      </c>
      <c r="H119" s="45" t="e" vm="2">
        <f t="shared" si="49"/>
        <v>#VALUE!</v>
      </c>
      <c r="I119" s="65" t="e" vm="1">
        <v>#REF!</v>
      </c>
      <c r="J119" s="64" t="e" vm="1">
        <v>#REF!</v>
      </c>
      <c r="K119" s="66" t="e" vm="2">
        <f t="shared" si="41"/>
        <v>#VALUE!</v>
      </c>
      <c r="L119" s="68" t="e" vm="2">
        <f t="shared" si="50"/>
        <v>#VALUE!</v>
      </c>
      <c r="M119" s="69" t="e" vm="2">
        <f t="shared" si="51"/>
        <v>#VALUE!</v>
      </c>
      <c r="N119" s="67" t="e" vm="2">
        <f t="shared" si="52"/>
        <v>#VALUE!</v>
      </c>
      <c r="O119" s="70"/>
      <c r="P119" s="65" t="e" vm="1">
        <v>#REF!</v>
      </c>
      <c r="Q119" s="64" t="e" vm="1">
        <v>#REF!</v>
      </c>
      <c r="R119" s="66" t="e" vm="2">
        <f t="shared" si="45"/>
        <v>#VALUE!</v>
      </c>
      <c r="S119" s="68" t="e" vm="2">
        <f>Q119+0.2+0.1-0.29-0.08-0.08-(J119+AVERAGE('[6]Monthly SBO'!$M$259:$N$259)/100*7.5)</f>
        <v>#VALUE!</v>
      </c>
      <c r="T119" s="48"/>
      <c r="U119" s="69" t="e" vm="2">
        <f t="shared" si="46"/>
        <v>#VALUE!</v>
      </c>
      <c r="V119" s="67" t="e" vm="2">
        <f t="shared" si="48"/>
        <v>#VALUE!</v>
      </c>
      <c r="X119" s="65" t="e" vm="1">
        <v>#REF!</v>
      </c>
      <c r="Y119" s="64" t="e" vm="1">
        <v>#REF!</v>
      </c>
      <c r="Z119" s="66" t="e" vm="2">
        <f t="shared" si="47"/>
        <v>#VALUE!</v>
      </c>
    </row>
    <row r="120" spans="1:27">
      <c r="A120" s="65" t="e" vm="1">
        <v>#REF!</v>
      </c>
      <c r="B120" s="64" t="e" vm="1">
        <v>#REF!</v>
      </c>
      <c r="C120" s="66" t="e" vm="2">
        <f t="array" ref="C120">IF(IF(ISNUMBER(A120),MONTH(A120),MONTH(DATEVALUE(A120)))=$B$96,B120/100,"-- ")</f>
        <v>#VALUE!</v>
      </c>
      <c r="D120" s="67"/>
      <c r="E120" s="65" t="e" vm="1">
        <v>#REF!</v>
      </c>
      <c r="F120" s="64" t="e" vm="1">
        <v>#REF!</v>
      </c>
      <c r="G120" s="66" t="e" vm="2">
        <f t="shared" si="39"/>
        <v>#VALUE!</v>
      </c>
      <c r="H120" s="45" t="e" vm="2">
        <f t="shared" si="49"/>
        <v>#VALUE!</v>
      </c>
      <c r="I120" s="65" t="e" vm="1">
        <v>#REF!</v>
      </c>
      <c r="J120" s="64" t="e" vm="1">
        <v>#REF!</v>
      </c>
      <c r="K120" s="66" t="e" vm="2">
        <f t="shared" si="41"/>
        <v>#VALUE!</v>
      </c>
      <c r="L120" s="68" t="e" vm="2">
        <f t="shared" si="50"/>
        <v>#VALUE!</v>
      </c>
      <c r="M120" s="69" t="e" vm="2">
        <f t="shared" si="51"/>
        <v>#VALUE!</v>
      </c>
      <c r="N120" s="67" t="e" vm="2">
        <f t="shared" si="52"/>
        <v>#VALUE!</v>
      </c>
      <c r="O120" s="70"/>
      <c r="P120" s="65" t="e" vm="1">
        <v>#REF!</v>
      </c>
      <c r="Q120" s="64" t="e" vm="1">
        <v>#REF!</v>
      </c>
      <c r="R120" s="66" t="e" vm="2">
        <f t="shared" si="45"/>
        <v>#VALUE!</v>
      </c>
      <c r="S120" s="68" t="e" vm="2">
        <f>Q120+0.2+0.1-0.29-0.08-0.08-(J120+AVERAGE('[6]Monthly SBO'!$M$259:$N$259)/100*7.5)</f>
        <v>#VALUE!</v>
      </c>
      <c r="T120" s="48"/>
      <c r="U120" s="69" t="e" vm="2">
        <f t="shared" si="46"/>
        <v>#VALUE!</v>
      </c>
      <c r="V120" s="67" t="e" vm="2">
        <f t="shared" si="48"/>
        <v>#VALUE!</v>
      </c>
      <c r="X120" s="65" t="e" vm="1">
        <v>#REF!</v>
      </c>
      <c r="Y120" s="64" t="e" vm="1">
        <v>#REF!</v>
      </c>
      <c r="Z120" s="66" t="e" vm="2">
        <f t="shared" si="47"/>
        <v>#VALUE!</v>
      </c>
    </row>
    <row r="121" spans="1:27">
      <c r="A121" s="65" t="e" vm="1">
        <v>#REF!</v>
      </c>
      <c r="B121" s="64" t="e" vm="1">
        <v>#REF!</v>
      </c>
      <c r="C121" s="66" t="e" vm="2">
        <f t="array" ref="C121">IF(IF(ISNUMBER(A121),MONTH(A121),MONTH(DATEVALUE(A121)))=$B$96,B121/100,"-- ")</f>
        <v>#VALUE!</v>
      </c>
      <c r="D121" s="67"/>
      <c r="E121" s="65" t="e" vm="1">
        <v>#REF!</v>
      </c>
      <c r="F121" s="64" t="e" vm="1">
        <v>#REF!</v>
      </c>
      <c r="G121" s="66" t="e" vm="2">
        <f t="shared" si="39"/>
        <v>#VALUE!</v>
      </c>
      <c r="H121" s="45" t="e" vm="2">
        <f t="shared" si="49"/>
        <v>#VALUE!</v>
      </c>
      <c r="I121" s="65" t="e" vm="1">
        <v>#REF!</v>
      </c>
      <c r="J121" s="64" t="e" vm="1">
        <v>#REF!</v>
      </c>
      <c r="K121" s="66" t="e" vm="2">
        <f t="shared" si="41"/>
        <v>#VALUE!</v>
      </c>
      <c r="L121" s="68" t="e" vm="2">
        <f t="shared" si="50"/>
        <v>#VALUE!</v>
      </c>
      <c r="M121" s="69" t="e" vm="2">
        <f t="shared" si="51"/>
        <v>#VALUE!</v>
      </c>
      <c r="N121" s="67" t="e" vm="2">
        <f t="shared" si="52"/>
        <v>#VALUE!</v>
      </c>
      <c r="O121" s="70"/>
      <c r="P121" s="65" t="e" vm="1">
        <v>#REF!</v>
      </c>
      <c r="Q121" s="64" t="e" vm="1">
        <v>#REF!</v>
      </c>
      <c r="R121" s="66" t="e" vm="2">
        <f t="shared" si="45"/>
        <v>#VALUE!</v>
      </c>
      <c r="S121" s="68" t="e" vm="2">
        <f>Q121+0.2+0.1-0.29-0.08-0.08-(J121+AVERAGE('[6]Monthly SBO'!$M$259:$N$259)/100*7.5)</f>
        <v>#VALUE!</v>
      </c>
      <c r="T121" s="48"/>
      <c r="U121" s="69" t="e" vm="2">
        <f t="shared" si="46"/>
        <v>#VALUE!</v>
      </c>
      <c r="V121" s="67" t="e" vm="2">
        <f>J121/100*11/(B121/100+U121)</f>
        <v>#VALUE!</v>
      </c>
      <c r="X121" s="65" t="e" vm="1">
        <v>#REF!</v>
      </c>
      <c r="Y121" s="64" t="e" vm="1">
        <v>#REF!</v>
      </c>
      <c r="Z121" s="66" t="e" vm="2">
        <f t="shared" si="47"/>
        <v>#VALUE!</v>
      </c>
    </row>
    <row r="122" spans="1:27">
      <c r="A122" s="65" t="e" vm="1">
        <v>#REF!</v>
      </c>
      <c r="B122" s="64" t="e" vm="1">
        <v>#REF!</v>
      </c>
      <c r="C122" s="66" t="e" vm="2">
        <f t="array" ref="C122">IF(IF(ISNUMBER(A122),MONTH(A122),MONTH(DATEVALUE(A122)))=$B$96,B122/100,"-- ")</f>
        <v>#VALUE!</v>
      </c>
      <c r="D122" s="66"/>
      <c r="E122" s="65" t="e" vm="1">
        <v>#REF!</v>
      </c>
      <c r="F122" s="64" t="e" vm="1">
        <v>#REF!</v>
      </c>
      <c r="G122" s="66" t="e" vm="2">
        <f t="shared" si="39"/>
        <v>#VALUE!</v>
      </c>
      <c r="H122" s="45" t="e" vm="2">
        <f t="shared" si="49"/>
        <v>#VALUE!</v>
      </c>
      <c r="I122" s="65" t="e" vm="1">
        <v>#REF!</v>
      </c>
      <c r="J122" s="64" t="e" vm="1">
        <v>#REF!</v>
      </c>
      <c r="K122" s="66" t="e" vm="2">
        <f t="shared" si="41"/>
        <v>#VALUE!</v>
      </c>
      <c r="L122" s="68" t="e" vm="2">
        <f t="shared" si="50"/>
        <v>#VALUE!</v>
      </c>
      <c r="M122" s="69" t="e" vm="2">
        <f t="shared" si="51"/>
        <v>#VALUE!</v>
      </c>
      <c r="N122" s="67" t="e" vm="2">
        <f t="shared" si="52"/>
        <v>#VALUE!</v>
      </c>
      <c r="O122" s="70"/>
      <c r="P122" s="65" t="e" vm="1">
        <v>#REF!</v>
      </c>
      <c r="Q122" s="64" t="e" vm="1">
        <v>#REF!</v>
      </c>
      <c r="R122" s="66" t="e" vm="2">
        <f t="shared" si="45"/>
        <v>#VALUE!</v>
      </c>
      <c r="S122" s="68" t="e" vm="2">
        <f>Q122+0.2+0.1-0.29-0.08-0.08-(J122+AVERAGE('[6]Monthly SBO'!$M$259:$N$259)/100*7.5)</f>
        <v>#VALUE!</v>
      </c>
      <c r="T122" s="48"/>
      <c r="U122" s="69" t="e" vm="2">
        <f t="shared" si="46"/>
        <v>#VALUE!</v>
      </c>
      <c r="V122" s="67" t="e" vm="2">
        <f t="shared" ref="V122:V123" si="53">J122/100*11/(B122/100+U122)</f>
        <v>#VALUE!</v>
      </c>
      <c r="X122" s="65" t="e" vm="1">
        <v>#REF!</v>
      </c>
      <c r="Y122" s="64" t="e" vm="1">
        <v>#REF!</v>
      </c>
      <c r="Z122" s="66" t="e" vm="2">
        <f t="shared" si="47"/>
        <v>#VALUE!</v>
      </c>
    </row>
    <row r="123" spans="1:27">
      <c r="A123" s="65" t="e" vm="1">
        <v>#REF!</v>
      </c>
      <c r="B123" s="64" t="e" vm="1">
        <v>#REF!</v>
      </c>
      <c r="C123" s="66" t="e" vm="2">
        <f t="array" ref="C123">IF(IF(ISNUMBER(A123),MONTH(A123),MONTH(DATEVALUE(A123)))=$B$96,B123/100,"-- ")</f>
        <v>#VALUE!</v>
      </c>
      <c r="D123" s="66"/>
      <c r="E123" s="65" t="e" vm="1">
        <v>#REF!</v>
      </c>
      <c r="F123" s="64" t="e" vm="1">
        <v>#REF!</v>
      </c>
      <c r="G123" s="66" t="e" vm="2">
        <f t="shared" si="39"/>
        <v>#VALUE!</v>
      </c>
      <c r="H123" s="45" t="e" vm="2">
        <f t="shared" si="49"/>
        <v>#VALUE!</v>
      </c>
      <c r="I123" s="65" t="e" vm="1">
        <v>#REF!</v>
      </c>
      <c r="J123" s="64" t="e" vm="1">
        <v>#REF!</v>
      </c>
      <c r="K123" s="66" t="e" vm="2">
        <f t="shared" si="41"/>
        <v>#VALUE!</v>
      </c>
      <c r="L123" s="68" t="e" vm="2">
        <f t="shared" si="50"/>
        <v>#VALUE!</v>
      </c>
      <c r="M123" s="69" t="e" vm="2">
        <f t="shared" si="51"/>
        <v>#VALUE!</v>
      </c>
      <c r="N123" s="67" t="e" vm="2">
        <f t="shared" si="52"/>
        <v>#VALUE!</v>
      </c>
      <c r="O123" s="70"/>
      <c r="P123" s="65" t="e" vm="1">
        <v>#REF!</v>
      </c>
      <c r="Q123" s="64" t="e" vm="1">
        <v>#REF!</v>
      </c>
      <c r="R123" s="66" t="e" vm="2">
        <f t="shared" si="45"/>
        <v>#VALUE!</v>
      </c>
      <c r="S123" s="68" t="e" vm="2">
        <f>Q123+0.2+0.1-0.29-0.08-0.08-(J123+AVERAGE('[6]Monthly SBO'!$M$259:$N$259)/100*7.5)</f>
        <v>#VALUE!</v>
      </c>
      <c r="T123" s="48"/>
      <c r="U123" s="69" t="e" vm="2">
        <f t="shared" si="46"/>
        <v>#VALUE!</v>
      </c>
      <c r="V123" s="67" t="e" vm="2">
        <f t="shared" si="53"/>
        <v>#VALUE!</v>
      </c>
      <c r="X123" s="65" t="e" vm="1">
        <v>#REF!</v>
      </c>
      <c r="Y123" s="64" t="e" vm="1">
        <v>#REF!</v>
      </c>
      <c r="Z123" s="66" t="e" vm="2">
        <f t="shared" si="47"/>
        <v>#VALUE!</v>
      </c>
    </row>
    <row r="124" spans="1:27">
      <c r="A124" s="63" t="e" vm="1">
        <v>#REF!</v>
      </c>
      <c r="B124" s="64" t="e" vm="1">
        <v>#REF!</v>
      </c>
      <c r="C124" s="66" t="e" vm="2">
        <f>IF(IF(ISNUMBER(A124),MONTH(A124),MONTH(DATEVALUE(A124)))=$B$96,B124/100,"-- ")</f>
        <v>#VALUE!</v>
      </c>
      <c r="D124" s="66"/>
      <c r="E124" s="63" t="e" vm="1">
        <v>#REF!</v>
      </c>
      <c r="F124" s="64" t="e" vm="1">
        <v>#REF!</v>
      </c>
      <c r="G124" s="66" t="e" vm="2">
        <f t="shared" si="39"/>
        <v>#VALUE!</v>
      </c>
      <c r="H124" s="45" t="e" vm="2">
        <f t="shared" si="49"/>
        <v>#VALUE!</v>
      </c>
      <c r="I124" s="63" t="e" vm="1">
        <v>#REF!</v>
      </c>
      <c r="J124" s="64" t="e" vm="1">
        <v>#REF!</v>
      </c>
      <c r="K124" s="66" t="e" vm="2">
        <f t="shared" si="41"/>
        <v>#VALUE!</v>
      </c>
      <c r="L124" s="68" t="e" vm="2">
        <f t="shared" si="50"/>
        <v>#VALUE!</v>
      </c>
      <c r="M124" s="69" t="e" vm="2">
        <f t="shared" si="51"/>
        <v>#VALUE!</v>
      </c>
      <c r="N124" s="67" t="e" vm="2">
        <f t="shared" si="52"/>
        <v>#VALUE!</v>
      </c>
      <c r="O124" s="70"/>
      <c r="P124" s="63" t="e" vm="1">
        <v>#REF!</v>
      </c>
      <c r="Q124" s="64" t="e" vm="1">
        <v>#REF!</v>
      </c>
      <c r="R124" s="66" t="e" vm="2">
        <f t="shared" si="45"/>
        <v>#VALUE!</v>
      </c>
      <c r="S124" s="68" t="e" vm="2">
        <f>Q124+0.2+0.1-0.29-0.08-0.08-(J124+AVERAGE('[6]Monthly SBO'!$M$259:$N$259)/100*7.5)</f>
        <v>#VALUE!</v>
      </c>
      <c r="T124" s="48"/>
      <c r="U124" s="69" t="e" vm="2">
        <f t="shared" si="46"/>
        <v>#VALUE!</v>
      </c>
      <c r="V124" s="67" t="e" vm="2">
        <f>J124/100*11/(B124/100+U124)</f>
        <v>#VALUE!</v>
      </c>
      <c r="X124" s="63" t="e" vm="1">
        <v>#REF!</v>
      </c>
      <c r="Y124" s="64" t="e" vm="1">
        <v>#REF!</v>
      </c>
      <c r="Z124" s="66" t="e" vm="2">
        <f t="shared" si="47"/>
        <v>#VALUE!</v>
      </c>
    </row>
    <row r="125" spans="1:27">
      <c r="A125" s="72"/>
      <c r="B125" s="73"/>
      <c r="C125" s="73"/>
      <c r="D125" s="74"/>
      <c r="E125" s="72"/>
      <c r="F125" s="73"/>
      <c r="G125" s="73"/>
      <c r="H125" s="73"/>
      <c r="I125" s="72"/>
      <c r="J125" s="73"/>
      <c r="K125" s="73"/>
      <c r="L125" s="73"/>
      <c r="M125" s="73"/>
      <c r="N125" s="73"/>
      <c r="O125" s="57"/>
      <c r="P125" s="72"/>
      <c r="Q125" s="73"/>
      <c r="S125" s="57"/>
      <c r="U125" s="73"/>
      <c r="V125" s="73"/>
      <c r="X125" s="72"/>
      <c r="Y125" s="73"/>
    </row>
    <row r="126" spans="1:27">
      <c r="B126" s="72"/>
      <c r="C126" s="75">
        <f>IF(ISNUMBER(C124),(($B$97-COUNT(C100:C123))*C124+SUM(C100:C123))/$B$97,2.25)</f>
        <v>2.25</v>
      </c>
      <c r="D126" s="76"/>
      <c r="F126" s="72"/>
      <c r="G126" s="75">
        <f>IF(ISNUMBER(G124),(($B$97-COUNT(G100:G123))*G124+SUM(G100:G123))/$B$97,2.25)</f>
        <v>2.25</v>
      </c>
      <c r="H126" s="52"/>
      <c r="J126" s="72"/>
      <c r="K126" s="75">
        <f>IF(ISNUMBER(K124),(($B$97-COUNT(K100:K123))*K124+SUM(K100:K123))/$B$97,2.25)</f>
        <v>2.25</v>
      </c>
      <c r="M126" s="69">
        <f>(G126/2000*44)+(K126/100*11)-C126</f>
        <v>-1.9530000000000001</v>
      </c>
      <c r="N126" s="67">
        <f>K126/100*11/(C126+M126)</f>
        <v>0.83333333333333348</v>
      </c>
      <c r="O126" s="57"/>
      <c r="Q126" s="75" t="e" vm="2">
        <f>AVERAGE(Q103:Q124)</f>
        <v>#VALUE!</v>
      </c>
      <c r="R126" s="75">
        <f>IF(ISNUMBER(R124),(($B$97-COUNT(R100:R123))*R124+SUM(R100:R123))/$B$97,2.25)</f>
        <v>2.25</v>
      </c>
      <c r="S126" s="68">
        <f>R126+0.2+0.1-0.29-0.08-0.08-(K126+U628)/100*7.5</f>
        <v>1.9312500000000001</v>
      </c>
      <c r="X126" s="77" t="s">
        <v>9</v>
      </c>
      <c r="Y126" s="72"/>
      <c r="Z126" s="75">
        <f>IF(ISNUMBER(Z124),(($B$97-COUNT(Z100:Z123))*Z124+SUM(Z100:Z124))/$B$97,0)</f>
        <v>0</v>
      </c>
    </row>
    <row r="127" spans="1:27">
      <c r="C127" s="75" t="e" vm="2">
        <f>AVERAGE(C100:C124)</f>
        <v>#VALUE!</v>
      </c>
      <c r="D127" s="77" t="s">
        <v>9</v>
      </c>
      <c r="G127" s="75" t="e" vm="2">
        <f>AVERAGE(G100:G124)</f>
        <v>#VALUE!</v>
      </c>
      <c r="H127" s="77" t="s">
        <v>9</v>
      </c>
      <c r="K127" s="75" t="e" vm="2">
        <f>AVERAGE(K100:K124)</f>
        <v>#VALUE!</v>
      </c>
      <c r="L127" s="77" t="s">
        <v>9</v>
      </c>
      <c r="M127" s="69" t="e" vm="2">
        <f>AVERAGE(M124)</f>
        <v>#VALUE!</v>
      </c>
      <c r="N127" s="67" t="e" vm="2">
        <f>AVERAGE(N124)</f>
        <v>#VALUE!</v>
      </c>
      <c r="O127" s="77" t="s">
        <v>9</v>
      </c>
      <c r="Q127" s="75"/>
      <c r="R127" s="75" t="e" vm="2">
        <f>AVERAGE(R100:R124)</f>
        <v>#VALUE!</v>
      </c>
      <c r="S127" s="75" t="e" vm="2">
        <f>AVERAGE(S100:S124)</f>
        <v>#VALUE!</v>
      </c>
      <c r="Z127" s="75" t="e" vm="2">
        <f>AVERAGE(Z100:Z124)</f>
        <v>#VALUE!</v>
      </c>
    </row>
    <row r="128" spans="1:27">
      <c r="C128" s="58">
        <f>COUNTIF(C100:C124,"&gt;0")</f>
        <v>0</v>
      </c>
      <c r="D128" s="78" t="s">
        <v>78</v>
      </c>
      <c r="G128" s="58">
        <f>COUNTIF(G100:G124,"&gt;0")</f>
        <v>0</v>
      </c>
      <c r="H128" s="78" t="s">
        <v>78</v>
      </c>
      <c r="J128" s="79" t="s">
        <v>78</v>
      </c>
      <c r="K128" s="58">
        <f>COUNTIF(K100:K124,"&gt;0")</f>
        <v>0</v>
      </c>
      <c r="M128" s="58">
        <f>COUNTIF(M100:M124,"&gt;0")</f>
        <v>0</v>
      </c>
      <c r="N128" s="58">
        <f>COUNTIF(N100:N124,"&gt;0")</f>
        <v>0</v>
      </c>
      <c r="O128" s="78" t="s">
        <v>78</v>
      </c>
      <c r="R128" s="58">
        <f>COUNTIF(R100:R124,"&gt;0")</f>
        <v>0</v>
      </c>
      <c r="S128" s="78" t="s">
        <v>78</v>
      </c>
      <c r="Z128" s="80">
        <f>COUNTIF(Z100:Z124,"&gt;0")</f>
        <v>0</v>
      </c>
      <c r="AA128" s="78" t="s">
        <v>78</v>
      </c>
    </row>
    <row r="129" spans="1:27">
      <c r="C129" s="81">
        <v>9.85</v>
      </c>
      <c r="D129" s="78" t="s">
        <v>79</v>
      </c>
      <c r="E129" s="48"/>
      <c r="F129" s="48"/>
      <c r="G129" s="81">
        <v>295</v>
      </c>
      <c r="H129" s="78" t="s">
        <v>79</v>
      </c>
      <c r="I129" s="48"/>
      <c r="J129" s="79" t="s">
        <v>79</v>
      </c>
      <c r="K129" s="82">
        <v>46</v>
      </c>
      <c r="M129" s="82">
        <v>1.6</v>
      </c>
      <c r="N129" s="83">
        <v>0.45</v>
      </c>
      <c r="O129" s="78" t="s">
        <v>79</v>
      </c>
      <c r="P129" s="48"/>
      <c r="R129" s="82">
        <v>2.7</v>
      </c>
      <c r="S129" s="78" t="s">
        <v>79</v>
      </c>
      <c r="T129" s="48"/>
      <c r="U129" s="48"/>
      <c r="V129" s="48"/>
      <c r="W129" s="48"/>
      <c r="X129" s="48"/>
      <c r="Y129" s="48"/>
      <c r="Z129" s="84">
        <v>4000</v>
      </c>
      <c r="AA129" s="78" t="s">
        <v>79</v>
      </c>
    </row>
    <row r="130" spans="1:27">
      <c r="C130" s="85" t="e" vm="2">
        <f>AVERAGE(C100:C124)</f>
        <v>#VALUE!</v>
      </c>
      <c r="D130" s="58" t="s">
        <v>80</v>
      </c>
      <c r="G130" s="86" t="e" vm="2">
        <f>AVERAGE(G100:G124)</f>
        <v>#VALUE!</v>
      </c>
      <c r="H130" s="58" t="s">
        <v>80</v>
      </c>
      <c r="J130" s="79" t="s">
        <v>80</v>
      </c>
      <c r="K130" s="87" t="e" vm="2">
        <f>AVERAGE(K100:K124)</f>
        <v>#VALUE!</v>
      </c>
      <c r="M130" s="87" t="e" vm="2">
        <f>AVERAGE(M119:M124)</f>
        <v>#VALUE!</v>
      </c>
      <c r="N130" s="88" t="e" vm="2">
        <f>AVERAGE(N119:N124)</f>
        <v>#VALUE!</v>
      </c>
      <c r="O130" s="58" t="s">
        <v>81</v>
      </c>
      <c r="R130" s="87" t="e" vm="2">
        <f>AVERAGE(R100:R124)</f>
        <v>#VALUE!</v>
      </c>
      <c r="S130" s="58" t="s">
        <v>80</v>
      </c>
      <c r="Y130" s="12"/>
      <c r="Z130" s="80" t="e" vm="2">
        <f>AVERAGE(Z100:Z124)</f>
        <v>#VALUE!</v>
      </c>
      <c r="AA130" s="58" t="s">
        <v>80</v>
      </c>
    </row>
    <row r="131" spans="1:27">
      <c r="C131" s="85" t="e" vm="2">
        <f>C128*C130</f>
        <v>#VALUE!</v>
      </c>
      <c r="D131" s="58" t="s">
        <v>82</v>
      </c>
      <c r="G131" s="86" t="e" vm="2">
        <f>G128*G130</f>
        <v>#VALUE!</v>
      </c>
      <c r="H131" s="58" t="s">
        <v>82</v>
      </c>
      <c r="J131" s="79" t="s">
        <v>82</v>
      </c>
      <c r="K131" s="87" t="e" vm="2">
        <f>K128*K130</f>
        <v>#VALUE!</v>
      </c>
      <c r="M131" s="87" t="e" vm="2">
        <f>M128*M130</f>
        <v>#VALUE!</v>
      </c>
      <c r="N131" s="85" t="e" vm="2">
        <f>N128*N130</f>
        <v>#VALUE!</v>
      </c>
      <c r="O131" s="58" t="s">
        <v>82</v>
      </c>
      <c r="R131" s="87" t="e" vm="2">
        <f>R128*R130</f>
        <v>#VALUE!</v>
      </c>
      <c r="S131" s="58" t="s">
        <v>82</v>
      </c>
      <c r="Z131" s="80" t="e" vm="2">
        <f>Z128*Z130</f>
        <v>#VALUE!</v>
      </c>
      <c r="AA131" s="58" t="s">
        <v>82</v>
      </c>
    </row>
    <row r="132" spans="1:27">
      <c r="C132" s="85">
        <f>C129*($B97-C128)</f>
        <v>206.85</v>
      </c>
      <c r="D132" s="58" t="s">
        <v>83</v>
      </c>
      <c r="G132" s="86">
        <f>G129*($B97-G128)</f>
        <v>6195</v>
      </c>
      <c r="H132" s="58" t="s">
        <v>83</v>
      </c>
      <c r="J132" s="79" t="s">
        <v>83</v>
      </c>
      <c r="K132" s="87">
        <f>K129*($B97-K128)</f>
        <v>966</v>
      </c>
      <c r="M132" s="87">
        <f>M129*($B97-M128)</f>
        <v>33.6</v>
      </c>
      <c r="N132" s="85">
        <f>N129*($B97-N128)</f>
        <v>9.4500000000000011</v>
      </c>
      <c r="O132" s="58" t="s">
        <v>83</v>
      </c>
      <c r="R132" s="87">
        <f>R129*($B97-R128)</f>
        <v>56.7</v>
      </c>
      <c r="S132" s="58" t="s">
        <v>83</v>
      </c>
      <c r="Z132" s="80">
        <f>(B97-Z128)+(Z128-R128)</f>
        <v>21</v>
      </c>
      <c r="AA132" s="58" t="s">
        <v>84</v>
      </c>
    </row>
    <row r="133" spans="1:27">
      <c r="C133" s="85" t="e" vm="2">
        <f>MROUND((C131+C132)/$B97,0.05)</f>
        <v>#VALUE!</v>
      </c>
      <c r="D133" s="58" t="s">
        <v>85</v>
      </c>
      <c r="G133" s="86" t="e" vm="2">
        <f>MROUND((G131+G132)/$B97,5)</f>
        <v>#VALUE!</v>
      </c>
      <c r="H133" s="58" t="s">
        <v>85</v>
      </c>
      <c r="J133" s="79" t="s">
        <v>85</v>
      </c>
      <c r="K133" s="87" t="e" vm="2">
        <f>MROUND((K131+K132)/$B97,0.05)</f>
        <v>#VALUE!</v>
      </c>
      <c r="M133" s="87" t="e" vm="2">
        <f>(M131+M132)/$B97</f>
        <v>#VALUE!</v>
      </c>
      <c r="N133" s="62" t="e" vm="2">
        <f>(N131+N132)/$B97</f>
        <v>#VALUE!</v>
      </c>
      <c r="O133" s="58" t="s">
        <v>85</v>
      </c>
      <c r="R133" s="87" t="e" vm="2">
        <f>(R131+R132)/$B97</f>
        <v>#VALUE!</v>
      </c>
      <c r="S133" s="58" t="s">
        <v>85</v>
      </c>
      <c r="Z133" s="80">
        <f>Z129*Z132</f>
        <v>84000</v>
      </c>
      <c r="AA133" s="58" t="s">
        <v>83</v>
      </c>
    </row>
    <row r="134" spans="1:27">
      <c r="C134" s="12"/>
      <c r="K134" s="89"/>
      <c r="M134" s="12"/>
      <c r="Y134" s="48"/>
      <c r="Z134" s="80" t="e" vm="2">
        <f>(Z131+Z133)/(Z132+Z128)</f>
        <v>#VALUE!</v>
      </c>
      <c r="AA134" s="58" t="s">
        <v>85</v>
      </c>
    </row>
    <row r="135" spans="1:27">
      <c r="Y135" s="48"/>
      <c r="Z135" s="48"/>
    </row>
    <row r="136" spans="1:27">
      <c r="C136" s="12"/>
      <c r="K136" s="12"/>
      <c r="M136" s="12"/>
      <c r="Y136" s="48"/>
      <c r="Z136" s="45"/>
      <c r="AA136" s="12"/>
    </row>
    <row r="144" spans="1:27" ht="60.75" thickBot="1">
      <c r="A144" s="90" t="s">
        <v>86</v>
      </c>
      <c r="B144" s="90" t="s">
        <v>87</v>
      </c>
      <c r="C144" s="90" t="s">
        <v>88</v>
      </c>
      <c r="D144" s="90" t="s">
        <v>89</v>
      </c>
    </row>
    <row r="145" spans="1:11" ht="15.75">
      <c r="A145" s="91" t="s">
        <v>90</v>
      </c>
      <c r="B145" s="92" t="e" vm="1">
        <f>[1]!'gash4[DTN:ice]?Last'</f>
        <v>#REF!</v>
      </c>
      <c r="C145" s="93" t="e">
        <f ca="1">#REF!/A$64</f>
        <v>#REF!</v>
      </c>
      <c r="D145" s="93" t="e">
        <f ca="1">C145-B145</f>
        <v>#REF!</v>
      </c>
      <c r="F145" s="94"/>
    </row>
    <row r="146" spans="1:11" ht="15.75">
      <c r="A146" s="95" t="s">
        <v>91</v>
      </c>
      <c r="B146" s="96" t="e" vm="1">
        <f>[1]!'gasj4[DTN:ice]?Last'</f>
        <v>#REF!</v>
      </c>
      <c r="C146" s="97" t="e">
        <f ca="1">#REF!/A$64</f>
        <v>#REF!</v>
      </c>
      <c r="D146" s="97" t="e">
        <f t="shared" ref="D146:D156" ca="1" si="54">C146-B146</f>
        <v>#REF!</v>
      </c>
      <c r="F146" s="94"/>
    </row>
    <row r="147" spans="1:11" ht="15.75">
      <c r="A147" s="95" t="s">
        <v>92</v>
      </c>
      <c r="B147" s="96" t="e" vm="1">
        <f>[1]!'gask4[DTN:ice]?Last'</f>
        <v>#REF!</v>
      </c>
      <c r="C147" s="97" t="e">
        <f ca="1">#REF!/A$64</f>
        <v>#REF!</v>
      </c>
      <c r="D147" s="97" t="e">
        <f t="shared" ca="1" si="54"/>
        <v>#REF!</v>
      </c>
      <c r="F147" s="94"/>
    </row>
    <row r="148" spans="1:11" ht="15.75">
      <c r="A148" s="95" t="s">
        <v>93</v>
      </c>
      <c r="B148" s="96" t="e" vm="1">
        <f>[1]!'gasm4[DTN:ice]?Last'</f>
        <v>#REF!</v>
      </c>
      <c r="C148" s="97" t="e">
        <f ca="1">#REF!/A$64</f>
        <v>#REF!</v>
      </c>
      <c r="D148" s="97" t="e">
        <f t="shared" ca="1" si="54"/>
        <v>#REF!</v>
      </c>
      <c r="F148" s="94"/>
    </row>
    <row r="149" spans="1:11" ht="15.75">
      <c r="A149" s="95" t="s">
        <v>94</v>
      </c>
      <c r="B149" s="96" t="e" vm="1">
        <f>[1]!'gasn4[DTN:ice]?Last'</f>
        <v>#REF!</v>
      </c>
      <c r="C149" s="97" t="e">
        <f ca="1">#REF!/A$64</f>
        <v>#REF!</v>
      </c>
      <c r="D149" s="97" t="e">
        <f t="shared" ca="1" si="54"/>
        <v>#REF!</v>
      </c>
      <c r="F149" s="94"/>
    </row>
    <row r="150" spans="1:11" ht="15.75">
      <c r="A150" s="95" t="s">
        <v>95</v>
      </c>
      <c r="B150" s="96" t="e" vm="1">
        <f>[1]!'gasq4[DTN:ice]?Last'</f>
        <v>#REF!</v>
      </c>
      <c r="C150" s="97" t="e">
        <f ca="1">#REF!/A$64</f>
        <v>#REF!</v>
      </c>
      <c r="D150" s="97" t="e">
        <f t="shared" ca="1" si="54"/>
        <v>#REF!</v>
      </c>
      <c r="F150" s="94"/>
    </row>
    <row r="151" spans="1:11" ht="15.75">
      <c r="A151" s="95" t="s">
        <v>96</v>
      </c>
      <c r="B151" s="96" t="e" vm="1">
        <f>[1]!'gasu4[DTN:ice]?Last'</f>
        <v>#REF!</v>
      </c>
      <c r="C151" s="97" t="e">
        <f ca="1">#REF!/A$64</f>
        <v>#REF!</v>
      </c>
      <c r="D151" s="97" t="e">
        <f t="shared" ca="1" si="54"/>
        <v>#REF!</v>
      </c>
      <c r="F151" s="94"/>
    </row>
    <row r="152" spans="1:11" ht="15.75">
      <c r="A152" s="95" t="s">
        <v>97</v>
      </c>
      <c r="B152" s="96" t="e" vm="1">
        <f>[1]!'gasv4[DTN:ice]?Last'</f>
        <v>#REF!</v>
      </c>
      <c r="C152" s="97" t="e">
        <f ca="1">#REF!/A$64</f>
        <v>#REF!</v>
      </c>
      <c r="D152" s="97" t="e">
        <f t="shared" ca="1" si="54"/>
        <v>#REF!</v>
      </c>
      <c r="F152" s="94"/>
    </row>
    <row r="153" spans="1:11" ht="15.75">
      <c r="A153" s="95" t="s">
        <v>98</v>
      </c>
      <c r="B153" s="96" t="e" vm="1">
        <f>[1]!'gasx4[DTN:ice]?Last'</f>
        <v>#REF!</v>
      </c>
      <c r="C153" s="97" t="e">
        <f ca="1">#REF!/A$64</f>
        <v>#REF!</v>
      </c>
      <c r="D153" s="97" t="e">
        <f t="shared" ca="1" si="54"/>
        <v>#REF!</v>
      </c>
      <c r="F153" s="94"/>
    </row>
    <row r="154" spans="1:11" ht="15.75">
      <c r="A154" s="95" t="s">
        <v>99</v>
      </c>
      <c r="B154" s="96" t="e" vm="1">
        <f>[1]!'gasz4[DTN:ice]?Last'</f>
        <v>#REF!</v>
      </c>
      <c r="C154" s="97" t="e">
        <f ca="1">#REF!/A$64</f>
        <v>#REF!</v>
      </c>
      <c r="D154" s="97" t="e">
        <f t="shared" ca="1" si="54"/>
        <v>#REF!</v>
      </c>
      <c r="F154" s="94"/>
    </row>
    <row r="155" spans="1:11" ht="15.75">
      <c r="A155" s="95" t="s">
        <v>100</v>
      </c>
      <c r="B155" s="96" t="e" vm="1">
        <f>[1]!'gasf5[DTN:ice]?Last'</f>
        <v>#REF!</v>
      </c>
      <c r="C155" s="97" t="e">
        <f ca="1">#REF!/A$64</f>
        <v>#REF!</v>
      </c>
      <c r="D155" s="97" t="e">
        <f t="shared" ca="1" si="54"/>
        <v>#REF!</v>
      </c>
      <c r="F155" s="94"/>
    </row>
    <row r="156" spans="1:11" ht="15.75">
      <c r="A156" s="95" t="s">
        <v>101</v>
      </c>
      <c r="B156" s="96" t="e" vm="1">
        <f>[1]!'gasg5[DTN:ice]?Last'</f>
        <v>#REF!</v>
      </c>
      <c r="C156" s="97" t="e">
        <f ca="1">#REF!/A$64</f>
        <v>#REF!</v>
      </c>
      <c r="D156" s="97" t="e">
        <f t="shared" ca="1" si="54"/>
        <v>#REF!</v>
      </c>
      <c r="F156" s="94"/>
    </row>
    <row r="157" spans="1:11">
      <c r="A157" s="11"/>
      <c r="B157" s="52"/>
      <c r="C157" s="94"/>
      <c r="D157" s="94"/>
      <c r="F157" s="94"/>
      <c r="I157" s="63"/>
      <c r="J157" s="64"/>
      <c r="K157" s="66"/>
    </row>
    <row r="158" spans="1:11">
      <c r="A158" s="11"/>
      <c r="B158" s="52"/>
      <c r="C158" s="94"/>
      <c r="D158" s="94"/>
      <c r="F158" s="94"/>
      <c r="I158" s="63"/>
      <c r="J158" s="64"/>
      <c r="K158" s="66"/>
    </row>
    <row r="159" spans="1:11">
      <c r="A159" s="11"/>
      <c r="B159" s="52"/>
      <c r="C159" s="94"/>
      <c r="D159" s="94"/>
      <c r="F159" s="94"/>
      <c r="I159" s="63"/>
      <c r="J159" s="64"/>
      <c r="K159" s="66"/>
    </row>
    <row r="160" spans="1:11">
      <c r="A160" s="11"/>
      <c r="B160" s="52"/>
      <c r="C160" s="94"/>
      <c r="D160" s="94"/>
      <c r="F160" s="94"/>
      <c r="I160" s="63"/>
      <c r="J160" s="64"/>
      <c r="K160" s="66"/>
    </row>
    <row r="161" spans="1:11">
      <c r="A161" s="11"/>
      <c r="B161" s="52"/>
      <c r="C161" s="94"/>
      <c r="D161" s="94"/>
      <c r="F161" s="94"/>
      <c r="I161" s="63"/>
      <c r="J161" s="64"/>
      <c r="K161" s="66"/>
    </row>
    <row r="162" spans="1:11">
      <c r="A162" s="11"/>
      <c r="B162" s="52"/>
      <c r="C162" s="94"/>
      <c r="D162" s="94"/>
      <c r="F162" s="94"/>
      <c r="I162" s="63"/>
      <c r="J162" s="64"/>
      <c r="K162" s="66"/>
    </row>
    <row r="163" spans="1:11">
      <c r="A163" s="11"/>
      <c r="B163" s="52"/>
      <c r="C163" s="94"/>
      <c r="D163" s="94"/>
      <c r="F163" s="94"/>
      <c r="I163" s="63"/>
      <c r="J163" s="64"/>
      <c r="K163" s="66"/>
    </row>
    <row r="164" spans="1:11">
      <c r="A164" s="11"/>
      <c r="B164" s="52"/>
      <c r="C164" s="94"/>
      <c r="D164" s="94"/>
      <c r="F164" s="94"/>
      <c r="I164" s="63"/>
      <c r="J164" s="64"/>
      <c r="K164" s="66"/>
    </row>
    <row r="165" spans="1:11">
      <c r="A165" s="11"/>
      <c r="B165" s="52"/>
      <c r="C165" s="94"/>
      <c r="D165" s="94"/>
      <c r="F165" s="94"/>
      <c r="I165" s="63"/>
      <c r="J165" s="64"/>
      <c r="K165" s="66"/>
    </row>
    <row r="166" spans="1:11">
      <c r="A166" s="11"/>
      <c r="B166" s="52"/>
      <c r="C166" s="94"/>
      <c r="D166" s="94"/>
      <c r="F166" s="94"/>
      <c r="I166" s="63"/>
      <c r="J166" s="64"/>
      <c r="K166" s="66"/>
    </row>
    <row r="167" spans="1:11">
      <c r="A167" s="11"/>
      <c r="B167" s="52"/>
      <c r="C167" s="94"/>
      <c r="D167" s="94"/>
      <c r="F167" s="94"/>
      <c r="I167" s="63"/>
      <c r="J167" s="64"/>
      <c r="K167" s="66"/>
    </row>
    <row r="168" spans="1:11">
      <c r="A168" s="11"/>
      <c r="B168" s="52"/>
      <c r="C168" s="94"/>
      <c r="D168" s="94"/>
      <c r="F168" s="94"/>
      <c r="I168" s="63"/>
      <c r="J168" s="64"/>
      <c r="K168" s="66"/>
    </row>
    <row r="169" spans="1:11">
      <c r="A169" s="11"/>
      <c r="B169" s="52"/>
      <c r="C169" s="94"/>
      <c r="D169" s="94"/>
      <c r="F169" s="94"/>
      <c r="I169" s="63"/>
      <c r="J169" s="64"/>
      <c r="K169" s="66"/>
    </row>
    <row r="170" spans="1:11">
      <c r="A170" s="11"/>
      <c r="B170" s="52"/>
      <c r="C170" s="94"/>
      <c r="D170" s="94"/>
      <c r="F170" s="94"/>
      <c r="I170" s="63"/>
      <c r="J170" s="64"/>
      <c r="K170" s="66"/>
    </row>
    <row r="171" spans="1:11">
      <c r="I171" s="63"/>
      <c r="J171" s="64"/>
      <c r="K171" s="66"/>
    </row>
    <row r="172" spans="1:11">
      <c r="I172" s="63"/>
      <c r="J172" s="64"/>
      <c r="K172" s="66"/>
    </row>
    <row r="173" spans="1:11">
      <c r="I173" s="65"/>
      <c r="J173" s="64"/>
      <c r="K173" s="66"/>
    </row>
    <row r="174" spans="1:11">
      <c r="I174" s="65"/>
      <c r="J174" s="64"/>
      <c r="K174" s="66"/>
    </row>
    <row r="175" spans="1:11">
      <c r="I175" s="65"/>
      <c r="J175" s="64"/>
      <c r="K175" s="66"/>
    </row>
    <row r="176" spans="1:11">
      <c r="I176" s="65"/>
      <c r="J176" s="64"/>
      <c r="K176" s="66"/>
    </row>
    <row r="177" spans="9:11">
      <c r="I177" s="65"/>
      <c r="J177" s="64"/>
      <c r="K177" s="66"/>
    </row>
    <row r="178" spans="9:11">
      <c r="I178" s="65"/>
      <c r="J178" s="64"/>
      <c r="K178" s="66"/>
    </row>
    <row r="179" spans="9:11">
      <c r="I179" s="65"/>
      <c r="J179" s="64"/>
      <c r="K179" s="66"/>
    </row>
    <row r="180" spans="9:11">
      <c r="I180" s="65"/>
      <c r="J180" s="64"/>
      <c r="K180" s="66"/>
    </row>
    <row r="181" spans="9:11">
      <c r="I181" s="63"/>
      <c r="J181" s="64"/>
      <c r="K181" s="66"/>
    </row>
    <row r="182" spans="9:11">
      <c r="I182" s="63"/>
      <c r="J182" s="64"/>
      <c r="K182" s="66"/>
    </row>
    <row r="183" spans="9:11">
      <c r="I183" s="63"/>
      <c r="J183" s="64"/>
      <c r="K183" s="66"/>
    </row>
    <row r="184" spans="9:11">
      <c r="I184" s="63"/>
      <c r="J184" s="64"/>
      <c r="K184" s="66"/>
    </row>
    <row r="185" spans="9:11">
      <c r="I185" s="63"/>
      <c r="J185" s="64"/>
      <c r="K185" s="66"/>
    </row>
    <row r="186" spans="9:11">
      <c r="I186" s="63"/>
      <c r="J186" s="64"/>
      <c r="K186" s="66"/>
    </row>
    <row r="187" spans="9:11">
      <c r="I187" s="63"/>
      <c r="J187" s="64"/>
      <c r="K187" s="66"/>
    </row>
    <row r="188" spans="9:11">
      <c r="I188" s="63"/>
      <c r="J188" s="64"/>
      <c r="K188" s="66"/>
    </row>
    <row r="189" spans="9:11">
      <c r="I189" s="63"/>
      <c r="J189" s="64"/>
      <c r="K189" s="66"/>
    </row>
    <row r="190" spans="9:11">
      <c r="I190" s="63"/>
      <c r="J190" s="64"/>
      <c r="K190" s="66"/>
    </row>
    <row r="191" spans="9:11">
      <c r="I191" s="63"/>
      <c r="J191" s="64"/>
      <c r="K191" s="66"/>
    </row>
    <row r="192" spans="9:11">
      <c r="I192" s="63"/>
      <c r="J192" s="64"/>
      <c r="K192" s="66"/>
    </row>
    <row r="193" spans="9:14">
      <c r="I193" s="63"/>
      <c r="J193" s="64"/>
      <c r="K193" s="66"/>
    </row>
    <row r="194" spans="9:14">
      <c r="I194" s="63"/>
      <c r="J194" s="64"/>
      <c r="K194" s="66"/>
    </row>
    <row r="195" spans="9:14">
      <c r="I195" s="63"/>
      <c r="J195" s="64"/>
      <c r="K195" s="66"/>
    </row>
    <row r="196" spans="9:14">
      <c r="I196" s="63"/>
      <c r="J196" s="64"/>
      <c r="K196" s="66"/>
    </row>
    <row r="197" spans="9:14">
      <c r="I197" s="63"/>
      <c r="J197" s="64"/>
      <c r="K197" s="66"/>
      <c r="N197" t="e">
        <f>MROUND(AVERAGE(J157:J201)*0.07,0.5)</f>
        <v>#DIV/0!</v>
      </c>
    </row>
    <row r="198" spans="9:14">
      <c r="I198" s="63"/>
      <c r="J198" s="64"/>
      <c r="K198" s="66"/>
    </row>
    <row r="199" spans="9:14">
      <c r="I199" s="63"/>
      <c r="J199" s="64"/>
      <c r="K199" s="66"/>
    </row>
    <row r="200" spans="9:14">
      <c r="I200" s="63"/>
      <c r="J200" s="64"/>
      <c r="K200" s="66"/>
    </row>
    <row r="201" spans="9:14">
      <c r="I201" s="63"/>
      <c r="J201" s="64"/>
      <c r="K201" s="66"/>
    </row>
    <row r="202" spans="9:14">
      <c r="I202" s="63"/>
      <c r="J202" s="64"/>
      <c r="K202" s="66"/>
    </row>
    <row r="203" spans="9:14">
      <c r="I203" s="63"/>
      <c r="J203" s="64"/>
      <c r="K203" s="66"/>
    </row>
    <row r="204" spans="9:14">
      <c r="I204" s="63"/>
      <c r="J204" s="64"/>
      <c r="K204" s="66"/>
    </row>
    <row r="205" spans="9:14">
      <c r="I205" s="63"/>
      <c r="J205" s="64"/>
      <c r="K205" s="66"/>
    </row>
    <row r="206" spans="9:14">
      <c r="I206" s="63"/>
      <c r="J206" s="64"/>
      <c r="K206" s="66"/>
    </row>
  </sheetData>
  <mergeCells count="4">
    <mergeCell ref="A73:B73"/>
    <mergeCell ref="D73:E73"/>
    <mergeCell ref="H98:H99"/>
    <mergeCell ref="L98:L99"/>
  </mergeCells>
  <pageMargins left="0.7" right="0.7" top="0.75" bottom="0.75" header="0.3" footer="0.3"/>
  <pageSetup scale="66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46B4DA5-0F24-41BC-9EF6-D6FFC7747D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Forecasts!Y111:Y124</xm:f>
              <xm:sqref>Y125</xm:sqref>
            </x14:sparkline>
          </x14:sparklines>
        </x14:sparklineGroup>
        <x14:sparklineGroup displayEmptyCellsAs="gap" xr2:uid="{8DC3C77A-AA48-467A-80BC-57C0509C555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Forecasts!Q111:Q124</xm:f>
              <xm:sqref>Q125</xm:sqref>
            </x14:sparkline>
          </x14:sparklines>
        </x14:sparklineGroup>
        <x14:sparklineGroup displayEmptyCellsAs="gap" xr2:uid="{74CEB64C-710C-4428-87C1-A55EE0AF6B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Forecasts!J111:J124</xm:f>
              <xm:sqref>J125</xm:sqref>
            </x14:sparkline>
          </x14:sparklines>
        </x14:sparklineGroup>
        <x14:sparklineGroup displayEmptyCellsAs="gap" xr2:uid="{A9247A17-337B-46B1-BEC2-E7625021B1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Forecasts!F111:F124</xm:f>
              <xm:sqref>F125</xm:sqref>
            </x14:sparkline>
          </x14:sparklines>
        </x14:sparklineGroup>
        <x14:sparklineGroup displayEmptyCellsAs="gap" xr2:uid="{D8C4F94B-7835-4577-A59D-1520AF100D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Forecasts!B111:B124</xm:f>
              <xm:sqref>B125</xm:sqref>
            </x14:sparkline>
          </x14:sparklines>
        </x14:sparklineGroup>
        <x14:sparklineGroup displayEmptyCellsAs="gap" xr2:uid="{16F8E0AF-3522-4D51-8CA9-0D618F2128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Forecasts!U100:U124</xm:f>
              <xm:sqref>U125</xm:sqref>
            </x14:sparkline>
            <x14:sparkline>
              <xm:f>Forecasts!V100:V124</xm:f>
              <xm:sqref>V125</xm:sqref>
            </x14:sparkline>
          </x14:sparklines>
        </x14:sparklineGroup>
        <x14:sparklineGroup displayEmptyCellsAs="gap" xr2:uid="{0FA3D1ED-DEEB-4FD9-ACFA-70F3772458F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Forecasts!M100:M124</xm:f>
              <xm:sqref>M125</xm:sqref>
            </x14:sparkline>
            <x14:sparkline>
              <xm:f>Forecasts!N100:N124</xm:f>
              <xm:sqref>N125</xm:sqref>
            </x14:sparkline>
          </x14:sparklines>
        </x14:sparklineGroup>
        <x14:sparklineGroup displayEmptyCellsAs="gap" xr2:uid="{FA3CF637-285C-4E4F-A780-CEC0B026872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Forecasts!H100:H124</xm:f>
              <xm:sqref>H125</xm:sqref>
            </x14:sparkline>
          </x14:sparklines>
        </x14:sparklineGroup>
        <x14:sparklineGroup displayEmptyCellsAs="gap" xr2:uid="{4B07362C-ACC1-437B-B5EA-F5ADC6F7A13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Forecasts!L100:L124</xm:f>
              <xm:sqref>L125</xm:sqref>
            </x14:sparkline>
          </x14:sparklines>
        </x14:sparklineGroup>
        <x14:sparklineGroup displayEmptyCellsAs="gap" xr2:uid="{C207A3DB-FA8F-4BFD-8A25-3EBFFC0AC78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Forecasts!L44:L47</xm:f>
              <xm:sqref>L59</xm:sqref>
            </x14:sparkline>
            <x14:sparkline>
              <xm:f>Forecasts!M44:M47</xm:f>
              <xm:sqref>M59</xm:sqref>
            </x14:sparkline>
            <x14:sparkline>
              <xm:f>Forecasts!N44:N47</xm:f>
              <xm:sqref>N59</xm:sqref>
            </x14:sparkline>
            <x14:sparkline>
              <xm:f>Forecasts!O44:O47</xm:f>
              <xm:sqref>O59</xm:sqref>
            </x14:sparkline>
            <x14:sparkline>
              <xm:f>Forecasts!P44:P47</xm:f>
              <xm:sqref>P59</xm:sqref>
            </x14:sparkline>
            <x14:sparkline>
              <xm:f>Forecasts!Q44:Q47</xm:f>
              <xm:sqref>Q59</xm:sqref>
            </x14:sparkline>
            <x14:sparkline>
              <xm:f>Forecasts!R44:R47</xm:f>
              <xm:sqref>R59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2E32-6190-45BE-8636-07A5F10088DD}">
  <dimension ref="A1:F64"/>
  <sheetViews>
    <sheetView workbookViewId="0">
      <selection activeCell="L965" sqref="L965"/>
    </sheetView>
  </sheetViews>
  <sheetFormatPr defaultColWidth="8.85546875" defaultRowHeight="15"/>
  <cols>
    <col min="1" max="1" width="10" style="98" bestFit="1" customWidth="1"/>
    <col min="4" max="4" width="10.7109375" bestFit="1" customWidth="1"/>
  </cols>
  <sheetData>
    <row r="1" spans="1:6"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 spans="1:6">
      <c r="A2" s="98">
        <v>44501</v>
      </c>
      <c r="B2">
        <v>1248.5</v>
      </c>
      <c r="C2">
        <v>61.97</v>
      </c>
      <c r="E2">
        <v>329.1</v>
      </c>
    </row>
    <row r="3" spans="1:6">
      <c r="A3" s="98">
        <v>44502</v>
      </c>
      <c r="B3">
        <v>1256.25</v>
      </c>
      <c r="C3">
        <v>61.99</v>
      </c>
      <c r="E3">
        <v>337.2</v>
      </c>
    </row>
    <row r="4" spans="1:6">
      <c r="A4" s="98">
        <v>44503</v>
      </c>
      <c r="B4">
        <v>1244.25</v>
      </c>
      <c r="C4">
        <v>61.03</v>
      </c>
      <c r="E4">
        <v>340.8</v>
      </c>
    </row>
    <row r="5" spans="1:6">
      <c r="A5" s="98">
        <v>44504</v>
      </c>
      <c r="B5">
        <v>1222.75</v>
      </c>
      <c r="C5">
        <v>59.58</v>
      </c>
      <c r="E5">
        <v>335.8</v>
      </c>
    </row>
    <row r="6" spans="1:6">
      <c r="A6" s="98">
        <v>44505</v>
      </c>
      <c r="B6">
        <v>1205.5</v>
      </c>
      <c r="C6">
        <v>58.78</v>
      </c>
      <c r="E6">
        <v>332.7</v>
      </c>
    </row>
    <row r="7" spans="1:6">
      <c r="A7" s="98">
        <v>44508</v>
      </c>
      <c r="B7">
        <v>1188.5</v>
      </c>
      <c r="C7">
        <v>58.05</v>
      </c>
      <c r="E7">
        <v>331.8</v>
      </c>
    </row>
    <row r="8" spans="1:6">
      <c r="A8" s="98">
        <v>44509</v>
      </c>
      <c r="B8">
        <v>1212</v>
      </c>
      <c r="C8">
        <v>58.47</v>
      </c>
      <c r="E8">
        <v>342.5</v>
      </c>
    </row>
    <row r="9" spans="1:6">
      <c r="A9" s="98">
        <v>44510</v>
      </c>
      <c r="B9">
        <v>1216.75</v>
      </c>
      <c r="C9">
        <v>59.14</v>
      </c>
      <c r="E9">
        <v>342.4</v>
      </c>
    </row>
    <row r="10" spans="1:6">
      <c r="A10" s="98">
        <v>44511</v>
      </c>
      <c r="B10">
        <v>1221.5</v>
      </c>
      <c r="C10">
        <v>59.14</v>
      </c>
      <c r="E10">
        <v>344.5</v>
      </c>
    </row>
    <row r="11" spans="1:6">
      <c r="A11" s="98">
        <v>44512</v>
      </c>
      <c r="B11">
        <v>1244.25</v>
      </c>
      <c r="C11">
        <v>58.97</v>
      </c>
      <c r="E11">
        <v>362.1</v>
      </c>
    </row>
    <row r="12" spans="1:6">
      <c r="A12" s="98">
        <v>44515</v>
      </c>
      <c r="B12">
        <v>1257.25</v>
      </c>
      <c r="C12">
        <v>58.2</v>
      </c>
      <c r="E12">
        <v>371.7</v>
      </c>
    </row>
    <row r="13" spans="1:6">
      <c r="A13" s="98">
        <v>44516</v>
      </c>
      <c r="B13">
        <v>1251.25</v>
      </c>
      <c r="C13">
        <v>59.17</v>
      </c>
      <c r="E13">
        <v>367.5</v>
      </c>
    </row>
    <row r="14" spans="1:6">
      <c r="A14" s="98">
        <v>44517</v>
      </c>
      <c r="B14">
        <v>1277</v>
      </c>
      <c r="C14">
        <v>59.23</v>
      </c>
      <c r="E14">
        <v>374.7</v>
      </c>
    </row>
    <row r="15" spans="1:6">
      <c r="A15" s="98">
        <v>44518</v>
      </c>
      <c r="B15">
        <v>1265.25</v>
      </c>
      <c r="C15">
        <v>59.17</v>
      </c>
      <c r="E15">
        <v>370.4</v>
      </c>
    </row>
    <row r="16" spans="1:6">
      <c r="A16" s="98">
        <v>44519</v>
      </c>
      <c r="B16">
        <v>1263.25</v>
      </c>
      <c r="C16">
        <v>58.16</v>
      </c>
      <c r="E16">
        <v>371.8</v>
      </c>
    </row>
    <row r="17" spans="1:6">
      <c r="A17" s="98">
        <v>44522</v>
      </c>
      <c r="B17">
        <v>1274.25</v>
      </c>
      <c r="C17">
        <v>59.41</v>
      </c>
      <c r="E17">
        <v>370</v>
      </c>
    </row>
    <row r="18" spans="1:6">
      <c r="A18" s="98">
        <v>44523</v>
      </c>
      <c r="B18">
        <v>1273</v>
      </c>
      <c r="C18">
        <v>60.14</v>
      </c>
      <c r="E18">
        <v>362.2</v>
      </c>
    </row>
    <row r="19" spans="1:6">
      <c r="A19" s="98">
        <v>44524</v>
      </c>
      <c r="B19">
        <v>1266.5</v>
      </c>
      <c r="C19">
        <v>60.94</v>
      </c>
      <c r="E19">
        <v>357.6</v>
      </c>
    </row>
    <row r="20" spans="1:6">
      <c r="A20" s="98">
        <v>44526</v>
      </c>
      <c r="B20">
        <v>1252.75</v>
      </c>
      <c r="C20">
        <v>59.02</v>
      </c>
      <c r="E20">
        <v>356.2</v>
      </c>
    </row>
    <row r="21" spans="1:6">
      <c r="A21" s="98">
        <v>44529</v>
      </c>
      <c r="B21">
        <v>1241.5</v>
      </c>
      <c r="C21">
        <v>58.26</v>
      </c>
      <c r="E21">
        <v>347.7</v>
      </c>
    </row>
    <row r="22" spans="1:6">
      <c r="A22" s="98">
        <v>44530</v>
      </c>
      <c r="B22">
        <v>1217.25</v>
      </c>
      <c r="C22">
        <v>55.11</v>
      </c>
      <c r="E22">
        <v>348.8</v>
      </c>
    </row>
    <row r="23" spans="1:6">
      <c r="A23" s="98">
        <v>44531</v>
      </c>
      <c r="B23">
        <v>1228.25</v>
      </c>
      <c r="D23">
        <v>55.18</v>
      </c>
      <c r="F23">
        <v>349.1</v>
      </c>
    </row>
    <row r="24" spans="1:6">
      <c r="A24" s="98">
        <v>44532</v>
      </c>
      <c r="B24">
        <v>1244.25</v>
      </c>
      <c r="D24">
        <v>56.34</v>
      </c>
      <c r="F24">
        <v>348.8</v>
      </c>
    </row>
    <row r="25" spans="1:6">
      <c r="A25" s="98">
        <v>44533</v>
      </c>
      <c r="B25">
        <v>1267.25</v>
      </c>
      <c r="D25">
        <v>57.22</v>
      </c>
      <c r="F25">
        <v>358.6</v>
      </c>
    </row>
    <row r="26" spans="1:6">
      <c r="A26" s="98">
        <v>44536</v>
      </c>
      <c r="B26">
        <v>1261.5</v>
      </c>
      <c r="D26">
        <v>57.86</v>
      </c>
      <c r="F26">
        <v>352.6</v>
      </c>
    </row>
    <row r="27" spans="1:6">
      <c r="A27" s="98">
        <v>44537</v>
      </c>
      <c r="B27">
        <v>1250.25</v>
      </c>
      <c r="D27">
        <v>57.1</v>
      </c>
      <c r="F27">
        <v>349.7</v>
      </c>
    </row>
    <row r="28" spans="1:6">
      <c r="A28" s="98">
        <v>44538</v>
      </c>
      <c r="B28">
        <v>1261</v>
      </c>
      <c r="D28">
        <v>55.55</v>
      </c>
      <c r="F28">
        <v>357.2</v>
      </c>
    </row>
    <row r="29" spans="1:6">
      <c r="A29" s="98">
        <v>44539</v>
      </c>
      <c r="B29">
        <v>1264.5</v>
      </c>
      <c r="D29">
        <v>54.85</v>
      </c>
      <c r="F29">
        <v>359.7</v>
      </c>
    </row>
    <row r="30" spans="1:6">
      <c r="A30" s="98">
        <v>44540</v>
      </c>
      <c r="B30">
        <v>1267.75</v>
      </c>
      <c r="D30">
        <v>53.69</v>
      </c>
      <c r="F30">
        <v>366.8</v>
      </c>
    </row>
    <row r="31" spans="1:6">
      <c r="A31" s="98">
        <v>44543</v>
      </c>
      <c r="B31">
        <v>1244</v>
      </c>
      <c r="D31">
        <v>53.35</v>
      </c>
      <c r="F31">
        <v>362.1</v>
      </c>
    </row>
    <row r="32" spans="1:6">
      <c r="A32" s="98">
        <v>44544</v>
      </c>
      <c r="B32">
        <v>1259.5</v>
      </c>
      <c r="D32">
        <v>52.24</v>
      </c>
      <c r="F32">
        <v>376.9</v>
      </c>
    </row>
    <row r="33" spans="1:6">
      <c r="A33" s="98">
        <v>44545</v>
      </c>
      <c r="B33">
        <v>1262.5</v>
      </c>
      <c r="D33">
        <v>53.47</v>
      </c>
      <c r="F33">
        <v>372.2</v>
      </c>
    </row>
    <row r="34" spans="1:6">
      <c r="A34" s="98">
        <v>44546</v>
      </c>
      <c r="B34">
        <v>1277.25</v>
      </c>
      <c r="D34">
        <v>54.65</v>
      </c>
      <c r="F34">
        <v>372.3</v>
      </c>
    </row>
    <row r="35" spans="1:6">
      <c r="A35" s="98">
        <v>44547</v>
      </c>
      <c r="B35">
        <v>1285.25</v>
      </c>
      <c r="D35">
        <v>53.88</v>
      </c>
      <c r="F35">
        <v>379.5</v>
      </c>
    </row>
    <row r="36" spans="1:6">
      <c r="A36" s="98">
        <v>44550</v>
      </c>
      <c r="B36">
        <v>1292.25</v>
      </c>
      <c r="D36">
        <v>52.94</v>
      </c>
      <c r="F36">
        <v>386.2</v>
      </c>
    </row>
    <row r="37" spans="1:6">
      <c r="A37" s="98">
        <v>44551</v>
      </c>
      <c r="B37">
        <v>1308</v>
      </c>
      <c r="D37">
        <v>53.9</v>
      </c>
      <c r="F37">
        <v>394</v>
      </c>
    </row>
    <row r="38" spans="1:6">
      <c r="A38" s="98">
        <v>44552</v>
      </c>
      <c r="B38">
        <v>1328.75</v>
      </c>
      <c r="D38">
        <v>54.83</v>
      </c>
      <c r="F38">
        <v>402.8</v>
      </c>
    </row>
    <row r="39" spans="1:6">
      <c r="A39" s="98">
        <v>44553</v>
      </c>
      <c r="B39">
        <v>1332</v>
      </c>
      <c r="D39">
        <v>55.44</v>
      </c>
      <c r="F39">
        <v>406.1</v>
      </c>
    </row>
    <row r="40" spans="1:6">
      <c r="A40" s="98">
        <v>44557</v>
      </c>
      <c r="B40">
        <v>1362.5</v>
      </c>
      <c r="D40">
        <v>56.72</v>
      </c>
      <c r="F40">
        <v>414.8</v>
      </c>
    </row>
    <row r="41" spans="1:6">
      <c r="A41" s="98">
        <v>44558</v>
      </c>
      <c r="B41">
        <v>1359.25</v>
      </c>
      <c r="D41">
        <v>56.55</v>
      </c>
      <c r="F41">
        <v>415.9</v>
      </c>
    </row>
    <row r="42" spans="1:6">
      <c r="A42" s="98">
        <v>44559</v>
      </c>
      <c r="B42">
        <v>1356.5</v>
      </c>
      <c r="D42">
        <v>56.7</v>
      </c>
      <c r="F42">
        <v>415.4</v>
      </c>
    </row>
    <row r="43" spans="1:6">
      <c r="A43" s="98">
        <v>44560</v>
      </c>
      <c r="B43">
        <v>1327.75</v>
      </c>
      <c r="D43">
        <v>55.85</v>
      </c>
      <c r="F43">
        <v>413.6</v>
      </c>
    </row>
    <row r="44" spans="1:6">
      <c r="A44" s="98">
        <v>44561</v>
      </c>
      <c r="B44">
        <v>1328.75</v>
      </c>
      <c r="D44">
        <v>56.3</v>
      </c>
      <c r="F44">
        <v>411.7</v>
      </c>
    </row>
    <row r="45" spans="1:6">
      <c r="D45" s="35"/>
    </row>
    <row r="46" spans="1:6">
      <c r="D46" s="35"/>
    </row>
    <row r="47" spans="1:6">
      <c r="D47" s="35"/>
    </row>
    <row r="48" spans="1:6">
      <c r="D48" s="35"/>
    </row>
    <row r="49" spans="4:4">
      <c r="D49" s="35"/>
    </row>
    <row r="50" spans="4:4">
      <c r="D50" s="35"/>
    </row>
    <row r="51" spans="4:4">
      <c r="D51" s="35"/>
    </row>
    <row r="52" spans="4:4">
      <c r="D52" s="35"/>
    </row>
    <row r="53" spans="4:4">
      <c r="D53" s="35"/>
    </row>
    <row r="54" spans="4:4">
      <c r="D54" s="35"/>
    </row>
    <row r="55" spans="4:4">
      <c r="D55" s="35"/>
    </row>
    <row r="56" spans="4:4">
      <c r="D56" s="35"/>
    </row>
    <row r="57" spans="4:4">
      <c r="D57" s="35"/>
    </row>
    <row r="58" spans="4:4">
      <c r="D58" s="35"/>
    </row>
    <row r="59" spans="4:4">
      <c r="D59" s="35"/>
    </row>
    <row r="60" spans="4:4">
      <c r="D60" s="35"/>
    </row>
    <row r="61" spans="4:4">
      <c r="D61" s="35"/>
    </row>
    <row r="62" spans="4:4">
      <c r="D62" s="35"/>
    </row>
    <row r="63" spans="4:4">
      <c r="D63" s="35"/>
    </row>
    <row r="64" spans="4:4">
      <c r="D64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845D-0106-4BB7-B7C9-39747C7BEE42}">
  <dimension ref="A1:AS1017"/>
  <sheetViews>
    <sheetView tabSelected="1" zoomScale="115" zoomScaleNormal="115" workbookViewId="0">
      <pane xSplit="1" ySplit="2" topLeftCell="B368" activePane="bottomRight" state="frozen"/>
      <selection activeCell="L965" sqref="L965"/>
      <selection pane="topRight" activeCell="L965" sqref="L965"/>
      <selection pane="bottomLeft" activeCell="L965" sqref="L965"/>
      <selection pane="bottomRight" activeCell="B643" sqref="B643"/>
    </sheetView>
  </sheetViews>
  <sheetFormatPr defaultColWidth="8.85546875" defaultRowHeight="11.25"/>
  <cols>
    <col min="1" max="1" width="9.28515625" style="108" bestFit="1" customWidth="1"/>
    <col min="2" max="25" width="10" style="108" customWidth="1"/>
    <col min="26" max="26" width="8.85546875" style="108"/>
    <col min="27" max="27" width="9.5703125" style="108" bestFit="1" customWidth="1"/>
    <col min="28" max="28" width="9" style="108" bestFit="1" customWidth="1"/>
    <col min="29" max="31" width="8.85546875" style="108"/>
    <col min="32" max="32" width="10.140625" style="108" customWidth="1"/>
    <col min="33" max="33" width="10.28515625" style="108" bestFit="1" customWidth="1"/>
    <col min="34" max="35" width="8.85546875" style="108"/>
    <col min="36" max="36" width="9.85546875" style="108" bestFit="1" customWidth="1"/>
    <col min="37" max="39" width="9.85546875" style="108" customWidth="1"/>
    <col min="40" max="41" width="10.85546875" style="108" customWidth="1"/>
    <col min="42" max="16384" width="8.85546875" style="108"/>
  </cols>
  <sheetData>
    <row r="1" spans="1:45" ht="56.25">
      <c r="A1" s="99"/>
      <c r="B1" s="100" t="s">
        <v>0</v>
      </c>
      <c r="C1" s="101"/>
      <c r="D1" s="101"/>
      <c r="E1" s="102"/>
      <c r="F1" s="103"/>
      <c r="G1" s="104" t="s">
        <v>107</v>
      </c>
      <c r="H1" s="104"/>
      <c r="I1" s="104"/>
      <c r="J1" s="105" t="s">
        <v>108</v>
      </c>
      <c r="K1" s="262" t="s">
        <v>109</v>
      </c>
      <c r="L1" s="263"/>
      <c r="M1" s="264" t="s">
        <v>110</v>
      </c>
      <c r="N1" s="264"/>
      <c r="O1" s="106" t="s">
        <v>111</v>
      </c>
      <c r="P1" s="265" t="s">
        <v>112</v>
      </c>
      <c r="Q1" s="265"/>
      <c r="R1" s="104" t="s">
        <v>107</v>
      </c>
      <c r="S1" s="104"/>
      <c r="T1" s="104"/>
      <c r="U1" s="107" t="s">
        <v>113</v>
      </c>
      <c r="V1" s="107"/>
      <c r="W1" s="107"/>
      <c r="X1" s="107"/>
      <c r="Z1" s="109" t="s">
        <v>114</v>
      </c>
      <c r="AA1" s="109" t="s">
        <v>115</v>
      </c>
      <c r="AB1" s="109" t="s">
        <v>116</v>
      </c>
      <c r="AC1" s="109" t="s">
        <v>117</v>
      </c>
      <c r="AD1" s="109" t="s">
        <v>118</v>
      </c>
      <c r="AE1" s="109" t="s">
        <v>119</v>
      </c>
      <c r="AF1" s="110" t="s">
        <v>120</v>
      </c>
      <c r="AG1" s="109" t="s">
        <v>121</v>
      </c>
      <c r="AH1" s="109" t="s">
        <v>122</v>
      </c>
      <c r="AI1" s="109" t="s">
        <v>123</v>
      </c>
      <c r="AJ1" s="109" t="s">
        <v>124</v>
      </c>
      <c r="AK1" s="109" t="s">
        <v>125</v>
      </c>
      <c r="AL1" s="109"/>
      <c r="AM1" s="109"/>
      <c r="AP1" s="266" t="s">
        <v>126</v>
      </c>
      <c r="AQ1" s="266"/>
      <c r="AR1" s="266"/>
      <c r="AS1" s="266"/>
    </row>
    <row r="2" spans="1:45" ht="45">
      <c r="A2" s="99" t="s">
        <v>67</v>
      </c>
      <c r="B2" s="101" t="s">
        <v>1</v>
      </c>
      <c r="C2" s="101" t="s">
        <v>2</v>
      </c>
      <c r="D2" s="101" t="s">
        <v>3</v>
      </c>
      <c r="E2" s="101" t="s">
        <v>4</v>
      </c>
      <c r="F2" s="111" t="s">
        <v>5</v>
      </c>
      <c r="G2" s="112" t="s">
        <v>1</v>
      </c>
      <c r="H2" s="112" t="s">
        <v>2</v>
      </c>
      <c r="I2" s="112" t="s">
        <v>3</v>
      </c>
      <c r="J2" s="112" t="s">
        <v>14</v>
      </c>
      <c r="K2" s="113" t="s">
        <v>127</v>
      </c>
      <c r="L2" s="114" t="s">
        <v>128</v>
      </c>
      <c r="M2" s="114" t="s">
        <v>129</v>
      </c>
      <c r="N2" s="115" t="s">
        <v>130</v>
      </c>
      <c r="O2" s="116" t="s">
        <v>14</v>
      </c>
      <c r="P2" s="114" t="s">
        <v>127</v>
      </c>
      <c r="Q2" s="114" t="s">
        <v>131</v>
      </c>
      <c r="R2" s="112" t="s">
        <v>14</v>
      </c>
      <c r="S2" s="113" t="s">
        <v>127</v>
      </c>
      <c r="T2" s="112" t="s">
        <v>3</v>
      </c>
      <c r="U2" s="112" t="s">
        <v>132</v>
      </c>
      <c r="V2" s="107" t="s">
        <v>133</v>
      </c>
      <c r="W2" s="117" t="s">
        <v>134</v>
      </c>
      <c r="X2" s="107" t="s">
        <v>135</v>
      </c>
      <c r="Y2" s="104"/>
      <c r="Z2" s="109"/>
      <c r="AA2" s="109"/>
      <c r="AB2" s="109"/>
      <c r="AC2" s="109"/>
      <c r="AD2" s="109"/>
      <c r="AE2" s="109"/>
      <c r="AF2" s="110"/>
      <c r="AQ2" s="118" t="s">
        <v>14</v>
      </c>
      <c r="AR2" s="118" t="s">
        <v>28</v>
      </c>
      <c r="AS2" s="118" t="s">
        <v>30</v>
      </c>
    </row>
    <row r="3" spans="1:45">
      <c r="A3" s="99">
        <v>25569</v>
      </c>
      <c r="B3" s="119">
        <v>2.5391249999999999</v>
      </c>
      <c r="C3" s="120">
        <v>76.564999999999998</v>
      </c>
      <c r="D3" s="119">
        <v>9.2504999999999988</v>
      </c>
      <c r="E3" s="120">
        <f t="shared" ref="E3:E66" si="0">(C3/2000*48)+(D3/100*11)-B3</f>
        <v>0.31598999999999977</v>
      </c>
      <c r="F3" s="121">
        <f t="shared" ref="F3:F66" si="1">D3/100*11/(B3+E3)</f>
        <v>0.35639720291476878</v>
      </c>
      <c r="J3" s="122">
        <v>2.4700000000000002</v>
      </c>
      <c r="K3" s="122">
        <v>97.25</v>
      </c>
      <c r="L3" s="122">
        <v>9.6</v>
      </c>
      <c r="M3" s="122">
        <f t="shared" ref="M3:M66" si="2">(K3/2000*44)+(L3/100*11)-J3</f>
        <v>0.72549999999999981</v>
      </c>
      <c r="N3" s="123">
        <f t="shared" ref="N3:N66" si="3">L3/100*11/(J3+M3)</f>
        <v>0.33046471600688471</v>
      </c>
      <c r="O3" s="124">
        <f t="shared" ref="O3:O66" si="4">J3-B3</f>
        <v>-6.9124999999999659E-2</v>
      </c>
      <c r="P3" s="125">
        <f t="shared" ref="P3:P66" si="5">K3-(C3+14)</f>
        <v>6.6850000000000023</v>
      </c>
      <c r="Q3" s="124">
        <f t="shared" ref="Q3:Q66" si="6">L3-D3</f>
        <v>0.34950000000000081</v>
      </c>
      <c r="U3" s="126"/>
      <c r="V3" s="126"/>
      <c r="W3" s="126"/>
      <c r="X3" s="126"/>
      <c r="Y3" s="126"/>
      <c r="Z3" s="126"/>
    </row>
    <row r="4" spans="1:45">
      <c r="A4" s="99">
        <v>25600</v>
      </c>
      <c r="B4" s="119">
        <v>2.5550000000000002</v>
      </c>
      <c r="C4" s="120">
        <v>80.463157894736824</v>
      </c>
      <c r="D4" s="119">
        <v>10.867894736842105</v>
      </c>
      <c r="E4" s="120">
        <f t="shared" si="0"/>
        <v>0.57158421052631514</v>
      </c>
      <c r="F4" s="121">
        <f t="shared" si="1"/>
        <v>0.38235606033825387</v>
      </c>
      <c r="G4" s="127">
        <f t="shared" ref="G4:G67" si="7">F4-F3</f>
        <v>2.5958857423485082E-2</v>
      </c>
      <c r="J4" s="122">
        <v>2.46</v>
      </c>
      <c r="K4" s="122">
        <v>95.6</v>
      </c>
      <c r="L4" s="122">
        <v>11.5</v>
      </c>
      <c r="M4" s="122">
        <f t="shared" si="2"/>
        <v>0.9081999999999999</v>
      </c>
      <c r="N4" s="123">
        <f t="shared" si="3"/>
        <v>0.37557152188112353</v>
      </c>
      <c r="O4" s="124">
        <f t="shared" si="4"/>
        <v>-9.5000000000000195E-2</v>
      </c>
      <c r="P4" s="125">
        <f t="shared" si="5"/>
        <v>1.1368421052631703</v>
      </c>
      <c r="Q4" s="124">
        <f t="shared" si="6"/>
        <v>0.63210526315789473</v>
      </c>
      <c r="U4" s="126"/>
      <c r="V4" s="126"/>
      <c r="W4" s="126"/>
      <c r="X4" s="126"/>
      <c r="Y4" s="126"/>
      <c r="Z4" s="126"/>
    </row>
    <row r="5" spans="1:45">
      <c r="A5" s="99">
        <v>25628</v>
      </c>
      <c r="B5" s="119" t="s">
        <v>136</v>
      </c>
      <c r="C5" s="120">
        <v>72.109523809523807</v>
      </c>
      <c r="D5" s="119" t="s">
        <v>136</v>
      </c>
      <c r="E5" s="120" t="e">
        <f t="shared" si="0"/>
        <v>#VALUE!</v>
      </c>
      <c r="F5" s="121" t="s">
        <v>136</v>
      </c>
      <c r="G5" s="127" t="e">
        <f t="shared" si="7"/>
        <v>#VALUE!</v>
      </c>
      <c r="J5" s="122">
        <v>2.4700000000000002</v>
      </c>
      <c r="K5" s="122">
        <v>80.099999999999994</v>
      </c>
      <c r="L5" s="122">
        <v>12.2</v>
      </c>
      <c r="M5" s="122">
        <f t="shared" si="2"/>
        <v>0.63419999999999943</v>
      </c>
      <c r="N5" s="123" t="s">
        <v>136</v>
      </c>
      <c r="O5" s="124" t="e">
        <f t="shared" si="4"/>
        <v>#VALUE!</v>
      </c>
      <c r="P5" s="125" t="s">
        <v>136</v>
      </c>
      <c r="Q5" s="124" t="e">
        <f t="shared" si="6"/>
        <v>#VALUE!</v>
      </c>
      <c r="R5" s="108" t="s">
        <v>136</v>
      </c>
      <c r="U5" s="126"/>
      <c r="V5" s="126" t="s">
        <v>136</v>
      </c>
      <c r="W5" s="126"/>
      <c r="X5" s="126"/>
      <c r="Y5" s="126"/>
      <c r="Z5" s="126" t="s">
        <v>136</v>
      </c>
      <c r="AB5" s="108" t="s">
        <v>136</v>
      </c>
      <c r="AD5" s="108" t="s">
        <v>136</v>
      </c>
      <c r="AH5" s="108" t="s">
        <v>136</v>
      </c>
      <c r="AJ5" s="108" t="s">
        <v>136</v>
      </c>
      <c r="AL5" s="108" t="s">
        <v>136</v>
      </c>
    </row>
    <row r="6" spans="1:45">
      <c r="A6" s="99">
        <v>25659</v>
      </c>
      <c r="B6" s="119">
        <v>2.6313068181818182</v>
      </c>
      <c r="C6" s="120">
        <v>73.900000000000006</v>
      </c>
      <c r="D6" s="119">
        <v>11.689090909090909</v>
      </c>
      <c r="E6" s="120">
        <f t="shared" si="0"/>
        <v>0.4280931818181819</v>
      </c>
      <c r="F6" s="121">
        <f t="shared" si="1"/>
        <v>0.42027848597764267</v>
      </c>
      <c r="G6" s="127" t="e">
        <f t="shared" si="7"/>
        <v>#VALUE!</v>
      </c>
      <c r="J6" s="122">
        <v>2.58</v>
      </c>
      <c r="K6" s="122">
        <v>83.1</v>
      </c>
      <c r="L6" s="122">
        <v>12.2</v>
      </c>
      <c r="M6" s="122">
        <f t="shared" si="2"/>
        <v>0.59019999999999984</v>
      </c>
      <c r="N6" s="123">
        <f t="shared" si="3"/>
        <v>0.42331714087439282</v>
      </c>
      <c r="O6" s="124">
        <f t="shared" si="4"/>
        <v>-5.1306818181818148E-2</v>
      </c>
      <c r="P6" s="125">
        <f t="shared" si="5"/>
        <v>-4.8000000000000114</v>
      </c>
      <c r="Q6" s="124">
        <f t="shared" si="6"/>
        <v>0.51090909090908987</v>
      </c>
      <c r="U6" s="126"/>
      <c r="V6" s="126"/>
      <c r="W6" s="126"/>
      <c r="X6" s="126"/>
      <c r="Y6" s="126">
        <v>45138</v>
      </c>
      <c r="Z6" s="126">
        <v>0.1</v>
      </c>
      <c r="AA6" s="108">
        <v>45138</v>
      </c>
      <c r="AB6" s="108">
        <v>0.3</v>
      </c>
      <c r="AC6" s="108">
        <v>45138</v>
      </c>
      <c r="AD6" s="108">
        <v>0.18</v>
      </c>
    </row>
    <row r="7" spans="1:45">
      <c r="A7" s="99">
        <v>25689</v>
      </c>
      <c r="B7" s="119">
        <v>2.6906249999999998</v>
      </c>
      <c r="C7" s="120">
        <v>73.44</v>
      </c>
      <c r="D7" s="119">
        <v>10.911000000000001</v>
      </c>
      <c r="E7" s="120">
        <f t="shared" si="0"/>
        <v>0.27214500000000008</v>
      </c>
      <c r="F7" s="121">
        <f t="shared" si="1"/>
        <v>0.40509725695885951</v>
      </c>
      <c r="G7" s="127">
        <f t="shared" si="7"/>
        <v>-1.518122901878316E-2</v>
      </c>
      <c r="J7" s="122">
        <v>2.65</v>
      </c>
      <c r="K7" s="122">
        <v>78.900000000000006</v>
      </c>
      <c r="L7" s="122">
        <v>11.3</v>
      </c>
      <c r="M7" s="122">
        <f t="shared" si="2"/>
        <v>0.32880000000000065</v>
      </c>
      <c r="N7" s="123">
        <f t="shared" si="3"/>
        <v>0.41728212703101913</v>
      </c>
      <c r="O7" s="124">
        <f t="shared" si="4"/>
        <v>-4.0624999999999911E-2</v>
      </c>
      <c r="P7" s="125">
        <f t="shared" si="5"/>
        <v>-8.539999999999992</v>
      </c>
      <c r="Q7" s="124">
        <f t="shared" si="6"/>
        <v>0.38899999999999935</v>
      </c>
      <c r="U7" s="126"/>
      <c r="V7" s="126"/>
      <c r="W7" s="126"/>
      <c r="X7" s="126"/>
      <c r="Y7" s="126">
        <v>45139</v>
      </c>
      <c r="Z7" s="126">
        <v>0.05</v>
      </c>
      <c r="AA7" s="108">
        <v>45139</v>
      </c>
      <c r="AB7" s="108">
        <v>0.3</v>
      </c>
      <c r="AC7" s="108">
        <v>45139</v>
      </c>
      <c r="AD7" s="108">
        <v>0.18</v>
      </c>
    </row>
    <row r="8" spans="1:45">
      <c r="A8" s="99">
        <v>25720</v>
      </c>
      <c r="B8" s="119">
        <v>2.7913068181818179</v>
      </c>
      <c r="C8" s="120">
        <v>76.913636363636357</v>
      </c>
      <c r="D8" s="119">
        <v>10.858181818181819</v>
      </c>
      <c r="E8" s="120">
        <f t="shared" si="0"/>
        <v>0.24902045454545441</v>
      </c>
      <c r="F8" s="121">
        <f t="shared" si="1"/>
        <v>0.39285244411486814</v>
      </c>
      <c r="G8" s="127">
        <f t="shared" si="7"/>
        <v>-1.2244812843991371E-2</v>
      </c>
      <c r="J8" s="122">
        <v>2.73</v>
      </c>
      <c r="K8" s="122">
        <v>82.7</v>
      </c>
      <c r="L8" s="122">
        <v>11.1</v>
      </c>
      <c r="M8" s="122">
        <f t="shared" si="2"/>
        <v>0.31040000000000001</v>
      </c>
      <c r="N8" s="123">
        <f t="shared" si="3"/>
        <v>0.40159189580318383</v>
      </c>
      <c r="O8" s="124">
        <f t="shared" si="4"/>
        <v>-6.1306818181817935E-2</v>
      </c>
      <c r="P8" s="125">
        <f t="shared" si="5"/>
        <v>-8.2136363636363541</v>
      </c>
      <c r="Q8" s="124">
        <f t="shared" si="6"/>
        <v>0.24181818181818038</v>
      </c>
      <c r="U8" s="126"/>
      <c r="V8" s="126"/>
      <c r="W8" s="126"/>
      <c r="X8" s="126"/>
      <c r="Y8" s="126">
        <v>45140</v>
      </c>
      <c r="Z8" s="126">
        <v>0.05</v>
      </c>
      <c r="AA8" s="108">
        <v>45140</v>
      </c>
      <c r="AB8" s="108">
        <v>0.3</v>
      </c>
      <c r="AC8" s="108">
        <v>45140</v>
      </c>
      <c r="AD8" s="108">
        <v>-0.13</v>
      </c>
    </row>
    <row r="9" spans="1:45">
      <c r="A9" s="99">
        <v>25750</v>
      </c>
      <c r="B9" s="119">
        <v>2.9084659090909089</v>
      </c>
      <c r="C9" s="120">
        <v>82.590909090909093</v>
      </c>
      <c r="D9" s="119">
        <v>11.053636363636365</v>
      </c>
      <c r="E9" s="120">
        <f t="shared" si="0"/>
        <v>0.28961590909090917</v>
      </c>
      <c r="F9" s="121">
        <f t="shared" si="1"/>
        <v>0.38019665197035724</v>
      </c>
      <c r="G9" s="127">
        <f t="shared" si="7"/>
        <v>-1.2655792144510902E-2</v>
      </c>
      <c r="J9" s="122">
        <v>2.8</v>
      </c>
      <c r="K9" s="122">
        <v>92.5</v>
      </c>
      <c r="L9" s="122">
        <v>11.5</v>
      </c>
      <c r="M9" s="122">
        <f t="shared" si="2"/>
        <v>0.50000000000000044</v>
      </c>
      <c r="N9" s="123">
        <f t="shared" si="3"/>
        <v>0.38333333333333336</v>
      </c>
      <c r="O9" s="124">
        <f t="shared" si="4"/>
        <v>-0.10846590909090903</v>
      </c>
      <c r="P9" s="125">
        <f t="shared" si="5"/>
        <v>-4.0909090909090935</v>
      </c>
      <c r="Q9" s="124">
        <f t="shared" si="6"/>
        <v>0.44636363636363541</v>
      </c>
      <c r="U9" s="126"/>
      <c r="V9" s="126"/>
      <c r="W9" s="126"/>
      <c r="X9" s="126"/>
      <c r="Y9" s="126">
        <v>45141</v>
      </c>
      <c r="Z9" s="126">
        <v>0.05</v>
      </c>
      <c r="AA9" s="108">
        <v>45141</v>
      </c>
      <c r="AB9" s="108">
        <v>0.28000000000000003</v>
      </c>
      <c r="AC9" s="108">
        <v>45141</v>
      </c>
      <c r="AD9" s="108">
        <v>-0.13</v>
      </c>
    </row>
    <row r="10" spans="1:45">
      <c r="A10" s="99">
        <v>25781</v>
      </c>
      <c r="B10" s="119">
        <v>2.8142261904761905</v>
      </c>
      <c r="C10" s="120">
        <v>82.114285714285714</v>
      </c>
      <c r="D10" s="119">
        <v>10.855714285714287</v>
      </c>
      <c r="E10" s="120">
        <f t="shared" si="0"/>
        <v>0.35064523809523829</v>
      </c>
      <c r="F10" s="121">
        <f t="shared" si="1"/>
        <v>0.3773071350224112</v>
      </c>
      <c r="G10" s="127">
        <f t="shared" si="7"/>
        <v>-2.8895169479460359E-3</v>
      </c>
      <c r="J10" s="122">
        <v>2.75</v>
      </c>
      <c r="K10" s="122">
        <v>92.5</v>
      </c>
      <c r="L10" s="122">
        <v>11.6</v>
      </c>
      <c r="M10" s="122">
        <f t="shared" si="2"/>
        <v>0.56099999999999994</v>
      </c>
      <c r="N10" s="123">
        <f t="shared" si="3"/>
        <v>0.38538205980066442</v>
      </c>
      <c r="O10" s="124">
        <f t="shared" si="4"/>
        <v>-6.4226190476190492E-2</v>
      </c>
      <c r="P10" s="125">
        <f t="shared" si="5"/>
        <v>-3.6142857142857139</v>
      </c>
      <c r="Q10" s="124">
        <f t="shared" si="6"/>
        <v>0.74428571428571288</v>
      </c>
      <c r="U10" s="126"/>
      <c r="V10" s="126"/>
      <c r="W10" s="126"/>
      <c r="X10" s="126"/>
      <c r="Y10" s="126">
        <v>45142</v>
      </c>
      <c r="Z10" s="126">
        <v>0.05</v>
      </c>
      <c r="AA10" s="108">
        <v>45142</v>
      </c>
      <c r="AB10" s="108">
        <v>0.28000000000000003</v>
      </c>
      <c r="AC10" s="108">
        <v>45142</v>
      </c>
      <c r="AD10" s="108">
        <v>-0.13</v>
      </c>
    </row>
    <row r="11" spans="1:45">
      <c r="A11" s="99">
        <v>25812</v>
      </c>
      <c r="B11" s="119">
        <v>2.8457142857142856</v>
      </c>
      <c r="C11" s="120">
        <v>80.814285714285717</v>
      </c>
      <c r="D11" s="119">
        <v>11.21</v>
      </c>
      <c r="E11" s="120">
        <f t="shared" si="0"/>
        <v>0.32692857142857124</v>
      </c>
      <c r="F11" s="121">
        <f t="shared" si="1"/>
        <v>0.38866650156471627</v>
      </c>
      <c r="G11" s="127">
        <f t="shared" si="7"/>
        <v>1.1359366542305072E-2</v>
      </c>
      <c r="J11" s="122">
        <v>2.75</v>
      </c>
      <c r="K11" s="122">
        <v>88.2</v>
      </c>
      <c r="L11" s="122">
        <v>12.1</v>
      </c>
      <c r="M11" s="122">
        <f t="shared" si="2"/>
        <v>0.52139999999999986</v>
      </c>
      <c r="N11" s="123">
        <f t="shared" si="3"/>
        <v>0.40685944855413586</v>
      </c>
      <c r="O11" s="124">
        <f t="shared" si="4"/>
        <v>-9.5714285714285641E-2</v>
      </c>
      <c r="P11" s="125">
        <f t="shared" si="5"/>
        <v>-6.6142857142857139</v>
      </c>
      <c r="Q11" s="124">
        <f t="shared" si="6"/>
        <v>0.88999999999999879</v>
      </c>
      <c r="U11" s="126"/>
      <c r="V11" s="126"/>
      <c r="W11" s="126"/>
      <c r="X11" s="126"/>
      <c r="Y11" s="126">
        <v>45145</v>
      </c>
      <c r="Z11" s="126">
        <v>0.05</v>
      </c>
      <c r="AA11" s="108">
        <v>45145</v>
      </c>
      <c r="AB11" s="108">
        <v>0.28000000000000003</v>
      </c>
      <c r="AC11" s="108">
        <v>45145</v>
      </c>
      <c r="AD11" s="108">
        <v>-0.13</v>
      </c>
    </row>
    <row r="12" spans="1:45">
      <c r="A12" s="99">
        <v>25842</v>
      </c>
      <c r="B12" s="119">
        <v>2.9805681818181822</v>
      </c>
      <c r="C12" s="120">
        <v>78.890909090909105</v>
      </c>
      <c r="D12" s="119">
        <v>12.519090909090909</v>
      </c>
      <c r="E12" s="120">
        <f t="shared" si="0"/>
        <v>0.28991363636363632</v>
      </c>
      <c r="F12" s="121">
        <f t="shared" si="1"/>
        <v>0.42106945598785839</v>
      </c>
      <c r="G12" s="127">
        <f t="shared" si="7"/>
        <v>3.2402954423142116E-2</v>
      </c>
      <c r="J12" s="122">
        <v>2.9</v>
      </c>
      <c r="K12" s="122">
        <v>83.75</v>
      </c>
      <c r="L12" s="122">
        <v>14</v>
      </c>
      <c r="M12" s="122">
        <f t="shared" si="2"/>
        <v>0.48250000000000037</v>
      </c>
      <c r="N12" s="123">
        <f t="shared" si="3"/>
        <v>0.45528455284552843</v>
      </c>
      <c r="O12" s="124">
        <f t="shared" si="4"/>
        <v>-8.0568181818182261E-2</v>
      </c>
      <c r="P12" s="125">
        <f t="shared" si="5"/>
        <v>-9.1409090909091049</v>
      </c>
      <c r="Q12" s="124">
        <f t="shared" si="6"/>
        <v>1.4809090909090905</v>
      </c>
      <c r="U12" s="126"/>
      <c r="V12" s="126"/>
      <c r="W12" s="126"/>
      <c r="X12" s="126"/>
      <c r="Y12" s="126">
        <v>45146</v>
      </c>
      <c r="Z12" s="126">
        <v>0.05</v>
      </c>
      <c r="AA12" s="108">
        <v>45146</v>
      </c>
      <c r="AB12" s="108">
        <v>0.38</v>
      </c>
      <c r="AC12" s="108">
        <v>45146</v>
      </c>
      <c r="AD12" s="108">
        <v>-0.13</v>
      </c>
    </row>
    <row r="13" spans="1:45">
      <c r="A13" s="99">
        <v>25873</v>
      </c>
      <c r="B13" s="119">
        <v>3.0588815789473682</v>
      </c>
      <c r="C13" s="120">
        <v>80.473684210526315</v>
      </c>
      <c r="D13" s="119">
        <v>13.129473684210524</v>
      </c>
      <c r="E13" s="120">
        <f t="shared" si="0"/>
        <v>0.31672894736842094</v>
      </c>
      <c r="F13" s="121">
        <f t="shared" si="1"/>
        <v>0.42784619078653996</v>
      </c>
      <c r="G13" s="127">
        <f t="shared" si="7"/>
        <v>6.7767347986815718E-3</v>
      </c>
      <c r="J13" s="122">
        <v>2.97</v>
      </c>
      <c r="K13" s="122">
        <v>82.5</v>
      </c>
      <c r="L13" s="122">
        <v>13.9</v>
      </c>
      <c r="M13" s="122">
        <f t="shared" si="2"/>
        <v>0.37400000000000011</v>
      </c>
      <c r="N13" s="123">
        <f t="shared" si="3"/>
        <v>0.45723684210526316</v>
      </c>
      <c r="O13" s="124">
        <f t="shared" si="4"/>
        <v>-8.8881578947368034E-2</v>
      </c>
      <c r="P13" s="125">
        <f t="shared" si="5"/>
        <v>-11.973684210526315</v>
      </c>
      <c r="Q13" s="124">
        <f t="shared" si="6"/>
        <v>0.77052631578947661</v>
      </c>
      <c r="U13" s="126"/>
      <c r="V13" s="126"/>
      <c r="W13" s="126"/>
      <c r="X13" s="126"/>
      <c r="Y13" s="126">
        <v>45147</v>
      </c>
      <c r="Z13" s="126">
        <v>0.05</v>
      </c>
      <c r="AA13" s="108">
        <v>45147</v>
      </c>
      <c r="AB13" s="108">
        <v>0.28000000000000003</v>
      </c>
      <c r="AC13" s="108">
        <v>45147</v>
      </c>
      <c r="AD13" s="108">
        <v>-0.13</v>
      </c>
    </row>
    <row r="14" spans="1:45">
      <c r="A14" s="99">
        <v>25903</v>
      </c>
      <c r="B14" s="119">
        <v>2.9548295454545452</v>
      </c>
      <c r="C14" s="120">
        <v>81.404545454545442</v>
      </c>
      <c r="D14" s="119">
        <v>11.907272727272726</v>
      </c>
      <c r="E14" s="120">
        <f t="shared" si="0"/>
        <v>0.30867954545454479</v>
      </c>
      <c r="F14" s="121">
        <f t="shared" si="1"/>
        <v>0.40134712774314324</v>
      </c>
      <c r="G14" s="127">
        <f t="shared" si="7"/>
        <v>-2.649906304339672E-2</v>
      </c>
      <c r="J14" s="122">
        <v>2.88</v>
      </c>
      <c r="K14" s="122">
        <v>88.2</v>
      </c>
      <c r="L14" s="122">
        <v>12.4</v>
      </c>
      <c r="M14" s="122">
        <f t="shared" si="2"/>
        <v>0.42439999999999989</v>
      </c>
      <c r="N14" s="123">
        <f t="shared" si="3"/>
        <v>0.41278295605858856</v>
      </c>
      <c r="O14" s="124">
        <f t="shared" si="4"/>
        <v>-7.4829545454545343E-2</v>
      </c>
      <c r="P14" s="125">
        <f t="shared" si="5"/>
        <v>-7.204545454545439</v>
      </c>
      <c r="Q14" s="124">
        <f t="shared" si="6"/>
        <v>0.49272727272727401</v>
      </c>
      <c r="U14" s="126"/>
      <c r="V14" s="126"/>
      <c r="W14" s="126"/>
      <c r="X14" s="126"/>
      <c r="Y14" s="126">
        <v>45148</v>
      </c>
      <c r="Z14" s="126">
        <v>0.05</v>
      </c>
      <c r="AA14" s="108">
        <v>45148</v>
      </c>
      <c r="AB14" s="108">
        <v>0.28000000000000003</v>
      </c>
      <c r="AC14" s="108">
        <v>45148</v>
      </c>
      <c r="AD14" s="108">
        <v>-0.13</v>
      </c>
    </row>
    <row r="15" spans="1:45">
      <c r="A15" s="99">
        <v>25934</v>
      </c>
      <c r="B15" s="119">
        <v>3.058875</v>
      </c>
      <c r="C15" s="120">
        <v>79.855000000000004</v>
      </c>
      <c r="D15" s="119">
        <v>12.136999999999999</v>
      </c>
      <c r="E15" s="120">
        <f t="shared" si="0"/>
        <v>0.19271500000000019</v>
      </c>
      <c r="F15" s="121">
        <f t="shared" si="1"/>
        <v>0.41058989602010093</v>
      </c>
      <c r="G15" s="127">
        <f t="shared" si="7"/>
        <v>9.2427682769576913E-3</v>
      </c>
      <c r="J15" s="122">
        <v>2.99</v>
      </c>
      <c r="K15" s="122">
        <v>86.1</v>
      </c>
      <c r="L15" s="122">
        <v>12.3</v>
      </c>
      <c r="M15" s="122">
        <f t="shared" si="2"/>
        <v>0.2572000000000001</v>
      </c>
      <c r="N15" s="123">
        <f t="shared" si="3"/>
        <v>0.41666666666666669</v>
      </c>
      <c r="O15" s="124">
        <f t="shared" si="4"/>
        <v>-6.8874999999999797E-2</v>
      </c>
      <c r="P15" s="125">
        <f t="shared" si="5"/>
        <v>-7.7550000000000097</v>
      </c>
      <c r="Q15" s="124">
        <f t="shared" si="6"/>
        <v>0.16300000000000203</v>
      </c>
      <c r="U15" s="126"/>
      <c r="V15" s="126"/>
      <c r="W15" s="126"/>
      <c r="X15" s="126"/>
      <c r="Y15" s="126">
        <v>45149</v>
      </c>
      <c r="Z15" s="126">
        <v>0.05</v>
      </c>
      <c r="AA15" s="108">
        <v>45149</v>
      </c>
      <c r="AB15" s="108">
        <v>0.1</v>
      </c>
      <c r="AC15" s="108">
        <v>45149</v>
      </c>
      <c r="AD15" s="108">
        <v>-0.13</v>
      </c>
    </row>
    <row r="16" spans="1:45">
      <c r="A16" s="99">
        <v>25965</v>
      </c>
      <c r="B16" s="119">
        <v>3.0553289473684218</v>
      </c>
      <c r="C16" s="120">
        <v>78.205263157894748</v>
      </c>
      <c r="D16" s="119">
        <v>11.954736842105264</v>
      </c>
      <c r="E16" s="120">
        <f t="shared" si="0"/>
        <v>0.13661842105263133</v>
      </c>
      <c r="F16" s="121">
        <f t="shared" si="1"/>
        <v>0.4119808069648952</v>
      </c>
      <c r="G16" s="127">
        <f t="shared" si="7"/>
        <v>1.3909109447942658E-3</v>
      </c>
      <c r="J16" s="122">
        <v>3.01</v>
      </c>
      <c r="K16" s="122">
        <v>82.4</v>
      </c>
      <c r="L16" s="122">
        <v>12.1</v>
      </c>
      <c r="M16" s="122">
        <f t="shared" si="2"/>
        <v>0.13379999999999992</v>
      </c>
      <c r="N16" s="123">
        <f t="shared" si="3"/>
        <v>0.42337298810356894</v>
      </c>
      <c r="O16" s="124">
        <f t="shared" si="4"/>
        <v>-4.5328947368421968E-2</v>
      </c>
      <c r="P16" s="125">
        <f t="shared" si="5"/>
        <v>-9.8052631578947427</v>
      </c>
      <c r="Q16" s="124">
        <f t="shared" si="6"/>
        <v>0.14526315789473543</v>
      </c>
      <c r="U16" s="126"/>
      <c r="V16" s="126"/>
      <c r="W16" s="126"/>
      <c r="X16" s="126"/>
      <c r="Y16" s="126">
        <v>45152</v>
      </c>
      <c r="Z16" s="126">
        <v>-0.05</v>
      </c>
      <c r="AA16" s="108">
        <v>45152</v>
      </c>
      <c r="AB16" s="108">
        <v>0.15</v>
      </c>
      <c r="AC16" s="108">
        <v>45152</v>
      </c>
      <c r="AD16" s="108">
        <v>-0.13</v>
      </c>
    </row>
    <row r="17" spans="1:30">
      <c r="A17" s="99">
        <v>25993</v>
      </c>
      <c r="B17" s="119">
        <v>3.0514130434782611</v>
      </c>
      <c r="C17" s="120">
        <v>78.360869565217371</v>
      </c>
      <c r="D17" s="119">
        <v>11.89</v>
      </c>
      <c r="E17" s="120">
        <f t="shared" si="0"/>
        <v>0.13714782608695586</v>
      </c>
      <c r="F17" s="121">
        <f t="shared" si="1"/>
        <v>0.41018505009074563</v>
      </c>
      <c r="G17" s="127">
        <f t="shared" si="7"/>
        <v>-1.7957568741495678E-3</v>
      </c>
      <c r="J17" s="122">
        <v>3</v>
      </c>
      <c r="K17" s="122">
        <v>82</v>
      </c>
      <c r="L17" s="122">
        <v>12.2</v>
      </c>
      <c r="M17" s="122">
        <f t="shared" si="2"/>
        <v>0.14599999999999991</v>
      </c>
      <c r="N17" s="123">
        <f t="shared" si="3"/>
        <v>0.42657342657342662</v>
      </c>
      <c r="O17" s="124">
        <f t="shared" si="4"/>
        <v>-5.1413043478261145E-2</v>
      </c>
      <c r="P17" s="125">
        <f t="shared" si="5"/>
        <v>-10.360869565217371</v>
      </c>
      <c r="Q17" s="124">
        <f t="shared" si="6"/>
        <v>0.30999999999999872</v>
      </c>
      <c r="U17" s="126"/>
      <c r="V17" s="126"/>
      <c r="W17" s="126"/>
      <c r="X17" s="126"/>
      <c r="Y17" s="126">
        <v>45153</v>
      </c>
      <c r="Z17" s="126">
        <v>-0.05</v>
      </c>
      <c r="AA17" s="108">
        <v>45153</v>
      </c>
      <c r="AB17" s="108">
        <v>0.18</v>
      </c>
      <c r="AC17" s="108">
        <v>45153</v>
      </c>
      <c r="AD17" s="108">
        <v>-0.13</v>
      </c>
    </row>
    <row r="18" spans="1:30">
      <c r="A18" s="99">
        <v>26024</v>
      </c>
      <c r="B18" s="119">
        <v>2.9189880952380949</v>
      </c>
      <c r="C18" s="120">
        <v>77.104761904761929</v>
      </c>
      <c r="D18" s="119">
        <v>10.926666666666666</v>
      </c>
      <c r="E18" s="120">
        <f t="shared" si="0"/>
        <v>0.13345952380952442</v>
      </c>
      <c r="F18" s="121">
        <f t="shared" si="1"/>
        <v>0.39376051069087409</v>
      </c>
      <c r="G18" s="127">
        <f t="shared" si="7"/>
        <v>-1.6424539399871541E-2</v>
      </c>
      <c r="J18" s="122">
        <v>2.91</v>
      </c>
      <c r="K18" s="122">
        <v>80.5</v>
      </c>
      <c r="L18" s="122">
        <v>11.2</v>
      </c>
      <c r="M18" s="122">
        <f t="shared" si="2"/>
        <v>9.2999999999999972E-2</v>
      </c>
      <c r="N18" s="123">
        <f t="shared" si="3"/>
        <v>0.41025641025641019</v>
      </c>
      <c r="O18" s="124">
        <f t="shared" si="4"/>
        <v>-8.9880952380947399E-3</v>
      </c>
      <c r="P18" s="125">
        <f t="shared" si="5"/>
        <v>-10.604761904761929</v>
      </c>
      <c r="Q18" s="124">
        <f t="shared" si="6"/>
        <v>0.27333333333333343</v>
      </c>
      <c r="U18" s="126"/>
      <c r="V18" s="126"/>
      <c r="W18" s="126"/>
      <c r="X18" s="126"/>
      <c r="Y18" s="126">
        <v>45154</v>
      </c>
      <c r="Z18" s="126">
        <v>-0.05</v>
      </c>
      <c r="AA18" s="108">
        <v>45154</v>
      </c>
      <c r="AB18" s="108">
        <v>0.2</v>
      </c>
      <c r="AC18" s="108">
        <v>45154</v>
      </c>
      <c r="AD18" s="108">
        <v>-0.33</v>
      </c>
    </row>
    <row r="19" spans="1:30">
      <c r="A19" s="99">
        <v>26054</v>
      </c>
      <c r="B19" s="119">
        <v>3.0216249999999998</v>
      </c>
      <c r="C19" s="120">
        <v>80.525000000000006</v>
      </c>
      <c r="D19" s="119">
        <v>11.186500000000001</v>
      </c>
      <c r="E19" s="120">
        <f t="shared" si="0"/>
        <v>0.14149000000000012</v>
      </c>
      <c r="F19" s="121">
        <f t="shared" si="1"/>
        <v>0.38902000085358895</v>
      </c>
      <c r="G19" s="127">
        <f t="shared" si="7"/>
        <v>-4.740509837285134E-3</v>
      </c>
      <c r="J19" s="122">
        <v>2.99</v>
      </c>
      <c r="K19" s="122">
        <v>84.75</v>
      </c>
      <c r="L19" s="122">
        <v>11.4</v>
      </c>
      <c r="M19" s="122">
        <f t="shared" si="2"/>
        <v>0.12849999999999984</v>
      </c>
      <c r="N19" s="123">
        <f t="shared" si="3"/>
        <v>0.40211640211640209</v>
      </c>
      <c r="O19" s="124">
        <f t="shared" si="4"/>
        <v>-3.162499999999957E-2</v>
      </c>
      <c r="P19" s="125">
        <f t="shared" si="5"/>
        <v>-9.7750000000000057</v>
      </c>
      <c r="Q19" s="124">
        <f t="shared" si="6"/>
        <v>0.2134999999999998</v>
      </c>
      <c r="U19" s="126"/>
      <c r="V19" s="126"/>
      <c r="W19" s="126"/>
      <c r="X19" s="126"/>
      <c r="Y19" s="126">
        <v>45155</v>
      </c>
      <c r="Z19" s="126">
        <v>-0.08</v>
      </c>
      <c r="AA19" s="108">
        <v>45155</v>
      </c>
      <c r="AB19" s="108">
        <v>0.08</v>
      </c>
      <c r="AC19" s="108">
        <v>45155</v>
      </c>
      <c r="AD19" s="108">
        <v>-0.33</v>
      </c>
    </row>
    <row r="20" spans="1:30">
      <c r="A20" s="99">
        <v>26085</v>
      </c>
      <c r="B20" s="119">
        <v>3.1956818181818178</v>
      </c>
      <c r="C20" s="120">
        <v>83.668181818181836</v>
      </c>
      <c r="D20" s="119">
        <v>12.640454545454544</v>
      </c>
      <c r="E20" s="120">
        <f t="shared" si="0"/>
        <v>0.20280454545454596</v>
      </c>
      <c r="F20" s="121">
        <f t="shared" si="1"/>
        <v>0.40913802535085797</v>
      </c>
      <c r="G20" s="127">
        <f t="shared" si="7"/>
        <v>2.0118024497269016E-2</v>
      </c>
      <c r="J20" s="122">
        <v>3.12</v>
      </c>
      <c r="K20" s="122">
        <v>87.6</v>
      </c>
      <c r="L20" s="122">
        <v>12.8</v>
      </c>
      <c r="M20" s="122">
        <f t="shared" si="2"/>
        <v>0.21519999999999984</v>
      </c>
      <c r="N20" s="123">
        <f t="shared" si="3"/>
        <v>0.42216358839050128</v>
      </c>
      <c r="O20" s="124">
        <f t="shared" si="4"/>
        <v>-7.5681818181817739E-2</v>
      </c>
      <c r="P20" s="125">
        <f t="shared" si="5"/>
        <v>-10.068181818181841</v>
      </c>
      <c r="Q20" s="124">
        <f t="shared" si="6"/>
        <v>0.15954545454545688</v>
      </c>
      <c r="U20" s="126"/>
      <c r="V20" s="126"/>
      <c r="W20" s="126"/>
      <c r="X20" s="126"/>
      <c r="Y20" s="126">
        <v>45156</v>
      </c>
      <c r="Z20" s="126">
        <v>-0.08</v>
      </c>
      <c r="AA20" s="108">
        <v>45156</v>
      </c>
      <c r="AB20" s="108">
        <v>0.15</v>
      </c>
      <c r="AC20" s="108">
        <v>45156</v>
      </c>
      <c r="AD20" s="108">
        <v>-0.33</v>
      </c>
    </row>
    <row r="21" spans="1:30">
      <c r="A21" s="99">
        <v>26115</v>
      </c>
      <c r="B21" s="119">
        <v>3.3709523809523811</v>
      </c>
      <c r="C21" s="120">
        <v>87.004761904761921</v>
      </c>
      <c r="D21" s="119">
        <v>14.181904761904761</v>
      </c>
      <c r="E21" s="120">
        <f t="shared" si="0"/>
        <v>0.27717142857142862</v>
      </c>
      <c r="F21" s="121">
        <f t="shared" si="1"/>
        <v>0.42761967665048956</v>
      </c>
      <c r="G21" s="127">
        <f t="shared" si="7"/>
        <v>1.8481651299631585E-2</v>
      </c>
      <c r="J21" s="122">
        <v>3.3</v>
      </c>
      <c r="K21" s="122">
        <v>90</v>
      </c>
      <c r="L21" s="122">
        <v>14.5</v>
      </c>
      <c r="M21" s="122">
        <f t="shared" si="2"/>
        <v>0.27500000000000036</v>
      </c>
      <c r="N21" s="123">
        <f t="shared" si="3"/>
        <v>0.44615384615384612</v>
      </c>
      <c r="O21" s="124">
        <f t="shared" si="4"/>
        <v>-7.0952380952381322E-2</v>
      </c>
      <c r="P21" s="125">
        <f t="shared" si="5"/>
        <v>-11.004761904761921</v>
      </c>
      <c r="Q21" s="124">
        <f t="shared" si="6"/>
        <v>0.3180952380952391</v>
      </c>
      <c r="U21" s="126"/>
      <c r="V21" s="126"/>
      <c r="W21" s="126"/>
      <c r="X21" s="126"/>
      <c r="Y21" s="126">
        <v>45159</v>
      </c>
      <c r="Z21" s="126">
        <v>-0.08</v>
      </c>
      <c r="AA21" s="108">
        <v>45159</v>
      </c>
      <c r="AB21" s="108">
        <v>0.08</v>
      </c>
      <c r="AC21" s="108">
        <v>45159</v>
      </c>
      <c r="AD21" s="108">
        <v>-0.33</v>
      </c>
    </row>
    <row r="22" spans="1:30">
      <c r="A22" s="99">
        <v>26146</v>
      </c>
      <c r="B22" s="119">
        <v>3.2588068181818177</v>
      </c>
      <c r="C22" s="120">
        <v>81.781818181818167</v>
      </c>
      <c r="D22" s="119">
        <v>13.950454545454546</v>
      </c>
      <c r="E22" s="120">
        <f t="shared" si="0"/>
        <v>0.23850681818181796</v>
      </c>
      <c r="F22" s="121">
        <f t="shared" si="1"/>
        <v>0.43877963475862652</v>
      </c>
      <c r="G22" s="127">
        <f t="shared" si="7"/>
        <v>1.1159958108136969E-2</v>
      </c>
      <c r="J22" s="122">
        <v>3.23</v>
      </c>
      <c r="K22" s="122">
        <v>84.2</v>
      </c>
      <c r="L22" s="122">
        <v>14.5</v>
      </c>
      <c r="M22" s="122">
        <f t="shared" si="2"/>
        <v>0.21740000000000004</v>
      </c>
      <c r="N22" s="123">
        <f t="shared" si="3"/>
        <v>0.46266751754945756</v>
      </c>
      <c r="O22" s="124">
        <f t="shared" si="4"/>
        <v>-2.8806818181817739E-2</v>
      </c>
      <c r="P22" s="125">
        <f t="shared" si="5"/>
        <v>-11.581818181818164</v>
      </c>
      <c r="Q22" s="124">
        <f t="shared" si="6"/>
        <v>0.54954545454545389</v>
      </c>
      <c r="U22" s="126"/>
      <c r="V22" s="126"/>
      <c r="W22" s="126"/>
      <c r="X22" s="126"/>
      <c r="Y22" s="126">
        <v>45160</v>
      </c>
      <c r="Z22" s="126">
        <v>-0.08</v>
      </c>
      <c r="AA22" s="108">
        <v>45160</v>
      </c>
      <c r="AB22" s="108">
        <v>0.08</v>
      </c>
      <c r="AC22" s="108">
        <v>45160</v>
      </c>
      <c r="AD22" s="108">
        <v>-0.33</v>
      </c>
    </row>
    <row r="23" spans="1:30">
      <c r="A23" s="99">
        <v>26177</v>
      </c>
      <c r="B23" s="119">
        <v>3.1420833333333329</v>
      </c>
      <c r="C23" s="120">
        <v>79.257142857142867</v>
      </c>
      <c r="D23" s="119">
        <v>12.562380952380952</v>
      </c>
      <c r="E23" s="120">
        <f t="shared" si="0"/>
        <v>0.14195000000000091</v>
      </c>
      <c r="F23" s="121">
        <f t="shared" si="1"/>
        <v>0.42078193626594468</v>
      </c>
      <c r="G23" s="127">
        <f t="shared" si="7"/>
        <v>-1.7997698492681846E-2</v>
      </c>
      <c r="J23" s="122">
        <v>3.01</v>
      </c>
      <c r="K23" s="122">
        <v>80</v>
      </c>
      <c r="L23" s="122">
        <v>12.8</v>
      </c>
      <c r="M23" s="122">
        <f t="shared" si="2"/>
        <v>0.15800000000000036</v>
      </c>
      <c r="N23" s="123">
        <f t="shared" si="3"/>
        <v>0.44444444444444442</v>
      </c>
      <c r="O23" s="124">
        <f t="shared" si="4"/>
        <v>-0.13208333333333311</v>
      </c>
      <c r="P23" s="125">
        <f t="shared" si="5"/>
        <v>-13.257142857142867</v>
      </c>
      <c r="Q23" s="124">
        <f t="shared" si="6"/>
        <v>0.23761904761904873</v>
      </c>
      <c r="U23" s="126"/>
      <c r="V23" s="126"/>
      <c r="W23" s="126"/>
      <c r="X23" s="126"/>
      <c r="Y23" s="126">
        <v>45161</v>
      </c>
      <c r="Z23" s="126">
        <v>-0.2</v>
      </c>
      <c r="AA23" s="108">
        <v>45161</v>
      </c>
      <c r="AB23" s="108">
        <v>0.08</v>
      </c>
      <c r="AC23" s="108">
        <v>45161</v>
      </c>
      <c r="AD23" s="108">
        <v>-0.33</v>
      </c>
    </row>
    <row r="24" spans="1:30">
      <c r="A24" s="99">
        <v>26207</v>
      </c>
      <c r="B24" s="119">
        <v>3.1839880952380959</v>
      </c>
      <c r="C24" s="120">
        <v>82.071428571428555</v>
      </c>
      <c r="D24" s="119">
        <v>12.819047619047618</v>
      </c>
      <c r="E24" s="120">
        <f t="shared" si="0"/>
        <v>0.1958214285714277</v>
      </c>
      <c r="F24" s="121">
        <f t="shared" si="1"/>
        <v>0.41721145175834085</v>
      </c>
      <c r="G24" s="127">
        <f t="shared" si="7"/>
        <v>-3.5704845076038327E-3</v>
      </c>
      <c r="J24" s="122">
        <v>3.01</v>
      </c>
      <c r="K24" s="122">
        <v>80.75</v>
      </c>
      <c r="L24" s="122">
        <v>13.2</v>
      </c>
      <c r="M24" s="122">
        <f t="shared" si="2"/>
        <v>0.21850000000000014</v>
      </c>
      <c r="N24" s="123">
        <f t="shared" si="3"/>
        <v>0.44974446337308349</v>
      </c>
      <c r="O24" s="124">
        <f t="shared" si="4"/>
        <v>-0.17398809523809611</v>
      </c>
      <c r="P24" s="125">
        <f t="shared" si="5"/>
        <v>-15.321428571428555</v>
      </c>
      <c r="Q24" s="124">
        <f t="shared" si="6"/>
        <v>0.38095238095238138</v>
      </c>
      <c r="U24" s="126"/>
      <c r="V24" s="126"/>
      <c r="W24" s="126"/>
      <c r="X24" s="126"/>
      <c r="Y24" s="126">
        <v>45162</v>
      </c>
      <c r="Z24" s="126">
        <v>-0.2</v>
      </c>
      <c r="AA24" s="108">
        <v>45162</v>
      </c>
      <c r="AB24" s="108">
        <v>0.08</v>
      </c>
      <c r="AC24" s="108">
        <v>45162</v>
      </c>
      <c r="AD24" s="108">
        <v>-0.33</v>
      </c>
    </row>
    <row r="25" spans="1:30">
      <c r="A25" s="99">
        <v>26238</v>
      </c>
      <c r="B25" s="119">
        <v>3.1372023809523815</v>
      </c>
      <c r="C25" s="120">
        <v>81.166666666666657</v>
      </c>
      <c r="D25" s="119">
        <v>12.425714285714283</v>
      </c>
      <c r="E25" s="120">
        <f t="shared" si="0"/>
        <v>0.17762619047618911</v>
      </c>
      <c r="F25" s="121">
        <f t="shared" si="1"/>
        <v>0.41233763435299392</v>
      </c>
      <c r="G25" s="127">
        <f t="shared" si="7"/>
        <v>-4.8738174053469252E-3</v>
      </c>
      <c r="J25" s="122">
        <v>2.98</v>
      </c>
      <c r="K25" s="122">
        <v>79.2</v>
      </c>
      <c r="L25" s="122">
        <v>12.5</v>
      </c>
      <c r="M25" s="122">
        <f t="shared" si="2"/>
        <v>0.13739999999999997</v>
      </c>
      <c r="N25" s="123">
        <f t="shared" si="3"/>
        <v>0.44107268877911082</v>
      </c>
      <c r="O25" s="124">
        <f t="shared" si="4"/>
        <v>-0.15720238095238148</v>
      </c>
      <c r="P25" s="125">
        <f t="shared" si="5"/>
        <v>-15.966666666666654</v>
      </c>
      <c r="Q25" s="124">
        <f t="shared" si="6"/>
        <v>7.4285714285716509E-2</v>
      </c>
      <c r="U25" s="126"/>
      <c r="V25" s="126"/>
      <c r="W25" s="126"/>
      <c r="X25" s="126"/>
      <c r="Y25" s="126">
        <v>45163</v>
      </c>
      <c r="Z25" s="126">
        <v>-0.2</v>
      </c>
      <c r="AA25" s="108">
        <v>45163</v>
      </c>
      <c r="AB25" s="108">
        <v>0.08</v>
      </c>
      <c r="AC25" s="108">
        <v>45163</v>
      </c>
      <c r="AD25" s="108">
        <v>-0.33</v>
      </c>
    </row>
    <row r="26" spans="1:30">
      <c r="A26" s="99">
        <v>26268</v>
      </c>
      <c r="B26" s="119">
        <v>3.1327976190476199</v>
      </c>
      <c r="C26" s="120">
        <v>83.947619047619071</v>
      </c>
      <c r="D26" s="119">
        <v>11.683809523809524</v>
      </c>
      <c r="E26" s="120">
        <f t="shared" si="0"/>
        <v>0.1671642857142861</v>
      </c>
      <c r="F26" s="121">
        <f t="shared" si="1"/>
        <v>0.38946481344661976</v>
      </c>
      <c r="G26" s="127">
        <f t="shared" si="7"/>
        <v>-2.2872820906374158E-2</v>
      </c>
      <c r="J26" s="122">
        <v>3.06</v>
      </c>
      <c r="K26" s="122">
        <v>88.5</v>
      </c>
      <c r="L26" s="122">
        <v>11.7</v>
      </c>
      <c r="M26" s="122">
        <f t="shared" si="2"/>
        <v>0.17399999999999993</v>
      </c>
      <c r="N26" s="123">
        <f t="shared" si="3"/>
        <v>0.39795918367346939</v>
      </c>
      <c r="O26" s="124">
        <f t="shared" si="4"/>
        <v>-7.2797619047619833E-2</v>
      </c>
      <c r="P26" s="125">
        <f t="shared" si="5"/>
        <v>-9.4476190476190709</v>
      </c>
      <c r="Q26" s="124">
        <f t="shared" si="6"/>
        <v>1.6190476190475422E-2</v>
      </c>
      <c r="U26" s="126"/>
      <c r="V26" s="126"/>
      <c r="W26" s="126"/>
      <c r="X26" s="126"/>
      <c r="Y26" s="126">
        <v>45166</v>
      </c>
      <c r="Z26" s="126">
        <v>-0.33</v>
      </c>
      <c r="AA26" s="108">
        <v>45166</v>
      </c>
      <c r="AB26" s="108">
        <v>-0.03</v>
      </c>
      <c r="AC26" s="108">
        <v>45166</v>
      </c>
      <c r="AD26" s="108">
        <v>-0.33</v>
      </c>
    </row>
    <row r="27" spans="1:30">
      <c r="A27" s="99">
        <v>26299</v>
      </c>
      <c r="B27" s="119">
        <v>3.1316071428571424</v>
      </c>
      <c r="C27" s="120">
        <v>85.428571428571445</v>
      </c>
      <c r="D27" s="119">
        <v>11.01</v>
      </c>
      <c r="E27" s="120">
        <f t="shared" si="0"/>
        <v>0.12977857142857241</v>
      </c>
      <c r="F27" s="121">
        <f t="shared" si="1"/>
        <v>0.37134522135639098</v>
      </c>
      <c r="G27" s="127">
        <f t="shared" si="7"/>
        <v>-1.8119592090228787E-2</v>
      </c>
      <c r="J27" s="122">
        <v>3.05</v>
      </c>
      <c r="K27" s="122">
        <v>89.4</v>
      </c>
      <c r="L27" s="122">
        <v>10.9</v>
      </c>
      <c r="M27" s="122">
        <f t="shared" si="2"/>
        <v>0.11580000000000013</v>
      </c>
      <c r="N27" s="123">
        <f t="shared" si="3"/>
        <v>0.37873523280055599</v>
      </c>
      <c r="O27" s="124">
        <f t="shared" si="4"/>
        <v>-8.1607142857142545E-2</v>
      </c>
      <c r="P27" s="125">
        <f t="shared" si="5"/>
        <v>-10.028571428571439</v>
      </c>
      <c r="Q27" s="124">
        <f t="shared" si="6"/>
        <v>-0.10999999999999943</v>
      </c>
      <c r="U27" s="126"/>
      <c r="V27" s="126"/>
      <c r="W27" s="126"/>
      <c r="X27" s="126"/>
      <c r="Y27" s="126">
        <v>45167</v>
      </c>
      <c r="Z27" s="126">
        <v>-0.33</v>
      </c>
      <c r="AA27" s="108">
        <v>45167</v>
      </c>
      <c r="AB27" s="108">
        <v>-0.03</v>
      </c>
      <c r="AC27" s="108">
        <v>45167</v>
      </c>
      <c r="AD27" s="108">
        <v>-0.33</v>
      </c>
    </row>
    <row r="28" spans="1:30">
      <c r="A28" s="99">
        <v>26330</v>
      </c>
      <c r="B28" s="119">
        <v>3.1957500000000003</v>
      </c>
      <c r="C28" s="120">
        <v>86.525000000000006</v>
      </c>
      <c r="D28" s="119">
        <v>11.074999999999999</v>
      </c>
      <c r="E28" s="120">
        <f t="shared" si="0"/>
        <v>9.9099999999999522E-2</v>
      </c>
      <c r="F28" s="121">
        <f t="shared" si="1"/>
        <v>0.36974369091157411</v>
      </c>
      <c r="G28" s="127">
        <f t="shared" si="7"/>
        <v>-1.6015304448168677E-3</v>
      </c>
      <c r="J28" s="122">
        <v>3.14</v>
      </c>
      <c r="K28" s="122">
        <v>91.5</v>
      </c>
      <c r="L28" s="122">
        <v>11</v>
      </c>
      <c r="M28" s="122">
        <f t="shared" si="2"/>
        <v>8.2999999999999741E-2</v>
      </c>
      <c r="N28" s="123">
        <f t="shared" si="3"/>
        <v>0.37542662116040953</v>
      </c>
      <c r="O28" s="124">
        <f t="shared" si="4"/>
        <v>-5.5750000000000188E-2</v>
      </c>
      <c r="P28" s="125">
        <f t="shared" si="5"/>
        <v>-9.0250000000000057</v>
      </c>
      <c r="Q28" s="124">
        <f t="shared" si="6"/>
        <v>-7.4999999999999289E-2</v>
      </c>
      <c r="U28" s="126"/>
      <c r="V28" s="126"/>
      <c r="W28" s="126"/>
      <c r="X28" s="126"/>
      <c r="Y28" s="126">
        <v>45168</v>
      </c>
      <c r="Z28" s="126">
        <v>-0.4</v>
      </c>
      <c r="AA28" s="108">
        <v>45168</v>
      </c>
      <c r="AB28" s="108">
        <v>-0.03</v>
      </c>
      <c r="AC28" s="108">
        <v>45168</v>
      </c>
      <c r="AD28" s="108">
        <v>-0.33</v>
      </c>
    </row>
    <row r="29" spans="1:30">
      <c r="A29" s="99">
        <v>26359</v>
      </c>
      <c r="B29" s="119">
        <v>3.4182386363636357</v>
      </c>
      <c r="C29" s="120">
        <v>93.754545454545436</v>
      </c>
      <c r="D29" s="119">
        <v>11.779090909090909</v>
      </c>
      <c r="E29" s="120">
        <f t="shared" si="0"/>
        <v>0.12757045454545501</v>
      </c>
      <c r="F29" s="121">
        <f t="shared" si="1"/>
        <v>0.36541730442340387</v>
      </c>
      <c r="G29" s="127">
        <f t="shared" si="7"/>
        <v>-4.3263864881702419E-3</v>
      </c>
      <c r="J29" s="122">
        <v>3.35</v>
      </c>
      <c r="K29" s="122">
        <v>98.6</v>
      </c>
      <c r="L29" s="122">
        <v>11.7</v>
      </c>
      <c r="M29" s="122">
        <f t="shared" si="2"/>
        <v>0.10619999999999985</v>
      </c>
      <c r="N29" s="123">
        <f t="shared" si="3"/>
        <v>0.37237428389560789</v>
      </c>
      <c r="O29" s="124">
        <f t="shared" si="4"/>
        <v>-6.8238636363635585E-2</v>
      </c>
      <c r="P29" s="125">
        <f t="shared" si="5"/>
        <v>-9.1545454545454419</v>
      </c>
      <c r="Q29" s="124">
        <f t="shared" si="6"/>
        <v>-7.9090909090909989E-2</v>
      </c>
      <c r="U29" s="126"/>
      <c r="V29" s="126"/>
      <c r="W29" s="126"/>
      <c r="X29" s="126"/>
      <c r="Y29" s="126">
        <v>45169</v>
      </c>
      <c r="Z29" s="126">
        <v>-0.4</v>
      </c>
      <c r="AA29" s="108">
        <v>45169</v>
      </c>
      <c r="AB29" s="108">
        <v>-0.03</v>
      </c>
      <c r="AC29" s="108">
        <v>45169</v>
      </c>
      <c r="AD29" s="108">
        <v>-0.33</v>
      </c>
    </row>
    <row r="30" spans="1:30">
      <c r="A30" s="99">
        <v>26390</v>
      </c>
      <c r="B30" s="119">
        <v>3.5213124999999996</v>
      </c>
      <c r="C30" s="120">
        <v>98</v>
      </c>
      <c r="D30" s="119">
        <v>11.892999999999997</v>
      </c>
      <c r="E30" s="120">
        <f t="shared" si="0"/>
        <v>0.13891750000000025</v>
      </c>
      <c r="F30" s="121">
        <f t="shared" si="1"/>
        <v>0.35741743005220972</v>
      </c>
      <c r="G30" s="127">
        <f t="shared" si="7"/>
        <v>-7.9998743711941489E-3</v>
      </c>
      <c r="J30" s="122">
        <v>3.47</v>
      </c>
      <c r="K30" s="122">
        <v>101.75</v>
      </c>
      <c r="L30" s="122">
        <v>11.9</v>
      </c>
      <c r="M30" s="122">
        <f t="shared" si="2"/>
        <v>7.749999999999968E-2</v>
      </c>
      <c r="N30" s="123">
        <f t="shared" si="3"/>
        <v>0.36899224806201558</v>
      </c>
      <c r="O30" s="124">
        <f t="shared" si="4"/>
        <v>-5.1312499999999428E-2</v>
      </c>
      <c r="P30" s="125">
        <f t="shared" si="5"/>
        <v>-10.25</v>
      </c>
      <c r="Q30" s="124">
        <f t="shared" si="6"/>
        <v>7.0000000000032259E-3</v>
      </c>
      <c r="U30" s="126"/>
      <c r="V30" s="126"/>
      <c r="W30" s="126"/>
      <c r="X30" s="126"/>
      <c r="Y30" s="126">
        <v>45170</v>
      </c>
      <c r="Z30" s="126">
        <v>-0.4</v>
      </c>
      <c r="AA30" s="108">
        <v>45170</v>
      </c>
      <c r="AB30" s="108">
        <v>-0.03</v>
      </c>
      <c r="AC30" s="108">
        <v>45170</v>
      </c>
      <c r="AD30" s="108">
        <v>-0.33</v>
      </c>
    </row>
    <row r="31" spans="1:30">
      <c r="A31" s="99">
        <v>26420</v>
      </c>
      <c r="B31" s="119">
        <v>3.5352840909090899</v>
      </c>
      <c r="C31" s="120">
        <v>99.8</v>
      </c>
      <c r="D31" s="119">
        <v>11.556363636363635</v>
      </c>
      <c r="E31" s="120">
        <f t="shared" si="0"/>
        <v>0.13111590909090998</v>
      </c>
      <c r="F31" s="121">
        <f t="shared" si="1"/>
        <v>0.34671612480907699</v>
      </c>
      <c r="G31" s="127">
        <f t="shared" si="7"/>
        <v>-1.070130524313273E-2</v>
      </c>
      <c r="J31" s="122">
        <v>3.47</v>
      </c>
      <c r="K31" s="122">
        <v>103.3</v>
      </c>
      <c r="L31" s="122">
        <v>11.4</v>
      </c>
      <c r="M31" s="122">
        <f t="shared" si="2"/>
        <v>5.6599999999999984E-2</v>
      </c>
      <c r="N31" s="123">
        <f t="shared" si="3"/>
        <v>0.35558328134747347</v>
      </c>
      <c r="O31" s="124">
        <f t="shared" si="4"/>
        <v>-6.5284090909089709E-2</v>
      </c>
      <c r="P31" s="125">
        <f t="shared" si="5"/>
        <v>-10.5</v>
      </c>
      <c r="Q31" s="124">
        <f t="shared" si="6"/>
        <v>-0.15636363636363448</v>
      </c>
      <c r="U31" s="126"/>
      <c r="V31" s="126"/>
      <c r="W31" s="126"/>
      <c r="X31" s="126"/>
      <c r="Y31" s="126">
        <v>45174</v>
      </c>
      <c r="Z31" s="126">
        <v>-0.4</v>
      </c>
      <c r="AA31" s="108">
        <v>45174</v>
      </c>
      <c r="AB31" s="108">
        <v>-0.56999999999999995</v>
      </c>
      <c r="AC31" s="108">
        <v>45174</v>
      </c>
      <c r="AD31" s="108">
        <v>-0.35</v>
      </c>
    </row>
    <row r="32" spans="1:30">
      <c r="A32" s="99">
        <v>26451</v>
      </c>
      <c r="B32" s="119">
        <v>3.4788068181818175</v>
      </c>
      <c r="C32" s="120">
        <v>101.46363636363638</v>
      </c>
      <c r="D32" s="119">
        <v>10.723636363636365</v>
      </c>
      <c r="E32" s="120">
        <f t="shared" si="0"/>
        <v>0.13592045454545554</v>
      </c>
      <c r="F32" s="121">
        <f t="shared" si="1"/>
        <v>0.32633167345706954</v>
      </c>
      <c r="G32" s="127">
        <f t="shared" si="7"/>
        <v>-2.0384451352007449E-2</v>
      </c>
      <c r="J32" s="122">
        <v>3.44</v>
      </c>
      <c r="K32" s="122">
        <v>104.9</v>
      </c>
      <c r="L32" s="122">
        <v>10.7</v>
      </c>
      <c r="M32" s="122">
        <f t="shared" si="2"/>
        <v>4.4800000000000395E-2</v>
      </c>
      <c r="N32" s="123">
        <f t="shared" si="3"/>
        <v>0.33775252525252525</v>
      </c>
      <c r="O32" s="124">
        <f t="shared" si="4"/>
        <v>-3.8806818181817526E-2</v>
      </c>
      <c r="P32" s="125">
        <f t="shared" si="5"/>
        <v>-10.563636363636377</v>
      </c>
      <c r="Q32" s="124">
        <f t="shared" si="6"/>
        <v>-2.3636363636365232E-2</v>
      </c>
      <c r="U32" s="126"/>
      <c r="V32" s="126"/>
      <c r="W32" s="126"/>
      <c r="X32" s="126"/>
      <c r="Y32" s="126">
        <v>45175</v>
      </c>
      <c r="Z32" s="126">
        <v>-0.4</v>
      </c>
      <c r="AA32" s="108">
        <v>45175</v>
      </c>
      <c r="AB32" s="108">
        <v>-0.2</v>
      </c>
      <c r="AC32" s="108">
        <v>45175</v>
      </c>
      <c r="AD32" s="108">
        <v>-0.35</v>
      </c>
    </row>
    <row r="33" spans="1:30">
      <c r="A33" s="99">
        <v>26481</v>
      </c>
      <c r="B33" s="119">
        <v>3.5073125000000003</v>
      </c>
      <c r="C33" s="120">
        <v>105.16500000000001</v>
      </c>
      <c r="D33" s="119">
        <v>10.293499999999998</v>
      </c>
      <c r="E33" s="120">
        <f t="shared" si="0"/>
        <v>0.14893249999999991</v>
      </c>
      <c r="F33" s="121">
        <f t="shared" si="1"/>
        <v>0.3096852098259279</v>
      </c>
      <c r="G33" s="127">
        <f t="shared" si="7"/>
        <v>-1.6646463631141639E-2</v>
      </c>
      <c r="J33" s="122">
        <v>3.48</v>
      </c>
      <c r="K33" s="122">
        <v>111.6</v>
      </c>
      <c r="L33" s="122">
        <v>10.3</v>
      </c>
      <c r="M33" s="122">
        <f t="shared" si="2"/>
        <v>0.10819999999999963</v>
      </c>
      <c r="N33" s="123">
        <f t="shared" si="3"/>
        <v>0.31575720416922137</v>
      </c>
      <c r="O33" s="124">
        <f t="shared" si="4"/>
        <v>-2.7312500000000295E-2</v>
      </c>
      <c r="P33" s="125">
        <f t="shared" si="5"/>
        <v>-7.5650000000000119</v>
      </c>
      <c r="Q33" s="124">
        <f t="shared" si="6"/>
        <v>6.5000000000026148E-3</v>
      </c>
      <c r="U33" s="126"/>
      <c r="V33" s="126"/>
      <c r="W33" s="126"/>
      <c r="X33" s="126"/>
      <c r="Y33" s="126">
        <v>45176</v>
      </c>
      <c r="Z33" s="126">
        <v>-0.4</v>
      </c>
      <c r="AA33" s="108">
        <v>45176</v>
      </c>
      <c r="AB33" s="108">
        <v>-0.55000000000000004</v>
      </c>
      <c r="AC33" s="108">
        <v>45176</v>
      </c>
      <c r="AD33" s="108">
        <v>-0.35</v>
      </c>
    </row>
    <row r="34" spans="1:30">
      <c r="A34" s="99">
        <v>26512</v>
      </c>
      <c r="B34" s="119">
        <v>3.4402717391304347</v>
      </c>
      <c r="C34" s="120">
        <v>103.33043478260869</v>
      </c>
      <c r="D34" s="119">
        <v>10.173478260869565</v>
      </c>
      <c r="E34" s="120">
        <f t="shared" si="0"/>
        <v>0.15874130434782607</v>
      </c>
      <c r="F34" s="121">
        <f t="shared" si="1"/>
        <v>0.31094152623968169</v>
      </c>
      <c r="G34" s="127">
        <f t="shared" si="7"/>
        <v>1.2563164137537886E-3</v>
      </c>
      <c r="J34" s="122">
        <v>3.45</v>
      </c>
      <c r="K34" s="122">
        <v>111</v>
      </c>
      <c r="L34" s="122">
        <v>10.1</v>
      </c>
      <c r="M34" s="122">
        <f t="shared" si="2"/>
        <v>0.10299999999999976</v>
      </c>
      <c r="N34" s="123">
        <f t="shared" si="3"/>
        <v>0.31269349845201239</v>
      </c>
      <c r="O34" s="124">
        <f t="shared" si="4"/>
        <v>9.7282608695654638E-3</v>
      </c>
      <c r="P34" s="125">
        <f t="shared" si="5"/>
        <v>-6.3304347826086911</v>
      </c>
      <c r="Q34" s="124">
        <f t="shared" si="6"/>
        <v>-7.3478260869565659E-2</v>
      </c>
      <c r="U34" s="126"/>
      <c r="V34" s="126"/>
      <c r="W34" s="126"/>
      <c r="X34" s="126"/>
      <c r="Y34" s="126">
        <v>45177</v>
      </c>
      <c r="Z34" s="126">
        <v>-0.4</v>
      </c>
      <c r="AA34" s="108">
        <v>45177</v>
      </c>
      <c r="AB34" s="108">
        <v>-0.55000000000000004</v>
      </c>
      <c r="AC34" s="108">
        <v>45177</v>
      </c>
      <c r="AD34" s="108">
        <v>-0.35</v>
      </c>
    </row>
    <row r="35" spans="1:30">
      <c r="A35" s="99">
        <v>26543</v>
      </c>
      <c r="B35" s="119">
        <v>3.3945625000000006</v>
      </c>
      <c r="C35" s="120">
        <v>105.86</v>
      </c>
      <c r="D35" s="119">
        <v>9.8469999999999978</v>
      </c>
      <c r="E35" s="120">
        <f t="shared" si="0"/>
        <v>0.22924749999999916</v>
      </c>
      <c r="F35" s="121">
        <f t="shared" si="1"/>
        <v>0.29890364009150583</v>
      </c>
      <c r="G35" s="127">
        <f t="shared" si="7"/>
        <v>-1.2037886148175858E-2</v>
      </c>
      <c r="J35" s="122">
        <v>3.42</v>
      </c>
      <c r="K35" s="122">
        <v>117.9</v>
      </c>
      <c r="L35" s="122">
        <v>9.8000000000000007</v>
      </c>
      <c r="M35" s="122">
        <f t="shared" si="2"/>
        <v>0.25180000000000025</v>
      </c>
      <c r="N35" s="123">
        <f t="shared" si="3"/>
        <v>0.29358897543439183</v>
      </c>
      <c r="O35" s="124">
        <f t="shared" si="4"/>
        <v>2.5437499999999336E-2</v>
      </c>
      <c r="P35" s="125">
        <f t="shared" si="5"/>
        <v>-1.9599999999999937</v>
      </c>
      <c r="Q35" s="124">
        <f t="shared" si="6"/>
        <v>-4.6999999999997044E-2</v>
      </c>
      <c r="U35" s="126"/>
      <c r="V35" s="126"/>
      <c r="W35" s="126"/>
      <c r="X35" s="126"/>
      <c r="Y35" s="126">
        <v>45180</v>
      </c>
      <c r="Z35" s="126">
        <v>-0.4</v>
      </c>
      <c r="AA35" s="108">
        <v>45180</v>
      </c>
      <c r="AB35" s="108">
        <v>-0.54</v>
      </c>
      <c r="AC35" s="108">
        <v>45180</v>
      </c>
      <c r="AD35" s="108">
        <v>-0.38</v>
      </c>
    </row>
    <row r="36" spans="1:30">
      <c r="A36" s="99">
        <v>26573</v>
      </c>
      <c r="B36" s="119">
        <v>3.4064204545454544</v>
      </c>
      <c r="C36" s="120">
        <v>105.95454545454544</v>
      </c>
      <c r="D36" s="119">
        <v>9.7236363636363627</v>
      </c>
      <c r="E36" s="120">
        <f t="shared" si="0"/>
        <v>0.20608863636363628</v>
      </c>
      <c r="F36" s="121">
        <f t="shared" si="1"/>
        <v>0.29608229988726043</v>
      </c>
      <c r="G36" s="127">
        <f t="shared" si="7"/>
        <v>-2.8213402042454039E-3</v>
      </c>
      <c r="J36" s="122">
        <v>3</v>
      </c>
      <c r="K36" s="122">
        <v>118.6</v>
      </c>
      <c r="L36" s="122">
        <v>9.6</v>
      </c>
      <c r="M36" s="122">
        <f t="shared" si="2"/>
        <v>0.66520000000000001</v>
      </c>
      <c r="N36" s="123">
        <f t="shared" si="3"/>
        <v>0.28811524609843941</v>
      </c>
      <c r="O36" s="124">
        <f t="shared" si="4"/>
        <v>-0.40642045454545439</v>
      </c>
      <c r="P36" s="125">
        <f t="shared" si="5"/>
        <v>-1.3545454545454447</v>
      </c>
      <c r="Q36" s="124">
        <f t="shared" si="6"/>
        <v>-0.1236363636363631</v>
      </c>
      <c r="U36" s="126"/>
      <c r="V36" s="126"/>
      <c r="W36" s="126"/>
      <c r="X36" s="126"/>
      <c r="Y36" s="126">
        <v>45181</v>
      </c>
      <c r="Z36" s="126">
        <v>-0.4</v>
      </c>
      <c r="AA36" s="108">
        <v>45181</v>
      </c>
      <c r="AB36" s="108">
        <v>-0.56000000000000005</v>
      </c>
      <c r="AC36" s="108">
        <v>45181</v>
      </c>
      <c r="AD36" s="108">
        <v>-0.35</v>
      </c>
    </row>
    <row r="37" spans="1:30">
      <c r="A37" s="99">
        <v>26604</v>
      </c>
      <c r="B37" s="119">
        <v>3.6826250000000003</v>
      </c>
      <c r="C37" s="120">
        <v>121.155</v>
      </c>
      <c r="D37" s="119">
        <v>9.7394999999999996</v>
      </c>
      <c r="E37" s="120">
        <f t="shared" si="0"/>
        <v>0.29643999999999959</v>
      </c>
      <c r="F37" s="121">
        <f t="shared" si="1"/>
        <v>0.26924541318123729</v>
      </c>
      <c r="G37" s="127">
        <f t="shared" si="7"/>
        <v>-2.6836886706023133E-2</v>
      </c>
      <c r="J37" s="122">
        <v>3.61</v>
      </c>
      <c r="K37" s="122">
        <v>133</v>
      </c>
      <c r="L37" s="122">
        <v>9.6</v>
      </c>
      <c r="M37" s="122">
        <f t="shared" si="2"/>
        <v>0.37200000000000033</v>
      </c>
      <c r="N37" s="123">
        <f t="shared" si="3"/>
        <v>0.26519337016574585</v>
      </c>
      <c r="O37" s="124">
        <f t="shared" si="4"/>
        <v>-7.2625000000000384E-2</v>
      </c>
      <c r="P37" s="125">
        <f t="shared" si="5"/>
        <v>-2.1550000000000011</v>
      </c>
      <c r="Q37" s="124">
        <f t="shared" si="6"/>
        <v>-0.13949999999999996</v>
      </c>
      <c r="U37" s="126"/>
      <c r="V37" s="126"/>
      <c r="W37" s="126"/>
      <c r="X37" s="126"/>
      <c r="Y37" s="126">
        <v>45182</v>
      </c>
      <c r="Z37" s="126">
        <v>-0.4</v>
      </c>
      <c r="AA37" s="108">
        <v>45182</v>
      </c>
      <c r="AB37" s="108">
        <v>-0.54</v>
      </c>
      <c r="AC37" s="108">
        <v>45182</v>
      </c>
      <c r="AD37" s="108">
        <v>-0.35</v>
      </c>
    </row>
    <row r="38" spans="1:30">
      <c r="A38" s="99">
        <v>26634</v>
      </c>
      <c r="B38" s="119">
        <v>4.1737500000000001</v>
      </c>
      <c r="C38" s="120">
        <v>154.96842105263156</v>
      </c>
      <c r="D38" s="119">
        <v>9.7684210526315809</v>
      </c>
      <c r="E38" s="120">
        <f t="shared" si="0"/>
        <v>0.62001842105263094</v>
      </c>
      <c r="F38" s="121">
        <f t="shared" si="1"/>
        <v>0.22415065172328993</v>
      </c>
      <c r="G38" s="127">
        <f t="shared" si="7"/>
        <v>-4.5094761457947358E-2</v>
      </c>
      <c r="J38" s="122">
        <v>4.07</v>
      </c>
      <c r="K38" s="122">
        <v>195</v>
      </c>
      <c r="L38" s="122">
        <v>9.6999999999999993</v>
      </c>
      <c r="M38" s="122">
        <f t="shared" si="2"/>
        <v>1.2869999999999999</v>
      </c>
      <c r="N38" s="123">
        <f t="shared" si="3"/>
        <v>0.19917864476386035</v>
      </c>
      <c r="O38" s="124">
        <f t="shared" si="4"/>
        <v>-0.10374999999999979</v>
      </c>
      <c r="P38" s="125">
        <f t="shared" si="5"/>
        <v>26.031578947368445</v>
      </c>
      <c r="Q38" s="124">
        <f t="shared" si="6"/>
        <v>-6.8421052631581603E-2</v>
      </c>
      <c r="U38" s="126"/>
      <c r="V38" s="126"/>
      <c r="W38" s="126"/>
      <c r="X38" s="126"/>
      <c r="Y38" s="126">
        <v>45183</v>
      </c>
      <c r="Z38" s="126">
        <v>-0.4</v>
      </c>
      <c r="AA38" s="108">
        <v>45183</v>
      </c>
      <c r="AB38" s="108">
        <v>-0.54</v>
      </c>
      <c r="AC38" s="108">
        <v>45183</v>
      </c>
      <c r="AD38" s="108">
        <v>-0.35</v>
      </c>
    </row>
    <row r="39" spans="1:30">
      <c r="A39" s="99">
        <v>26665</v>
      </c>
      <c r="B39" s="119">
        <v>4.5280952380952391</v>
      </c>
      <c r="C39" s="120">
        <v>163.28571428571428</v>
      </c>
      <c r="D39" s="119">
        <v>10.195238095238098</v>
      </c>
      <c r="E39" s="120">
        <f t="shared" si="0"/>
        <v>0.51223809523809472</v>
      </c>
      <c r="F39" s="121">
        <f t="shared" si="1"/>
        <v>0.22250040152295297</v>
      </c>
      <c r="G39" s="127">
        <f t="shared" si="7"/>
        <v>-1.6502502003369612E-3</v>
      </c>
      <c r="J39" s="122">
        <v>4.46</v>
      </c>
      <c r="K39" s="122">
        <v>210.4</v>
      </c>
      <c r="L39" s="122">
        <v>10.1</v>
      </c>
      <c r="M39" s="122">
        <f t="shared" si="2"/>
        <v>1.2797999999999998</v>
      </c>
      <c r="N39" s="123">
        <f t="shared" si="3"/>
        <v>0.193560751245688</v>
      </c>
      <c r="O39" s="124">
        <f t="shared" si="4"/>
        <v>-6.8095238095239097E-2</v>
      </c>
      <c r="P39" s="125">
        <f t="shared" si="5"/>
        <v>33.114285714285728</v>
      </c>
      <c r="Q39" s="124">
        <f t="shared" si="6"/>
        <v>-9.5238095238098452E-2</v>
      </c>
      <c r="U39" s="126"/>
      <c r="V39" s="126"/>
      <c r="W39" s="126"/>
      <c r="X39" s="126"/>
      <c r="Y39" s="126">
        <v>45184</v>
      </c>
      <c r="Z39" s="126">
        <v>-0.4</v>
      </c>
      <c r="AA39" s="108">
        <v>45184</v>
      </c>
      <c r="AB39" s="108">
        <v>-0.54</v>
      </c>
      <c r="AC39" s="108">
        <v>45184</v>
      </c>
      <c r="AD39" s="108">
        <v>-0.35</v>
      </c>
    </row>
    <row r="40" spans="1:30">
      <c r="A40" s="99">
        <v>26696</v>
      </c>
      <c r="B40" s="119">
        <v>5.839802631578948</v>
      </c>
      <c r="C40" s="120">
        <v>204.75789473684213</v>
      </c>
      <c r="D40" s="119">
        <v>13.018421052631579</v>
      </c>
      <c r="E40" s="120">
        <f t="shared" si="0"/>
        <v>0.50641315789473751</v>
      </c>
      <c r="F40" s="121">
        <f t="shared" si="1"/>
        <v>0.22565042905801297</v>
      </c>
      <c r="G40" s="127">
        <f t="shared" si="7"/>
        <v>3.150027535059996E-3</v>
      </c>
      <c r="J40" s="122">
        <v>5.8</v>
      </c>
      <c r="K40" s="122">
        <v>240</v>
      </c>
      <c r="L40" s="122">
        <v>13</v>
      </c>
      <c r="M40" s="122">
        <f t="shared" si="2"/>
        <v>0.90999999999999925</v>
      </c>
      <c r="N40" s="123">
        <f t="shared" si="3"/>
        <v>0.2131147540983607</v>
      </c>
      <c r="O40" s="124">
        <f t="shared" si="4"/>
        <v>-3.9802631578948144E-2</v>
      </c>
      <c r="P40" s="125">
        <f t="shared" si="5"/>
        <v>21.242105263157868</v>
      </c>
      <c r="Q40" s="124">
        <f t="shared" si="6"/>
        <v>-1.8421052631579116E-2</v>
      </c>
      <c r="U40" s="126"/>
      <c r="V40" s="126"/>
      <c r="W40" s="126"/>
      <c r="X40" s="126"/>
      <c r="Y40" s="126">
        <v>45187</v>
      </c>
      <c r="Z40" s="126">
        <v>-0.4</v>
      </c>
      <c r="AA40" s="108">
        <v>45187</v>
      </c>
      <c r="AB40" s="108">
        <v>-0.54</v>
      </c>
      <c r="AC40" s="108">
        <v>45187</v>
      </c>
      <c r="AD40" s="108">
        <v>-0.33</v>
      </c>
    </row>
    <row r="41" spans="1:30">
      <c r="A41" s="99">
        <v>26724</v>
      </c>
      <c r="B41" s="119">
        <v>6.0246590909090916</v>
      </c>
      <c r="C41" s="120">
        <v>193.72272727272727</v>
      </c>
      <c r="D41" s="119">
        <v>14.008181818181818</v>
      </c>
      <c r="E41" s="120">
        <f t="shared" si="0"/>
        <v>0.16558636363636214</v>
      </c>
      <c r="F41" s="121">
        <f t="shared" si="1"/>
        <v>0.24892389345700788</v>
      </c>
      <c r="G41" s="127">
        <f t="shared" si="7"/>
        <v>2.3273464398994914E-2</v>
      </c>
      <c r="J41" s="122">
        <v>6.15</v>
      </c>
      <c r="K41" s="122">
        <v>224.9</v>
      </c>
      <c r="L41" s="122">
        <v>13.9</v>
      </c>
      <c r="M41" s="122">
        <f t="shared" si="2"/>
        <v>0.32679999999999954</v>
      </c>
      <c r="N41" s="123">
        <f t="shared" si="3"/>
        <v>0.23607336956521741</v>
      </c>
      <c r="O41" s="124">
        <f t="shared" si="4"/>
        <v>0.12534090909090878</v>
      </c>
      <c r="P41" s="125">
        <f t="shared" si="5"/>
        <v>17.177272727272737</v>
      </c>
      <c r="Q41" s="124">
        <f t="shared" si="6"/>
        <v>-0.10818181818181749</v>
      </c>
      <c r="U41" s="126"/>
      <c r="V41" s="126"/>
      <c r="W41" s="126"/>
      <c r="X41" s="126"/>
      <c r="Y41" s="126">
        <v>45188</v>
      </c>
      <c r="Z41" s="126">
        <v>-0.65</v>
      </c>
      <c r="AA41" s="108">
        <v>45188</v>
      </c>
      <c r="AB41" s="108">
        <v>-0.55000000000000004</v>
      </c>
      <c r="AC41" s="108">
        <v>45188</v>
      </c>
      <c r="AD41" s="108">
        <v>-0.33</v>
      </c>
    </row>
    <row r="42" spans="1:30">
      <c r="A42" s="99">
        <v>26755</v>
      </c>
      <c r="B42" s="119">
        <v>6.3385000000000016</v>
      </c>
      <c r="C42" s="120">
        <v>202.905</v>
      </c>
      <c r="D42" s="119">
        <v>14.892000000000001</v>
      </c>
      <c r="E42" s="120">
        <f t="shared" si="0"/>
        <v>0.16933999999999827</v>
      </c>
      <c r="F42" s="121">
        <f t="shared" si="1"/>
        <v>0.25171485469833316</v>
      </c>
      <c r="G42" s="127">
        <f t="shared" si="7"/>
        <v>2.7909612413252738E-3</v>
      </c>
      <c r="J42" s="122">
        <v>6.52</v>
      </c>
      <c r="K42" s="122">
        <v>228.4</v>
      </c>
      <c r="L42" s="122">
        <v>15</v>
      </c>
      <c r="M42" s="122">
        <f t="shared" si="2"/>
        <v>0.15479999999999983</v>
      </c>
      <c r="N42" s="123">
        <f t="shared" si="3"/>
        <v>0.24719841793012526</v>
      </c>
      <c r="O42" s="124">
        <f t="shared" si="4"/>
        <v>0.181499999999998</v>
      </c>
      <c r="P42" s="125">
        <f t="shared" si="5"/>
        <v>11.495000000000005</v>
      </c>
      <c r="Q42" s="124">
        <f t="shared" si="6"/>
        <v>0.10799999999999876</v>
      </c>
      <c r="U42" s="126"/>
      <c r="V42" s="126"/>
      <c r="W42" s="126"/>
      <c r="X42" s="126"/>
      <c r="Y42" s="126">
        <v>45189</v>
      </c>
      <c r="Z42" s="126">
        <v>-0.65</v>
      </c>
      <c r="AA42" s="108">
        <v>45189</v>
      </c>
      <c r="AB42" s="108">
        <v>-0.55000000000000004</v>
      </c>
      <c r="AC42" s="108">
        <v>45189</v>
      </c>
      <c r="AD42" s="108">
        <v>-0.3</v>
      </c>
    </row>
    <row r="43" spans="1:30">
      <c r="A43" s="99">
        <v>26785</v>
      </c>
      <c r="B43" s="119">
        <v>8.381931818181819</v>
      </c>
      <c r="C43" s="120">
        <v>290.85909090909087</v>
      </c>
      <c r="D43" s="119">
        <v>16.707272727272727</v>
      </c>
      <c r="E43" s="120">
        <f t="shared" si="0"/>
        <v>0.43648636363636051</v>
      </c>
      <c r="F43" s="121">
        <f t="shared" si="1"/>
        <v>0.20840472317236861</v>
      </c>
      <c r="G43" s="127">
        <f t="shared" si="7"/>
        <v>-4.3310131525964551E-2</v>
      </c>
      <c r="J43" s="122">
        <v>8.94</v>
      </c>
      <c r="K43" s="122">
        <v>346.6</v>
      </c>
      <c r="L43" s="122">
        <v>17.100000000000001</v>
      </c>
      <c r="M43" s="122">
        <f t="shared" si="2"/>
        <v>0.56620000000000026</v>
      </c>
      <c r="N43" s="123">
        <f t="shared" si="3"/>
        <v>0.19787086322610509</v>
      </c>
      <c r="O43" s="124">
        <f t="shared" si="4"/>
        <v>0.55806818181818052</v>
      </c>
      <c r="P43" s="125">
        <f t="shared" si="5"/>
        <v>41.740909090909156</v>
      </c>
      <c r="Q43" s="124">
        <f t="shared" si="6"/>
        <v>0.39272727272727437</v>
      </c>
      <c r="U43" s="126"/>
      <c r="V43" s="126"/>
      <c r="W43" s="126"/>
      <c r="X43" s="126"/>
      <c r="Y43" s="126">
        <v>45190</v>
      </c>
      <c r="Z43" s="126">
        <v>-0.65</v>
      </c>
      <c r="AA43" s="108">
        <v>45190</v>
      </c>
      <c r="AB43" s="108">
        <v>-0.55000000000000004</v>
      </c>
      <c r="AC43" s="108">
        <v>45190</v>
      </c>
      <c r="AD43" s="108">
        <v>-0.3</v>
      </c>
    </row>
    <row r="44" spans="1:30">
      <c r="A44" s="99">
        <v>26816</v>
      </c>
      <c r="B44" s="119">
        <v>10.982763157894736</v>
      </c>
      <c r="C44" s="120">
        <v>377.73684210526318</v>
      </c>
      <c r="D44" s="119">
        <v>18.977894736842103</v>
      </c>
      <c r="E44" s="120">
        <f t="shared" si="0"/>
        <v>0.17048947368421175</v>
      </c>
      <c r="F44" s="121">
        <f t="shared" si="1"/>
        <v>0.18717126653636085</v>
      </c>
      <c r="G44" s="127">
        <f t="shared" si="7"/>
        <v>-2.1233456636007758E-2</v>
      </c>
      <c r="J44" s="122">
        <v>10.84</v>
      </c>
      <c r="K44" s="122">
        <v>450</v>
      </c>
      <c r="L44" s="122">
        <v>19.3</v>
      </c>
      <c r="M44" s="122">
        <f t="shared" si="2"/>
        <v>1.1829999999999998</v>
      </c>
      <c r="N44" s="123">
        <f t="shared" si="3"/>
        <v>0.17657822506861851</v>
      </c>
      <c r="O44" s="124">
        <f t="shared" si="4"/>
        <v>-0.14276315789473593</v>
      </c>
      <c r="P44" s="125">
        <f t="shared" si="5"/>
        <v>58.263157894736821</v>
      </c>
      <c r="Q44" s="124">
        <f t="shared" si="6"/>
        <v>0.32210526315789778</v>
      </c>
      <c r="U44" s="126"/>
      <c r="V44" s="126"/>
      <c r="W44" s="126"/>
      <c r="X44" s="126"/>
      <c r="Y44" s="126">
        <v>45191</v>
      </c>
      <c r="Z44" s="126">
        <v>-0.65</v>
      </c>
      <c r="AA44" s="108">
        <v>45191</v>
      </c>
      <c r="AB44" s="108">
        <v>-0.55000000000000004</v>
      </c>
      <c r="AC44" s="108">
        <v>45191</v>
      </c>
      <c r="AD44" s="108">
        <v>-0.3</v>
      </c>
    </row>
    <row r="45" spans="1:30">
      <c r="A45" s="99">
        <v>26846</v>
      </c>
      <c r="B45" s="119">
        <v>9.4023809523809518</v>
      </c>
      <c r="C45" s="120">
        <v>298.3095238095238</v>
      </c>
      <c r="D45" s="119">
        <v>21.09666666666666</v>
      </c>
      <c r="E45" s="120">
        <f t="shared" si="0"/>
        <v>7.7680952380951851E-2</v>
      </c>
      <c r="F45" s="121">
        <f t="shared" si="1"/>
        <v>0.24479094721603684</v>
      </c>
      <c r="G45" s="127">
        <f t="shared" si="7"/>
        <v>5.7619680679675989E-2</v>
      </c>
      <c r="J45" s="122">
        <v>8.4700000000000006</v>
      </c>
      <c r="K45" s="122">
        <v>346</v>
      </c>
      <c r="L45" s="122">
        <v>22.4</v>
      </c>
      <c r="M45" s="122">
        <f t="shared" si="2"/>
        <v>1.6059999999999981</v>
      </c>
      <c r="N45" s="123">
        <f t="shared" si="3"/>
        <v>0.24454148471615719</v>
      </c>
      <c r="O45" s="124">
        <f t="shared" si="4"/>
        <v>-0.9323809523809512</v>
      </c>
      <c r="P45" s="125">
        <f t="shared" si="5"/>
        <v>33.690476190476204</v>
      </c>
      <c r="Q45" s="124">
        <f t="shared" si="6"/>
        <v>1.3033333333333381</v>
      </c>
      <c r="U45" s="119"/>
      <c r="V45" s="119"/>
      <c r="W45" s="119"/>
      <c r="X45" s="126"/>
      <c r="Y45" s="119">
        <v>45194</v>
      </c>
      <c r="Z45" s="126">
        <v>-0.65</v>
      </c>
      <c r="AA45" s="108">
        <v>45194</v>
      </c>
      <c r="AB45" s="108">
        <v>-0.55000000000000004</v>
      </c>
      <c r="AC45" s="108">
        <v>45194</v>
      </c>
      <c r="AD45" s="108">
        <v>-0.3</v>
      </c>
    </row>
    <row r="46" spans="1:30">
      <c r="A46" s="99">
        <v>26877</v>
      </c>
      <c r="B46" s="119">
        <v>8.2434782608695674</v>
      </c>
      <c r="C46" s="120">
        <v>276.82608695652175</v>
      </c>
      <c r="D46" s="119">
        <v>29.200869565217381</v>
      </c>
      <c r="E46" s="120">
        <f t="shared" si="0"/>
        <v>1.6124434782608663</v>
      </c>
      <c r="F46" s="121">
        <f t="shared" si="1"/>
        <v>0.32590514993854935</v>
      </c>
      <c r="G46" s="127">
        <f t="shared" si="7"/>
        <v>8.1114202722512518E-2</v>
      </c>
      <c r="J46" s="122">
        <v>9</v>
      </c>
      <c r="K46" s="122">
        <v>316.25</v>
      </c>
      <c r="L46" s="122">
        <v>33.5</v>
      </c>
      <c r="M46" s="122">
        <f t="shared" si="2"/>
        <v>1.6425000000000001</v>
      </c>
      <c r="N46" s="123">
        <f t="shared" si="3"/>
        <v>0.34625322997416019</v>
      </c>
      <c r="O46" s="124">
        <f t="shared" si="4"/>
        <v>0.75652173913043264</v>
      </c>
      <c r="P46" s="125">
        <f t="shared" si="5"/>
        <v>25.423913043478251</v>
      </c>
      <c r="Q46" s="124">
        <f t="shared" si="6"/>
        <v>4.2991304347826187</v>
      </c>
      <c r="U46" s="119"/>
      <c r="V46" s="119"/>
      <c r="W46" s="119"/>
      <c r="X46" s="126"/>
      <c r="Y46" s="119">
        <v>45195</v>
      </c>
      <c r="Z46" s="126">
        <v>-0.65</v>
      </c>
      <c r="AA46" s="108">
        <v>45195</v>
      </c>
      <c r="AB46" s="108">
        <v>-0.6</v>
      </c>
      <c r="AC46" s="108">
        <v>45195</v>
      </c>
      <c r="AD46" s="108">
        <v>-0.3</v>
      </c>
    </row>
    <row r="47" spans="1:30">
      <c r="A47" s="99">
        <v>26908</v>
      </c>
      <c r="B47" s="119">
        <v>6.4431578947368413</v>
      </c>
      <c r="C47" s="120">
        <v>196.81052631578947</v>
      </c>
      <c r="D47" s="119">
        <v>20.567368421052628</v>
      </c>
      <c r="E47" s="120">
        <f t="shared" si="0"/>
        <v>0.54270526315789525</v>
      </c>
      <c r="F47" s="121">
        <f t="shared" si="1"/>
        <v>0.32385554586179305</v>
      </c>
      <c r="G47" s="127">
        <f t="shared" si="7"/>
        <v>-2.0496040767563062E-3</v>
      </c>
      <c r="J47" s="122">
        <v>6.1</v>
      </c>
      <c r="K47" s="122">
        <v>231.9</v>
      </c>
      <c r="L47" s="122">
        <v>24.3</v>
      </c>
      <c r="M47" s="122">
        <f t="shared" si="2"/>
        <v>1.6748000000000003</v>
      </c>
      <c r="N47" s="123">
        <f t="shared" si="3"/>
        <v>0.34380305602716471</v>
      </c>
      <c r="O47" s="124">
        <f t="shared" si="4"/>
        <v>-0.34315789473684166</v>
      </c>
      <c r="P47" s="125">
        <f t="shared" si="5"/>
        <v>21.089473684210532</v>
      </c>
      <c r="Q47" s="124">
        <f t="shared" si="6"/>
        <v>3.7326315789473732</v>
      </c>
      <c r="U47" s="119"/>
      <c r="V47" s="119"/>
      <c r="W47" s="119"/>
      <c r="X47" s="126"/>
      <c r="Y47" s="119">
        <v>45196</v>
      </c>
      <c r="Z47" s="126">
        <v>-0.65</v>
      </c>
      <c r="AA47" s="108">
        <v>45196</v>
      </c>
      <c r="AB47" s="108">
        <v>-0.6</v>
      </c>
      <c r="AC47" s="108">
        <v>45196</v>
      </c>
      <c r="AD47" s="108">
        <v>-0.35</v>
      </c>
    </row>
    <row r="48" spans="1:30">
      <c r="A48" s="99">
        <v>26938</v>
      </c>
      <c r="B48" s="119">
        <v>5.8456818181818173</v>
      </c>
      <c r="C48" s="120">
        <v>166.34090909090909</v>
      </c>
      <c r="D48" s="119">
        <v>19.079999999999998</v>
      </c>
      <c r="E48" s="120">
        <f t="shared" si="0"/>
        <v>0.24530000000000118</v>
      </c>
      <c r="F48" s="121">
        <f t="shared" si="1"/>
        <v>0.34457499014937132</v>
      </c>
      <c r="G48" s="127">
        <f t="shared" si="7"/>
        <v>2.071944428757827E-2</v>
      </c>
      <c r="J48" s="122">
        <v>5.62</v>
      </c>
      <c r="K48" s="122">
        <v>175.6</v>
      </c>
      <c r="L48" s="122">
        <v>23.1</v>
      </c>
      <c r="M48" s="122">
        <f t="shared" si="2"/>
        <v>0.78419999999999934</v>
      </c>
      <c r="N48" s="123">
        <f t="shared" si="3"/>
        <v>0.39677086911714188</v>
      </c>
      <c r="O48" s="124">
        <f t="shared" si="4"/>
        <v>-0.22568181818181721</v>
      </c>
      <c r="P48" s="125">
        <f t="shared" si="5"/>
        <v>-4.7409090909090992</v>
      </c>
      <c r="Q48" s="124">
        <f t="shared" si="6"/>
        <v>4.0200000000000031</v>
      </c>
      <c r="U48" s="119"/>
      <c r="V48" s="119"/>
      <c r="W48" s="119"/>
      <c r="X48" s="126"/>
      <c r="Y48" s="119">
        <v>45197</v>
      </c>
      <c r="Z48" s="126">
        <v>-0.65</v>
      </c>
      <c r="AA48" s="108">
        <v>45197</v>
      </c>
      <c r="AB48" s="108">
        <v>-0.6</v>
      </c>
      <c r="AC48" s="108">
        <v>45197</v>
      </c>
      <c r="AD48" s="108">
        <v>-0.35</v>
      </c>
    </row>
    <row r="49" spans="1:30">
      <c r="A49" s="99">
        <v>26969</v>
      </c>
      <c r="B49" s="119">
        <v>5.6776190476190482</v>
      </c>
      <c r="C49" s="120">
        <v>171.28571428571431</v>
      </c>
      <c r="D49" s="119">
        <v>18.780476190476193</v>
      </c>
      <c r="E49" s="120">
        <f t="shared" si="0"/>
        <v>0.49909047619047708</v>
      </c>
      <c r="F49" s="121">
        <f t="shared" si="1"/>
        <v>0.3344583994097643</v>
      </c>
      <c r="G49" s="127">
        <f t="shared" si="7"/>
        <v>-1.0116590739607023E-2</v>
      </c>
      <c r="J49" s="122">
        <v>5.57</v>
      </c>
      <c r="K49" s="122">
        <v>179</v>
      </c>
      <c r="L49" s="122">
        <v>20.399999999999999</v>
      </c>
      <c r="M49" s="122">
        <f t="shared" si="2"/>
        <v>0.61199999999999921</v>
      </c>
      <c r="N49" s="123">
        <f t="shared" si="3"/>
        <v>0.36298932384341637</v>
      </c>
      <c r="O49" s="124">
        <f t="shared" si="4"/>
        <v>-0.10761904761904795</v>
      </c>
      <c r="P49" s="125">
        <f t="shared" si="5"/>
        <v>-6.285714285714306</v>
      </c>
      <c r="Q49" s="124">
        <f t="shared" si="6"/>
        <v>1.6195238095238054</v>
      </c>
      <c r="U49" s="119"/>
      <c r="V49" s="119"/>
      <c r="W49" s="119"/>
      <c r="X49" s="126"/>
      <c r="Y49" s="119">
        <v>45198</v>
      </c>
      <c r="Z49" s="126">
        <v>-0.7</v>
      </c>
      <c r="AA49" s="108">
        <v>45198</v>
      </c>
      <c r="AB49" s="108">
        <v>-0.6</v>
      </c>
      <c r="AC49" s="108">
        <v>45198</v>
      </c>
      <c r="AD49" s="108">
        <v>-0.35</v>
      </c>
    </row>
    <row r="50" spans="1:30">
      <c r="A50" s="99">
        <v>26999</v>
      </c>
      <c r="B50" s="119">
        <v>6.0081578947368426</v>
      </c>
      <c r="C50" s="120">
        <v>185.20526315789473</v>
      </c>
      <c r="D50" s="119">
        <v>23.155789473684216</v>
      </c>
      <c r="E50" s="120">
        <f t="shared" si="0"/>
        <v>0.98390526315789462</v>
      </c>
      <c r="F50" s="121">
        <f t="shared" si="1"/>
        <v>0.36428973603153059</v>
      </c>
      <c r="G50" s="127">
        <f t="shared" si="7"/>
        <v>2.9831336621766291E-2</v>
      </c>
      <c r="J50" s="122">
        <v>5.92</v>
      </c>
      <c r="K50" s="122">
        <v>223</v>
      </c>
      <c r="L50" s="122">
        <v>26</v>
      </c>
      <c r="M50" s="122">
        <f t="shared" si="2"/>
        <v>1.8460000000000001</v>
      </c>
      <c r="N50" s="123">
        <f t="shared" si="3"/>
        <v>0.36827195467422102</v>
      </c>
      <c r="O50" s="124">
        <f t="shared" si="4"/>
        <v>-8.8157894736842657E-2</v>
      </c>
      <c r="P50" s="125">
        <f t="shared" si="5"/>
        <v>23.794736842105266</v>
      </c>
      <c r="Q50" s="124">
        <f t="shared" si="6"/>
        <v>2.8442105263157842</v>
      </c>
      <c r="U50" s="119"/>
      <c r="V50" s="119"/>
      <c r="W50" s="119"/>
      <c r="X50" s="126"/>
      <c r="Y50" s="119">
        <v>45201</v>
      </c>
      <c r="Z50" s="126">
        <v>-0.65</v>
      </c>
      <c r="AA50" s="108">
        <v>45201</v>
      </c>
      <c r="AB50" s="108">
        <v>-0.6</v>
      </c>
      <c r="AC50" s="108">
        <v>45201</v>
      </c>
      <c r="AD50" s="108">
        <v>-0.35</v>
      </c>
    </row>
    <row r="51" spans="1:30">
      <c r="A51" s="99">
        <v>27030</v>
      </c>
      <c r="B51" s="119">
        <v>6.2625000000000002</v>
      </c>
      <c r="C51" s="120">
        <v>171.28636363636363</v>
      </c>
      <c r="D51" s="119">
        <v>24.758636363636359</v>
      </c>
      <c r="E51" s="120">
        <f t="shared" si="0"/>
        <v>0.57182272727272654</v>
      </c>
      <c r="F51" s="121">
        <f t="shared" si="1"/>
        <v>0.3984959605626946</v>
      </c>
      <c r="G51" s="127">
        <f t="shared" si="7"/>
        <v>3.4206224531164009E-2</v>
      </c>
      <c r="J51" s="122">
        <v>6.19</v>
      </c>
      <c r="K51" s="122">
        <v>192.4</v>
      </c>
      <c r="L51" s="122">
        <v>28.6</v>
      </c>
      <c r="M51" s="122">
        <f t="shared" si="2"/>
        <v>1.1887999999999996</v>
      </c>
      <c r="N51" s="123">
        <f t="shared" si="3"/>
        <v>0.42635658914728686</v>
      </c>
      <c r="O51" s="124">
        <f t="shared" si="4"/>
        <v>-7.2499999999999787E-2</v>
      </c>
      <c r="P51" s="125">
        <f t="shared" si="5"/>
        <v>7.113636363636374</v>
      </c>
      <c r="Q51" s="124">
        <f t="shared" si="6"/>
        <v>3.8413636363636421</v>
      </c>
      <c r="U51" s="119"/>
      <c r="V51" s="119"/>
      <c r="W51" s="119"/>
      <c r="X51" s="126"/>
      <c r="Y51" s="119">
        <v>45202</v>
      </c>
      <c r="Z51" s="126">
        <v>-0.65</v>
      </c>
      <c r="AA51" s="108">
        <v>45202</v>
      </c>
      <c r="AB51" s="108">
        <v>-0.65</v>
      </c>
      <c r="AC51" s="108">
        <v>45202</v>
      </c>
      <c r="AD51" s="108">
        <v>-0.35</v>
      </c>
    </row>
    <row r="52" spans="1:30">
      <c r="A52" s="99">
        <v>27061</v>
      </c>
      <c r="B52" s="119">
        <v>6.439861111111111</v>
      </c>
      <c r="C52" s="120">
        <v>160.09444444444446</v>
      </c>
      <c r="D52" s="119">
        <v>32.445555555555551</v>
      </c>
      <c r="E52" s="120">
        <f t="shared" si="0"/>
        <v>0.97141666666666637</v>
      </c>
      <c r="F52" s="121">
        <f t="shared" si="1"/>
        <v>0.48156488234897254</v>
      </c>
      <c r="G52" s="127">
        <f t="shared" si="7"/>
        <v>8.3068921786277949E-2</v>
      </c>
      <c r="J52" s="122">
        <v>6.35</v>
      </c>
      <c r="K52" s="122">
        <v>175.25</v>
      </c>
      <c r="L52" s="122">
        <v>36.4</v>
      </c>
      <c r="M52" s="122">
        <f t="shared" si="2"/>
        <v>1.5094999999999992</v>
      </c>
      <c r="N52" s="123">
        <f t="shared" si="3"/>
        <v>0.50944716585024497</v>
      </c>
      <c r="O52" s="124">
        <f t="shared" si="4"/>
        <v>-8.9861111111111391E-2</v>
      </c>
      <c r="P52" s="125">
        <f t="shared" si="5"/>
        <v>1.1555555555555372</v>
      </c>
      <c r="Q52" s="124">
        <f t="shared" si="6"/>
        <v>3.954444444444448</v>
      </c>
      <c r="U52" s="119"/>
      <c r="V52" s="119"/>
      <c r="W52" s="119"/>
      <c r="X52" s="126"/>
      <c r="Y52" s="119">
        <v>45203</v>
      </c>
      <c r="Z52" s="126">
        <v>-0.65</v>
      </c>
      <c r="AA52" s="108">
        <v>45203</v>
      </c>
      <c r="AB52" s="108">
        <v>-0.63</v>
      </c>
      <c r="AC52" s="108">
        <v>45203</v>
      </c>
      <c r="AD52" s="108">
        <v>-0.35</v>
      </c>
    </row>
    <row r="53" spans="1:30">
      <c r="A53" s="99">
        <v>27089</v>
      </c>
      <c r="B53" s="119">
        <v>6.3177380952380942</v>
      </c>
      <c r="C53" s="120">
        <v>156.46190476190475</v>
      </c>
      <c r="D53" s="119">
        <v>26.326190476190476</v>
      </c>
      <c r="E53" s="120">
        <f t="shared" si="0"/>
        <v>0.3332285714285721</v>
      </c>
      <c r="F53" s="121">
        <f t="shared" si="1"/>
        <v>0.4354075275846046</v>
      </c>
      <c r="G53" s="127">
        <f t="shared" si="7"/>
        <v>-4.6157354764367942E-2</v>
      </c>
      <c r="J53" s="122">
        <v>6.29</v>
      </c>
      <c r="K53" s="122">
        <v>160.4</v>
      </c>
      <c r="L53" s="122">
        <v>30.2</v>
      </c>
      <c r="M53" s="122">
        <f t="shared" si="2"/>
        <v>0.56080000000000041</v>
      </c>
      <c r="N53" s="123">
        <f t="shared" si="3"/>
        <v>0.48490687219010914</v>
      </c>
      <c r="O53" s="124">
        <f t="shared" si="4"/>
        <v>-2.7738095238094118E-2</v>
      </c>
      <c r="P53" s="125">
        <f t="shared" si="5"/>
        <v>-10.061904761904742</v>
      </c>
      <c r="Q53" s="124">
        <f t="shared" si="6"/>
        <v>3.8738095238095234</v>
      </c>
      <c r="U53" s="119"/>
      <c r="V53" s="119"/>
      <c r="W53" s="119"/>
      <c r="X53" s="126"/>
      <c r="Y53" s="119">
        <v>45204</v>
      </c>
      <c r="Z53" s="126">
        <v>-0.65</v>
      </c>
      <c r="AA53" s="108">
        <v>45204</v>
      </c>
      <c r="AB53" s="108">
        <v>-0.62</v>
      </c>
      <c r="AC53" s="108">
        <v>45204</v>
      </c>
      <c r="AD53" s="108">
        <v>-0.33</v>
      </c>
    </row>
    <row r="54" spans="1:30">
      <c r="A54" s="99">
        <v>27120</v>
      </c>
      <c r="B54" s="119">
        <v>5.5975000000000001</v>
      </c>
      <c r="C54" s="120">
        <v>124.36190476190478</v>
      </c>
      <c r="D54" s="119">
        <v>26.246190476190474</v>
      </c>
      <c r="E54" s="120">
        <f t="shared" si="0"/>
        <v>0.27426666666666666</v>
      </c>
      <c r="F54" s="121">
        <f t="shared" si="1"/>
        <v>0.49168863755615039</v>
      </c>
      <c r="G54" s="127">
        <f t="shared" si="7"/>
        <v>5.6281109971545784E-2</v>
      </c>
      <c r="J54" s="122">
        <v>5.59</v>
      </c>
      <c r="K54" s="122">
        <v>130.4</v>
      </c>
      <c r="L54" s="122">
        <v>28.2</v>
      </c>
      <c r="M54" s="122">
        <f t="shared" si="2"/>
        <v>0.38080000000000069</v>
      </c>
      <c r="N54" s="123">
        <f t="shared" si="3"/>
        <v>0.51952837140751651</v>
      </c>
      <c r="O54" s="124">
        <f t="shared" si="4"/>
        <v>-7.5000000000002842E-3</v>
      </c>
      <c r="P54" s="125">
        <f t="shared" si="5"/>
        <v>-7.9619047619047763</v>
      </c>
      <c r="Q54" s="124">
        <f t="shared" si="6"/>
        <v>1.9538095238095252</v>
      </c>
      <c r="U54" s="119"/>
      <c r="V54" s="119"/>
      <c r="W54" s="119"/>
      <c r="X54" s="126"/>
      <c r="Y54" s="119">
        <v>45205</v>
      </c>
      <c r="Z54" s="126">
        <v>-0.63</v>
      </c>
      <c r="AA54" s="108">
        <v>45205</v>
      </c>
      <c r="AB54" s="108">
        <v>-0.62</v>
      </c>
      <c r="AC54" s="108">
        <v>45205</v>
      </c>
      <c r="AD54" s="108">
        <v>-0.33</v>
      </c>
    </row>
    <row r="55" spans="1:30">
      <c r="A55" s="99">
        <v>27150</v>
      </c>
      <c r="B55" s="119">
        <v>5.4727272727272727</v>
      </c>
      <c r="C55" s="120">
        <v>117.69090909090906</v>
      </c>
      <c r="D55" s="119">
        <v>26.804545454545458</v>
      </c>
      <c r="E55" s="120">
        <f t="shared" si="0"/>
        <v>0.3003545454545451</v>
      </c>
      <c r="F55" s="121">
        <f t="shared" si="1"/>
        <v>0.51073241171014705</v>
      </c>
      <c r="G55" s="127">
        <f t="shared" si="7"/>
        <v>1.9043774153996662E-2</v>
      </c>
      <c r="J55" s="122">
        <v>5.47</v>
      </c>
      <c r="K55" s="122">
        <v>120</v>
      </c>
      <c r="L55" s="122">
        <v>29.4</v>
      </c>
      <c r="M55" s="122">
        <f t="shared" si="2"/>
        <v>0.40399999999999991</v>
      </c>
      <c r="N55" s="123">
        <f t="shared" si="3"/>
        <v>0.550561797752809</v>
      </c>
      <c r="O55" s="124">
        <f t="shared" si="4"/>
        <v>-2.7272727272729114E-3</v>
      </c>
      <c r="P55" s="125">
        <f t="shared" si="5"/>
        <v>-11.690909090909059</v>
      </c>
      <c r="Q55" s="124">
        <f t="shared" si="6"/>
        <v>2.5954545454545404</v>
      </c>
      <c r="U55" s="119"/>
      <c r="V55" s="119"/>
      <c r="W55" s="119"/>
      <c r="X55" s="126"/>
      <c r="Y55" s="119">
        <v>45208</v>
      </c>
      <c r="Z55" s="126">
        <v>-0.65</v>
      </c>
      <c r="AA55" s="108">
        <v>45208</v>
      </c>
      <c r="AB55" s="108">
        <v>-0.53</v>
      </c>
      <c r="AC55" s="108">
        <v>45208</v>
      </c>
      <c r="AD55" s="108">
        <v>-0.28000000000000003</v>
      </c>
    </row>
    <row r="56" spans="1:30">
      <c r="A56" s="99">
        <v>27181</v>
      </c>
      <c r="B56" s="119">
        <v>5.5226249999999997</v>
      </c>
      <c r="C56" s="120">
        <v>106.28</v>
      </c>
      <c r="D56" s="119">
        <v>29.796000000000003</v>
      </c>
      <c r="E56" s="120">
        <f t="shared" si="0"/>
        <v>0.30565500000000068</v>
      </c>
      <c r="F56" s="121">
        <f t="shared" si="1"/>
        <v>0.56235458831765117</v>
      </c>
      <c r="G56" s="127">
        <f t="shared" si="7"/>
        <v>5.1622176607504122E-2</v>
      </c>
      <c r="J56" s="122">
        <v>5.51</v>
      </c>
      <c r="K56" s="122">
        <v>110.5</v>
      </c>
      <c r="L56" s="122">
        <v>31.6</v>
      </c>
      <c r="M56" s="122">
        <f t="shared" si="2"/>
        <v>0.39700000000000024</v>
      </c>
      <c r="N56" s="123">
        <f t="shared" si="3"/>
        <v>0.58845437616387342</v>
      </c>
      <c r="O56" s="124">
        <f t="shared" si="4"/>
        <v>-1.2624999999999886E-2</v>
      </c>
      <c r="P56" s="125">
        <f t="shared" si="5"/>
        <v>-9.7800000000000011</v>
      </c>
      <c r="Q56" s="124">
        <f t="shared" si="6"/>
        <v>1.8039999999999985</v>
      </c>
      <c r="U56" s="119"/>
      <c r="V56" s="119"/>
      <c r="W56" s="119"/>
      <c r="X56" s="126"/>
      <c r="Y56" s="119">
        <v>45209</v>
      </c>
      <c r="Z56" s="126">
        <v>-0.7</v>
      </c>
      <c r="AA56" s="108">
        <v>45209</v>
      </c>
      <c r="AB56" s="108">
        <v>-0.5</v>
      </c>
      <c r="AC56" s="108">
        <v>45209</v>
      </c>
      <c r="AD56" s="108">
        <v>-0.28000000000000003</v>
      </c>
    </row>
    <row r="57" spans="1:30">
      <c r="A57" s="99">
        <v>27211</v>
      </c>
      <c r="B57" s="119">
        <v>7.0996590909090918</v>
      </c>
      <c r="C57" s="120">
        <v>146.03181818181812</v>
      </c>
      <c r="D57" s="119">
        <v>37.254090909090905</v>
      </c>
      <c r="E57" s="120">
        <f t="shared" si="0"/>
        <v>0.50305454545454253</v>
      </c>
      <c r="F57" s="121">
        <f t="shared" si="1"/>
        <v>0.53901148931870624</v>
      </c>
      <c r="G57" s="127">
        <f t="shared" si="7"/>
        <v>-2.3343098998944933E-2</v>
      </c>
      <c r="J57" s="122">
        <v>7.11</v>
      </c>
      <c r="K57" s="122">
        <v>147.1</v>
      </c>
      <c r="L57" s="122">
        <v>40.5</v>
      </c>
      <c r="M57" s="122">
        <f t="shared" si="2"/>
        <v>0.58119999999999994</v>
      </c>
      <c r="N57" s="123">
        <f t="shared" si="3"/>
        <v>0.57923340961098402</v>
      </c>
      <c r="O57" s="124">
        <f t="shared" si="4"/>
        <v>1.0340909090908568E-2</v>
      </c>
      <c r="P57" s="125">
        <f t="shared" si="5"/>
        <v>-12.93181818181813</v>
      </c>
      <c r="Q57" s="124">
        <f t="shared" si="6"/>
        <v>3.2459090909090946</v>
      </c>
      <c r="U57" s="119"/>
      <c r="V57" s="119"/>
      <c r="W57" s="119"/>
      <c r="X57" s="126"/>
      <c r="Y57" s="119">
        <v>45210</v>
      </c>
      <c r="Z57" s="126">
        <v>-0.7</v>
      </c>
      <c r="AA57" s="108">
        <v>45210</v>
      </c>
      <c r="AB57" s="108">
        <v>-0.5</v>
      </c>
      <c r="AC57" s="108">
        <v>45210</v>
      </c>
      <c r="AD57" s="108">
        <v>-0.25</v>
      </c>
    </row>
    <row r="58" spans="1:30">
      <c r="A58" s="99">
        <v>27242</v>
      </c>
      <c r="B58" s="119">
        <v>7.8138636363636378</v>
      </c>
      <c r="C58" s="120">
        <v>157.42727272727276</v>
      </c>
      <c r="D58" s="119">
        <v>40.303636363636357</v>
      </c>
      <c r="E58" s="120">
        <f t="shared" si="0"/>
        <v>0.39779090909090886</v>
      </c>
      <c r="F58" s="121">
        <f t="shared" si="1"/>
        <v>0.53989119676911523</v>
      </c>
      <c r="G58" s="127">
        <f t="shared" si="7"/>
        <v>8.7970745040899523E-4</v>
      </c>
      <c r="J58" s="122">
        <v>7.76</v>
      </c>
      <c r="K58" s="122">
        <v>165.9</v>
      </c>
      <c r="L58" s="122">
        <v>43.3</v>
      </c>
      <c r="M58" s="122">
        <f t="shared" si="2"/>
        <v>0.65280000000000094</v>
      </c>
      <c r="N58" s="123">
        <f t="shared" si="3"/>
        <v>0.56616108786610875</v>
      </c>
      <c r="O58" s="124">
        <f t="shared" si="4"/>
        <v>-5.3863636363638001E-2</v>
      </c>
      <c r="P58" s="125">
        <f t="shared" si="5"/>
        <v>-5.5272727272727593</v>
      </c>
      <c r="Q58" s="124">
        <f t="shared" si="6"/>
        <v>2.9963636363636397</v>
      </c>
      <c r="U58" s="119"/>
      <c r="V58" s="119"/>
      <c r="W58" s="119"/>
      <c r="X58" s="126"/>
      <c r="Y58" s="119">
        <v>45211</v>
      </c>
      <c r="Z58" s="126">
        <v>-0.7</v>
      </c>
      <c r="AA58" s="108">
        <v>45211</v>
      </c>
      <c r="AB58" s="108">
        <v>-0.45</v>
      </c>
      <c r="AC58" s="108">
        <v>45211</v>
      </c>
      <c r="AD58" s="108">
        <v>-0.23</v>
      </c>
    </row>
    <row r="59" spans="1:30">
      <c r="A59" s="99">
        <v>27273</v>
      </c>
      <c r="B59" s="119">
        <v>7.6815000000000015</v>
      </c>
      <c r="C59" s="120">
        <v>154.19499999999999</v>
      </c>
      <c r="D59" s="119">
        <v>39.020499999999998</v>
      </c>
      <c r="E59" s="120">
        <f t="shared" si="0"/>
        <v>0.31143499999999857</v>
      </c>
      <c r="F59" s="121">
        <f t="shared" si="1"/>
        <v>0.53700611852842539</v>
      </c>
      <c r="G59" s="127">
        <f t="shared" si="7"/>
        <v>-2.8850782406898423E-3</v>
      </c>
      <c r="J59" s="122">
        <v>7.64</v>
      </c>
      <c r="K59" s="122">
        <v>147.25</v>
      </c>
      <c r="L59" s="122">
        <v>40.700000000000003</v>
      </c>
      <c r="M59" s="122">
        <f t="shared" si="2"/>
        <v>7.6500000000000234E-2</v>
      </c>
      <c r="N59" s="123">
        <f t="shared" si="3"/>
        <v>0.5801853171774769</v>
      </c>
      <c r="O59" s="124">
        <f t="shared" si="4"/>
        <v>-4.1500000000001869E-2</v>
      </c>
      <c r="P59" s="125">
        <f t="shared" si="5"/>
        <v>-20.944999999999993</v>
      </c>
      <c r="Q59" s="124">
        <f t="shared" si="6"/>
        <v>1.6795000000000044</v>
      </c>
      <c r="U59" s="119"/>
      <c r="V59" s="119"/>
      <c r="W59" s="119"/>
      <c r="X59" s="126"/>
      <c r="Y59" s="119">
        <v>45212</v>
      </c>
      <c r="Z59" s="126">
        <v>-0.7</v>
      </c>
      <c r="AA59" s="108">
        <v>45212</v>
      </c>
      <c r="AB59" s="108">
        <v>-0.45</v>
      </c>
      <c r="AC59" s="108">
        <v>45212</v>
      </c>
      <c r="AD59" s="108">
        <v>-0.23</v>
      </c>
    </row>
    <row r="60" spans="1:30">
      <c r="A60" s="99">
        <v>27303</v>
      </c>
      <c r="B60" s="119">
        <v>8.5882608695652181</v>
      </c>
      <c r="C60" s="120">
        <v>180.1</v>
      </c>
      <c r="D60" s="119">
        <v>42.278260869565223</v>
      </c>
      <c r="E60" s="120">
        <f t="shared" si="0"/>
        <v>0.38474782608695612</v>
      </c>
      <c r="F60" s="121">
        <f t="shared" si="1"/>
        <v>0.5182886647491608</v>
      </c>
      <c r="G60" s="127">
        <f t="shared" si="7"/>
        <v>-1.8717453779264592E-2</v>
      </c>
      <c r="J60" s="122">
        <v>8.3000000000000007</v>
      </c>
      <c r="K60" s="122">
        <v>175.6</v>
      </c>
      <c r="L60" s="122">
        <v>42.3</v>
      </c>
      <c r="M60" s="122">
        <f t="shared" si="2"/>
        <v>0.21619999999999884</v>
      </c>
      <c r="N60" s="123">
        <f t="shared" si="3"/>
        <v>0.54637044691294234</v>
      </c>
      <c r="O60" s="124">
        <f t="shared" si="4"/>
        <v>-0.28826086956521735</v>
      </c>
      <c r="P60" s="125">
        <f t="shared" si="5"/>
        <v>-18.5</v>
      </c>
      <c r="Q60" s="124">
        <f t="shared" si="6"/>
        <v>2.1739130434774268E-2</v>
      </c>
      <c r="U60" s="119"/>
      <c r="V60" s="119"/>
      <c r="W60" s="119"/>
      <c r="X60" s="126"/>
      <c r="Y60" s="119">
        <v>45215</v>
      </c>
      <c r="Z60" s="126">
        <v>-0.7</v>
      </c>
      <c r="AA60" s="108">
        <v>45215</v>
      </c>
      <c r="AB60" s="108">
        <v>-0.45</v>
      </c>
      <c r="AC60" s="108">
        <v>45215</v>
      </c>
      <c r="AD60" s="108">
        <v>-0.23</v>
      </c>
    </row>
    <row r="61" spans="1:30">
      <c r="A61" s="99">
        <v>27334</v>
      </c>
      <c r="B61" s="119">
        <v>7.9194736842105264</v>
      </c>
      <c r="C61" s="120">
        <v>154.35263157894738</v>
      </c>
      <c r="D61" s="119">
        <v>40.208421052631586</v>
      </c>
      <c r="E61" s="120">
        <f t="shared" si="0"/>
        <v>0.2079157894736845</v>
      </c>
      <c r="F61" s="121">
        <f t="shared" si="1"/>
        <v>0.54420011863717499</v>
      </c>
      <c r="G61" s="127">
        <f t="shared" si="7"/>
        <v>2.5911453888014191E-2</v>
      </c>
      <c r="J61" s="122">
        <v>7.54</v>
      </c>
      <c r="K61" s="122">
        <v>179</v>
      </c>
      <c r="L61" s="122">
        <v>40.4</v>
      </c>
      <c r="M61" s="122">
        <f t="shared" si="2"/>
        <v>0.84199999999999964</v>
      </c>
      <c r="N61" s="123">
        <f t="shared" si="3"/>
        <v>0.53018372703412076</v>
      </c>
      <c r="O61" s="124">
        <f t="shared" si="4"/>
        <v>-0.37947368421052641</v>
      </c>
      <c r="P61" s="125">
        <f t="shared" si="5"/>
        <v>10.647368421052619</v>
      </c>
      <c r="Q61" s="124">
        <f t="shared" si="6"/>
        <v>0.19157894736841286</v>
      </c>
      <c r="U61" s="119"/>
      <c r="V61" s="119"/>
      <c r="W61" s="119"/>
      <c r="X61" s="126"/>
      <c r="Y61" s="119">
        <v>45216</v>
      </c>
      <c r="Z61" s="126">
        <v>-0.65</v>
      </c>
      <c r="AA61" s="108">
        <v>45216</v>
      </c>
      <c r="AB61" s="108">
        <v>-0.45</v>
      </c>
      <c r="AC61" s="108">
        <v>45216</v>
      </c>
      <c r="AD61" s="108">
        <v>-0.23</v>
      </c>
    </row>
    <row r="62" spans="1:30">
      <c r="A62" s="99">
        <v>27364</v>
      </c>
      <c r="B62" s="119">
        <v>7.3689285714285706</v>
      </c>
      <c r="C62" s="120">
        <v>154.18095238095239</v>
      </c>
      <c r="D62" s="119">
        <v>36.981904761904765</v>
      </c>
      <c r="E62" s="120">
        <f t="shared" si="0"/>
        <v>0.39942380952381118</v>
      </c>
      <c r="F62" s="121">
        <f t="shared" si="1"/>
        <v>0.52366439166483802</v>
      </c>
      <c r="G62" s="127">
        <f t="shared" si="7"/>
        <v>-2.0535726972336965E-2</v>
      </c>
      <c r="J62" s="122">
        <v>7.23</v>
      </c>
      <c r="K62" s="122">
        <v>223</v>
      </c>
      <c r="L62" s="122">
        <v>38</v>
      </c>
      <c r="M62" s="122">
        <f t="shared" si="2"/>
        <v>1.8559999999999981</v>
      </c>
      <c r="N62" s="123">
        <f t="shared" si="3"/>
        <v>0.46004842615012109</v>
      </c>
      <c r="O62" s="124">
        <f t="shared" si="4"/>
        <v>-0.13892857142857018</v>
      </c>
      <c r="P62" s="125">
        <f t="shared" si="5"/>
        <v>54.819047619047609</v>
      </c>
      <c r="Q62" s="124">
        <f t="shared" si="6"/>
        <v>1.0180952380952348</v>
      </c>
      <c r="U62" s="119"/>
      <c r="V62" s="119"/>
      <c r="W62" s="119"/>
      <c r="X62" s="126"/>
      <c r="Y62" s="119">
        <v>45217</v>
      </c>
      <c r="Z62" s="126">
        <v>-0.65</v>
      </c>
      <c r="AA62" s="108">
        <v>45217</v>
      </c>
      <c r="AB62" s="108">
        <v>-0.4</v>
      </c>
      <c r="AC62" s="108">
        <v>45217</v>
      </c>
      <c r="AD62" s="108">
        <v>-0.23</v>
      </c>
    </row>
    <row r="63" spans="1:30">
      <c r="A63" s="99">
        <v>27395</v>
      </c>
      <c r="B63" s="119">
        <v>6.4853409090909091</v>
      </c>
      <c r="C63" s="120">
        <v>131.76363636363638</v>
      </c>
      <c r="D63" s="119">
        <v>32.768181818181823</v>
      </c>
      <c r="E63" s="120">
        <f t="shared" si="0"/>
        <v>0.2814863636363647</v>
      </c>
      <c r="F63" s="121">
        <f t="shared" si="1"/>
        <v>0.53267208615290373</v>
      </c>
      <c r="G63" s="127">
        <f t="shared" si="7"/>
        <v>9.0076944880657095E-3</v>
      </c>
      <c r="J63" s="122">
        <v>6.38</v>
      </c>
      <c r="K63" s="122">
        <v>192.4</v>
      </c>
      <c r="L63" s="122">
        <v>33.6</v>
      </c>
      <c r="M63" s="122">
        <f t="shared" si="2"/>
        <v>1.5488000000000008</v>
      </c>
      <c r="N63" s="123">
        <f t="shared" si="3"/>
        <v>0.46614872364039955</v>
      </c>
      <c r="O63" s="124">
        <f t="shared" si="4"/>
        <v>-0.10534090909090921</v>
      </c>
      <c r="P63" s="125">
        <f t="shared" si="5"/>
        <v>46.636363636363626</v>
      </c>
      <c r="Q63" s="124">
        <f t="shared" si="6"/>
        <v>0.83181818181817846</v>
      </c>
      <c r="U63" s="119"/>
      <c r="V63" s="119"/>
      <c r="W63" s="119"/>
      <c r="X63" s="126"/>
      <c r="Y63" s="119">
        <v>45218</v>
      </c>
      <c r="Z63" s="126">
        <v>-0.57999999999999996</v>
      </c>
      <c r="AA63" s="108">
        <v>45218</v>
      </c>
      <c r="AB63" s="108">
        <v>-0.4</v>
      </c>
      <c r="AC63" s="108">
        <v>45218</v>
      </c>
      <c r="AD63" s="108">
        <v>-0.28000000000000003</v>
      </c>
    </row>
    <row r="64" spans="1:30">
      <c r="A64" s="99">
        <v>27426</v>
      </c>
      <c r="B64" s="119">
        <v>5.6819736842105257</v>
      </c>
      <c r="C64" s="120">
        <v>118.55789473684207</v>
      </c>
      <c r="D64" s="119">
        <v>28.565789473684209</v>
      </c>
      <c r="E64" s="120">
        <f t="shared" si="0"/>
        <v>0.30565263157894762</v>
      </c>
      <c r="F64" s="121">
        <f t="shared" si="1"/>
        <v>0.52478840134347238</v>
      </c>
      <c r="G64" s="127">
        <f t="shared" si="7"/>
        <v>-7.8836848094313572E-3</v>
      </c>
      <c r="J64" s="122">
        <v>5.69</v>
      </c>
      <c r="K64" s="122">
        <v>175.25</v>
      </c>
      <c r="L64" s="122">
        <v>29.4</v>
      </c>
      <c r="M64" s="122">
        <f t="shared" si="2"/>
        <v>1.3994999999999989</v>
      </c>
      <c r="N64" s="123">
        <f t="shared" si="3"/>
        <v>0.4561675717610551</v>
      </c>
      <c r="O64" s="124">
        <f t="shared" si="4"/>
        <v>8.0263157894746584E-3</v>
      </c>
      <c r="P64" s="125">
        <f t="shared" si="5"/>
        <v>42.692105263157941</v>
      </c>
      <c r="Q64" s="124">
        <f t="shared" si="6"/>
        <v>0.83421052631578974</v>
      </c>
      <c r="U64" s="119"/>
      <c r="V64" s="119"/>
      <c r="W64" s="119"/>
      <c r="X64" s="126"/>
      <c r="Y64" s="119">
        <v>45219</v>
      </c>
      <c r="Z64" s="126">
        <v>-0.53</v>
      </c>
      <c r="AA64" s="108">
        <v>45219</v>
      </c>
      <c r="AB64" s="108">
        <v>-0.35</v>
      </c>
      <c r="AC64" s="108">
        <v>45219</v>
      </c>
      <c r="AD64" s="108">
        <v>-0.28000000000000003</v>
      </c>
    </row>
    <row r="65" spans="1:30">
      <c r="A65" s="99">
        <v>27454</v>
      </c>
      <c r="B65" s="119">
        <v>5.5987499999999999</v>
      </c>
      <c r="C65" s="120">
        <v>122.625</v>
      </c>
      <c r="D65" s="119">
        <v>26.9635</v>
      </c>
      <c r="E65" s="120">
        <f t="shared" si="0"/>
        <v>0.31023500000000048</v>
      </c>
      <c r="F65" s="121">
        <f t="shared" si="1"/>
        <v>0.50194491947432596</v>
      </c>
      <c r="G65" s="127">
        <f t="shared" si="7"/>
        <v>-2.284348186914642E-2</v>
      </c>
      <c r="J65" s="122">
        <v>5.6</v>
      </c>
      <c r="K65" s="122">
        <v>160.4</v>
      </c>
      <c r="L65" s="122">
        <v>29.1</v>
      </c>
      <c r="M65" s="122">
        <f t="shared" si="2"/>
        <v>1.1298000000000012</v>
      </c>
      <c r="N65" s="123">
        <f t="shared" si="3"/>
        <v>0.47564563582870223</v>
      </c>
      <c r="O65" s="124">
        <f t="shared" si="4"/>
        <v>1.2499999999997513E-3</v>
      </c>
      <c r="P65" s="125">
        <f t="shared" si="5"/>
        <v>23.775000000000006</v>
      </c>
      <c r="Q65" s="124">
        <f t="shared" si="6"/>
        <v>2.1365000000000016</v>
      </c>
      <c r="U65" s="119"/>
      <c r="V65" s="119"/>
      <c r="W65" s="119"/>
      <c r="X65" s="126"/>
      <c r="Y65" s="119">
        <v>45222</v>
      </c>
      <c r="Z65" s="126">
        <v>-0.49</v>
      </c>
      <c r="AA65" s="108">
        <v>45222</v>
      </c>
      <c r="AB65" s="108">
        <v>-0.4</v>
      </c>
      <c r="AC65" s="108">
        <v>45222</v>
      </c>
      <c r="AD65" s="108">
        <v>-0.28000000000000003</v>
      </c>
    </row>
    <row r="66" spans="1:30">
      <c r="A66" s="99">
        <v>27485</v>
      </c>
      <c r="B66" s="119">
        <v>5.7267045454545444</v>
      </c>
      <c r="C66" s="120">
        <v>125.3</v>
      </c>
      <c r="D66" s="119">
        <v>27.080454545454543</v>
      </c>
      <c r="E66" s="120">
        <f t="shared" si="0"/>
        <v>0.25934545454545521</v>
      </c>
      <c r="F66" s="121">
        <f t="shared" si="1"/>
        <v>0.49763199438694961</v>
      </c>
      <c r="G66" s="127">
        <f t="shared" si="7"/>
        <v>-4.3129250873763514E-3</v>
      </c>
      <c r="J66" s="122">
        <v>5.55</v>
      </c>
      <c r="K66" s="122">
        <v>130.4</v>
      </c>
      <c r="L66" s="122">
        <v>28.2</v>
      </c>
      <c r="M66" s="122">
        <f t="shared" si="2"/>
        <v>0.42080000000000073</v>
      </c>
      <c r="N66" s="123">
        <f t="shared" si="3"/>
        <v>0.51952837140751651</v>
      </c>
      <c r="O66" s="124">
        <f t="shared" si="4"/>
        <v>-0.17670454545454461</v>
      </c>
      <c r="P66" s="125">
        <f t="shared" si="5"/>
        <v>-8.9000000000000057</v>
      </c>
      <c r="Q66" s="124">
        <f t="shared" si="6"/>
        <v>1.119545454545456</v>
      </c>
      <c r="U66" s="119"/>
      <c r="V66" s="119"/>
      <c r="W66" s="119"/>
      <c r="X66" s="126"/>
      <c r="Y66" s="119">
        <v>45223</v>
      </c>
      <c r="Z66" s="126">
        <v>-0.49</v>
      </c>
      <c r="AA66" s="108">
        <v>45223</v>
      </c>
      <c r="AB66" s="108">
        <v>-0.4</v>
      </c>
      <c r="AC66" s="108">
        <v>45223</v>
      </c>
      <c r="AD66" s="108">
        <v>-0.25</v>
      </c>
    </row>
    <row r="67" spans="1:30">
      <c r="A67" s="99">
        <v>27515</v>
      </c>
      <c r="B67" s="119">
        <v>5.107857142857144</v>
      </c>
      <c r="C67" s="120">
        <v>121.21904761904764</v>
      </c>
      <c r="D67" s="119">
        <v>22.451428571428576</v>
      </c>
      <c r="E67" s="120">
        <f t="shared" ref="E67:E130" si="8">(C67/2000*48)+(D67/100*11)-B67</f>
        <v>0.271057142857142</v>
      </c>
      <c r="F67" s="121">
        <f t="shared" ref="F67:F130" si="9">D67/100*11/(B67+E67)</f>
        <v>0.45913673497572538</v>
      </c>
      <c r="G67" s="127">
        <f t="shared" si="7"/>
        <v>-3.8495259411224225E-2</v>
      </c>
      <c r="J67" s="122">
        <v>5.23</v>
      </c>
      <c r="K67" s="122">
        <v>120</v>
      </c>
      <c r="L67" s="122">
        <v>23.6</v>
      </c>
      <c r="M67" s="122">
        <f t="shared" ref="M67" si="10">(K67/2000*44)+(L67/100*11)-J67</f>
        <v>5.9999999999993392E-3</v>
      </c>
      <c r="N67" s="123">
        <f t="shared" ref="N67" si="11">L67/100*11/(J67+M67)</f>
        <v>0.49579831932773111</v>
      </c>
      <c r="O67" s="124">
        <f t="shared" ref="O67:O130" si="12">J67-B67</f>
        <v>0.12214285714285644</v>
      </c>
      <c r="P67" s="125">
        <f t="shared" ref="P67" si="13">K67-(C67+14)</f>
        <v>-15.219047619047643</v>
      </c>
      <c r="Q67" s="124">
        <f t="shared" ref="Q67:Q130" si="14">L67-D67</f>
        <v>1.1485714285714259</v>
      </c>
      <c r="U67" s="119"/>
      <c r="V67" s="119"/>
      <c r="W67" s="119"/>
      <c r="X67" s="126"/>
      <c r="Y67" s="119">
        <v>45224</v>
      </c>
      <c r="Z67" s="126">
        <v>-0.49</v>
      </c>
      <c r="AA67" s="108">
        <v>45224</v>
      </c>
      <c r="AB67" s="108">
        <v>-0.39</v>
      </c>
      <c r="AC67" s="108">
        <v>45224</v>
      </c>
      <c r="AD67" s="108">
        <v>-0.25</v>
      </c>
    </row>
    <row r="68" spans="1:30">
      <c r="A68" s="99">
        <v>27546</v>
      </c>
      <c r="B68" s="119">
        <v>5.0881547619047627</v>
      </c>
      <c r="C68" s="120">
        <v>123.25238095238096</v>
      </c>
      <c r="D68" s="119">
        <v>21.897142857142857</v>
      </c>
      <c r="E68" s="120">
        <f t="shared" si="8"/>
        <v>0.2785880952380948</v>
      </c>
      <c r="F68" s="121">
        <f t="shared" si="9"/>
        <v>0.44881705317404541</v>
      </c>
      <c r="G68" s="127">
        <f t="shared" ref="G68:G131" si="15">F68-F67</f>
        <v>-1.031968180167997E-2</v>
      </c>
      <c r="J68" s="122">
        <v>5.16</v>
      </c>
      <c r="K68" s="122"/>
      <c r="L68" s="122">
        <v>23.3</v>
      </c>
      <c r="M68" s="122"/>
      <c r="N68" s="123"/>
      <c r="O68" s="124">
        <f t="shared" si="12"/>
        <v>7.1845238095237463E-2</v>
      </c>
      <c r="P68" s="125"/>
      <c r="Q68" s="124">
        <f t="shared" si="14"/>
        <v>1.4028571428571439</v>
      </c>
      <c r="W68" s="119"/>
      <c r="X68" s="126"/>
      <c r="Y68" s="119">
        <v>45225</v>
      </c>
      <c r="Z68" s="126">
        <v>-0.49</v>
      </c>
      <c r="AA68" s="108">
        <v>45225</v>
      </c>
      <c r="AB68" s="108">
        <v>-0.39</v>
      </c>
      <c r="AC68" s="108">
        <v>45225</v>
      </c>
      <c r="AD68" s="108">
        <v>-0.25</v>
      </c>
    </row>
    <row r="69" spans="1:30">
      <c r="A69" s="99">
        <v>27576</v>
      </c>
      <c r="B69" s="119">
        <v>5.5544318181818175</v>
      </c>
      <c r="C69" s="120">
        <v>129.39090909090908</v>
      </c>
      <c r="D69" s="119">
        <v>24.909090909090921</v>
      </c>
      <c r="E69" s="120">
        <f t="shared" si="8"/>
        <v>0.29095000000000137</v>
      </c>
      <c r="F69" s="121">
        <f t="shared" si="9"/>
        <v>0.46874611192674259</v>
      </c>
      <c r="G69" s="127">
        <f t="shared" si="15"/>
        <v>1.9929058752697182E-2</v>
      </c>
      <c r="J69" s="122">
        <v>5.6</v>
      </c>
      <c r="K69" s="122">
        <v>147.1</v>
      </c>
      <c r="L69" s="122">
        <v>27.5</v>
      </c>
      <c r="M69" s="122">
        <f>(K69/2000*44)+(L69/100*11)-J69</f>
        <v>0.6612000000000009</v>
      </c>
      <c r="N69" s="123">
        <f>L69/100*11/(J69+M69)</f>
        <v>0.483134223471539</v>
      </c>
      <c r="O69" s="124">
        <f t="shared" si="12"/>
        <v>4.5568181818182119E-2</v>
      </c>
      <c r="P69" s="125">
        <f>K69-(C69+14)</f>
        <v>3.7090909090909179</v>
      </c>
      <c r="Q69" s="124">
        <f t="shared" si="14"/>
        <v>2.5909090909090793</v>
      </c>
      <c r="W69" s="119"/>
      <c r="X69" s="126"/>
      <c r="Y69" s="119">
        <v>45226</v>
      </c>
      <c r="Z69" s="126">
        <v>-0.48</v>
      </c>
      <c r="AA69" s="108">
        <v>45226</v>
      </c>
      <c r="AB69" s="108">
        <v>-0.28000000000000003</v>
      </c>
      <c r="AC69" s="108">
        <v>45226</v>
      </c>
      <c r="AD69" s="108">
        <v>-0.25</v>
      </c>
    </row>
    <row r="70" spans="1:30">
      <c r="A70" s="99">
        <v>27607</v>
      </c>
      <c r="B70" s="119">
        <v>6.055595238095238</v>
      </c>
      <c r="C70" s="120">
        <v>143.01904761904757</v>
      </c>
      <c r="D70" s="119">
        <v>26.691428571428567</v>
      </c>
      <c r="E70" s="120">
        <f t="shared" si="8"/>
        <v>0.31291904761904554</v>
      </c>
      <c r="F70" s="121">
        <f t="shared" si="9"/>
        <v>0.46102701684178415</v>
      </c>
      <c r="G70" s="127">
        <f t="shared" si="15"/>
        <v>-7.7190950849584383E-3</v>
      </c>
      <c r="J70" s="122">
        <v>6.02</v>
      </c>
      <c r="K70" s="122">
        <v>165.9</v>
      </c>
      <c r="L70" s="122">
        <v>28.5</v>
      </c>
      <c r="M70" s="122">
        <f>(K70/2000*44)+(L70/100*11)-J70</f>
        <v>0.76480000000000015</v>
      </c>
      <c r="N70" s="123">
        <f>L70/100*11/(J70+M70)</f>
        <v>0.46206225680933849</v>
      </c>
      <c r="O70" s="124">
        <f t="shared" si="12"/>
        <v>-3.5595238095238457E-2</v>
      </c>
      <c r="P70" s="125">
        <f>K70-(C70+14)</f>
        <v>8.8809523809524364</v>
      </c>
      <c r="Q70" s="124">
        <f t="shared" si="14"/>
        <v>1.8085714285714332</v>
      </c>
      <c r="W70" s="119"/>
      <c r="X70" s="126"/>
      <c r="Y70" s="119">
        <v>45229</v>
      </c>
      <c r="Z70" s="126">
        <v>-0.48</v>
      </c>
      <c r="AA70" s="108">
        <v>45229</v>
      </c>
      <c r="AB70" s="108">
        <v>-0.28000000000000003</v>
      </c>
      <c r="AC70" s="108">
        <v>45229</v>
      </c>
      <c r="AD70" s="108">
        <v>-0.25</v>
      </c>
    </row>
    <row r="71" spans="1:30">
      <c r="A71" s="99">
        <v>27638</v>
      </c>
      <c r="B71" s="119">
        <v>5.7344047619047629</v>
      </c>
      <c r="C71" s="120">
        <v>140.53809523809522</v>
      </c>
      <c r="D71" s="119">
        <v>23.538095238095242</v>
      </c>
      <c r="E71" s="120">
        <f t="shared" si="8"/>
        <v>0.22769999999999868</v>
      </c>
      <c r="F71" s="121">
        <f t="shared" si="9"/>
        <v>0.43427456906397721</v>
      </c>
      <c r="G71" s="127">
        <f t="shared" si="15"/>
        <v>-2.6752447777806942E-2</v>
      </c>
      <c r="J71" s="122">
        <v>5.57</v>
      </c>
      <c r="K71" s="122">
        <v>147.25</v>
      </c>
      <c r="L71" s="122">
        <v>24.3</v>
      </c>
      <c r="M71" s="122">
        <f>(K71/2000*44)+(L71/100*11)-J71</f>
        <v>0.34249999999999936</v>
      </c>
      <c r="N71" s="123">
        <f>L71/100*11/(J71+M71)</f>
        <v>0.45209302325581396</v>
      </c>
      <c r="O71" s="124">
        <f t="shared" si="12"/>
        <v>-0.16440476190476261</v>
      </c>
      <c r="P71" s="125">
        <f>K71-(C71+14)</f>
        <v>-7.2880952380952237</v>
      </c>
      <c r="Q71" s="124">
        <f t="shared" si="14"/>
        <v>0.7619047619047592</v>
      </c>
      <c r="W71" s="119"/>
      <c r="X71" s="126"/>
      <c r="Y71" s="119">
        <v>45230</v>
      </c>
      <c r="Z71" s="126">
        <v>-0.48</v>
      </c>
      <c r="AA71" s="108">
        <v>45230</v>
      </c>
      <c r="AB71" s="108">
        <v>-0.28000000000000003</v>
      </c>
      <c r="AC71" s="108">
        <v>45230</v>
      </c>
      <c r="AD71" s="108">
        <v>-0.25</v>
      </c>
    </row>
    <row r="72" spans="1:30">
      <c r="A72" s="99">
        <v>27668</v>
      </c>
      <c r="B72" s="119">
        <v>5.2458765217391301</v>
      </c>
      <c r="C72" s="120">
        <v>135.72173913043477</v>
      </c>
      <c r="D72" s="119">
        <v>20.787826086956517</v>
      </c>
      <c r="E72" s="120">
        <f t="shared" si="8"/>
        <v>0.29810608695652174</v>
      </c>
      <c r="F72" s="121">
        <f t="shared" si="9"/>
        <v>0.4124581606693038</v>
      </c>
      <c r="G72" s="127">
        <f t="shared" si="15"/>
        <v>-2.1816408394673414E-2</v>
      </c>
      <c r="J72" s="122">
        <v>5.01</v>
      </c>
      <c r="K72" s="122"/>
      <c r="L72" s="122">
        <v>21.4</v>
      </c>
      <c r="M72" s="122"/>
      <c r="N72" s="123"/>
      <c r="O72" s="124">
        <f t="shared" si="12"/>
        <v>-0.23587652173913032</v>
      </c>
      <c r="P72" s="125"/>
      <c r="Q72" s="124">
        <f t="shared" si="14"/>
        <v>0.61217391304348112</v>
      </c>
      <c r="W72" s="119"/>
      <c r="X72" s="126"/>
      <c r="Y72" s="119">
        <v>45231</v>
      </c>
      <c r="Z72" s="126">
        <v>-0.63</v>
      </c>
      <c r="AA72" s="108">
        <v>45231</v>
      </c>
      <c r="AB72" s="108">
        <v>-0.45</v>
      </c>
      <c r="AC72" s="108">
        <v>45231</v>
      </c>
      <c r="AD72" s="108">
        <v>-0.38</v>
      </c>
    </row>
    <row r="73" spans="1:30">
      <c r="A73" s="99">
        <v>27699</v>
      </c>
      <c r="B73" s="119">
        <v>4.8606578947368417</v>
      </c>
      <c r="C73" s="120">
        <v>129.96842105263158</v>
      </c>
      <c r="D73" s="119">
        <v>18.520526315789478</v>
      </c>
      <c r="E73" s="120">
        <f t="shared" si="8"/>
        <v>0.29584210526315946</v>
      </c>
      <c r="F73" s="121">
        <f t="shared" si="9"/>
        <v>0.39508540574747258</v>
      </c>
      <c r="G73" s="127">
        <f t="shared" si="15"/>
        <v>-1.7372754921831213E-2</v>
      </c>
      <c r="J73" s="122">
        <v>4.71</v>
      </c>
      <c r="K73" s="122"/>
      <c r="L73" s="122">
        <v>18.899999999999999</v>
      </c>
      <c r="M73" s="122"/>
      <c r="N73" s="123"/>
      <c r="O73" s="124">
        <f t="shared" si="12"/>
        <v>-0.15065789473684177</v>
      </c>
      <c r="P73" s="125"/>
      <c r="Q73" s="124">
        <f t="shared" si="14"/>
        <v>0.37947368421052019</v>
      </c>
      <c r="W73" s="119"/>
      <c r="X73" s="126"/>
      <c r="Y73" s="119">
        <v>45232</v>
      </c>
      <c r="Z73" s="126">
        <v>-0.63</v>
      </c>
      <c r="AA73" s="108">
        <v>45232</v>
      </c>
      <c r="AB73" s="108">
        <v>-0.43</v>
      </c>
      <c r="AC73" s="108">
        <v>45232</v>
      </c>
      <c r="AD73" s="108">
        <v>-0.38</v>
      </c>
    </row>
    <row r="74" spans="1:30">
      <c r="A74" s="99">
        <v>27729</v>
      </c>
      <c r="B74" s="119">
        <v>4.6353571428571438</v>
      </c>
      <c r="C74" s="120">
        <v>130.5952380952381</v>
      </c>
      <c r="D74" s="119">
        <v>16.586190476190477</v>
      </c>
      <c r="E74" s="120">
        <f t="shared" si="8"/>
        <v>0.3234095238095227</v>
      </c>
      <c r="F74" s="121">
        <f t="shared" si="9"/>
        <v>0.36793038975705367</v>
      </c>
      <c r="G74" s="127">
        <f t="shared" si="15"/>
        <v>-2.7155015990418918E-2</v>
      </c>
      <c r="J74" s="122">
        <v>4.58</v>
      </c>
      <c r="K74" s="122"/>
      <c r="L74" s="122">
        <v>16.8</v>
      </c>
      <c r="M74" s="122"/>
      <c r="N74" s="123"/>
      <c r="O74" s="124">
        <f t="shared" si="12"/>
        <v>-5.5357142857143771E-2</v>
      </c>
      <c r="P74" s="125"/>
      <c r="Q74" s="124">
        <f t="shared" si="14"/>
        <v>0.21380952380952323</v>
      </c>
      <c r="W74" s="119"/>
      <c r="X74" s="126"/>
      <c r="Y74" s="119">
        <v>45233</v>
      </c>
      <c r="Z74" s="126">
        <v>-0.63</v>
      </c>
      <c r="AA74" s="108">
        <v>45233</v>
      </c>
      <c r="AB74" s="108">
        <v>-0.4</v>
      </c>
      <c r="AC74" s="108">
        <v>45233</v>
      </c>
      <c r="AD74" s="108">
        <v>-0.38</v>
      </c>
    </row>
    <row r="75" spans="1:30">
      <c r="A75" s="99">
        <v>27760</v>
      </c>
      <c r="B75" s="119">
        <v>4.753273809523809</v>
      </c>
      <c r="C75" s="120">
        <v>135.4</v>
      </c>
      <c r="D75" s="119">
        <v>16.390476190476193</v>
      </c>
      <c r="E75" s="120">
        <f t="shared" si="8"/>
        <v>0.29927857142857217</v>
      </c>
      <c r="F75" s="121">
        <f t="shared" si="9"/>
        <v>0.35683991872094822</v>
      </c>
      <c r="G75" s="127">
        <f t="shared" si="15"/>
        <v>-1.1090471036105443E-2</v>
      </c>
      <c r="J75" s="122">
        <v>4.6399999999999997</v>
      </c>
      <c r="K75" s="122">
        <v>136.25</v>
      </c>
      <c r="L75" s="122">
        <v>16.2</v>
      </c>
      <c r="M75" s="122">
        <f t="shared" ref="M75:M83" si="16">(K75/2000*44)+(L75/100*11)-J75</f>
        <v>0.13950000000000085</v>
      </c>
      <c r="N75" s="123">
        <f t="shared" ref="N75:N83" si="17">L75/100*11/(J75+M75)</f>
        <v>0.37284234752589179</v>
      </c>
      <c r="O75" s="124">
        <f t="shared" si="12"/>
        <v>-0.11327380952380928</v>
      </c>
      <c r="P75" s="125">
        <f t="shared" ref="P75:P83" si="18">K75-(C75+14)</f>
        <v>-13.150000000000006</v>
      </c>
      <c r="Q75" s="124">
        <f t="shared" si="14"/>
        <v>-0.19047619047619335</v>
      </c>
      <c r="W75" s="119"/>
      <c r="X75" s="126"/>
      <c r="Y75" s="119">
        <v>45236</v>
      </c>
      <c r="Z75" s="126">
        <v>-0.63</v>
      </c>
      <c r="AA75" s="108">
        <v>45236</v>
      </c>
      <c r="AB75" s="108">
        <v>-0.4</v>
      </c>
      <c r="AC75" s="108">
        <v>45236</v>
      </c>
      <c r="AD75" s="108">
        <v>-0.38</v>
      </c>
    </row>
    <row r="76" spans="1:30">
      <c r="A76" s="99">
        <v>27791</v>
      </c>
      <c r="B76" s="119">
        <v>4.7967105263157892</v>
      </c>
      <c r="C76" s="120">
        <v>137.56315789473683</v>
      </c>
      <c r="D76" s="119">
        <v>16.51157894736842</v>
      </c>
      <c r="E76" s="120">
        <f t="shared" si="8"/>
        <v>0.32107894736842102</v>
      </c>
      <c r="F76" s="121">
        <f t="shared" si="9"/>
        <v>0.354894177173533</v>
      </c>
      <c r="G76" s="127">
        <f t="shared" si="15"/>
        <v>-1.9457415474152251E-3</v>
      </c>
      <c r="J76" s="122">
        <v>4.75</v>
      </c>
      <c r="K76" s="122">
        <v>139.25</v>
      </c>
      <c r="L76" s="122">
        <v>16.3</v>
      </c>
      <c r="M76" s="122">
        <f t="shared" si="16"/>
        <v>0.10650000000000048</v>
      </c>
      <c r="N76" s="123">
        <f t="shared" si="17"/>
        <v>0.36919592298980747</v>
      </c>
      <c r="O76" s="124">
        <f t="shared" si="12"/>
        <v>-4.6710526315789203E-2</v>
      </c>
      <c r="P76" s="125">
        <f t="shared" si="18"/>
        <v>-12.313157894736833</v>
      </c>
      <c r="Q76" s="124">
        <f t="shared" si="14"/>
        <v>-0.21157894736841953</v>
      </c>
      <c r="W76" s="119"/>
      <c r="X76" s="126"/>
      <c r="Y76" s="119">
        <v>45237</v>
      </c>
      <c r="Z76" s="126">
        <v>-0.6</v>
      </c>
      <c r="AA76" s="108">
        <v>45237</v>
      </c>
      <c r="AB76" s="108">
        <v>-0.4</v>
      </c>
      <c r="AC76" s="108">
        <v>45237</v>
      </c>
      <c r="AD76" s="108">
        <v>-0.38</v>
      </c>
    </row>
    <row r="77" spans="1:30">
      <c r="A77" s="99">
        <v>27820</v>
      </c>
      <c r="B77" s="119">
        <v>4.80375</v>
      </c>
      <c r="C77" s="120">
        <v>133.40869565217392</v>
      </c>
      <c r="D77" s="119">
        <v>16.737826086956524</v>
      </c>
      <c r="E77" s="120">
        <f t="shared" si="8"/>
        <v>0.23921956521739141</v>
      </c>
      <c r="F77" s="121">
        <f t="shared" si="9"/>
        <v>0.36509458281568058</v>
      </c>
      <c r="G77" s="127">
        <f t="shared" si="15"/>
        <v>1.0200405642147581E-2</v>
      </c>
      <c r="J77" s="122">
        <v>4.72</v>
      </c>
      <c r="K77" s="122">
        <v>135.6</v>
      </c>
      <c r="L77" s="122">
        <v>16.600000000000001</v>
      </c>
      <c r="M77" s="122">
        <f t="shared" si="16"/>
        <v>8.9200000000000834E-2</v>
      </c>
      <c r="N77" s="123">
        <f t="shared" si="17"/>
        <v>0.37968892955169253</v>
      </c>
      <c r="O77" s="124">
        <f t="shared" si="12"/>
        <v>-8.3750000000000213E-2</v>
      </c>
      <c r="P77" s="125">
        <f t="shared" si="18"/>
        <v>-11.808695652173924</v>
      </c>
      <c r="Q77" s="124">
        <f t="shared" si="14"/>
        <v>-0.13782608695652243</v>
      </c>
      <c r="W77" s="119"/>
      <c r="X77" s="126"/>
      <c r="Y77" s="119">
        <v>45238</v>
      </c>
      <c r="Z77" s="126">
        <v>-0.55000000000000004</v>
      </c>
      <c r="AA77" s="108">
        <v>45238</v>
      </c>
      <c r="AB77" s="108">
        <v>-0.4</v>
      </c>
      <c r="AC77" s="108">
        <v>45238</v>
      </c>
      <c r="AD77" s="108">
        <v>-0.38</v>
      </c>
    </row>
    <row r="78" spans="1:30">
      <c r="A78" s="99">
        <v>27851</v>
      </c>
      <c r="B78" s="119">
        <v>4.8030952380952385</v>
      </c>
      <c r="C78" s="120">
        <v>133.18095238095242</v>
      </c>
      <c r="D78" s="119">
        <v>16.357619047619053</v>
      </c>
      <c r="E78" s="120">
        <f t="shared" si="8"/>
        <v>0.19258571428571614</v>
      </c>
      <c r="F78" s="121">
        <f t="shared" si="9"/>
        <v>0.36017874487771817</v>
      </c>
      <c r="G78" s="127">
        <f t="shared" si="15"/>
        <v>-4.9158379379624084E-3</v>
      </c>
      <c r="J78" s="122">
        <v>4.75</v>
      </c>
      <c r="K78" s="122">
        <v>136.4</v>
      </c>
      <c r="L78" s="122">
        <v>16.3</v>
      </c>
      <c r="M78" s="122">
        <f t="shared" si="16"/>
        <v>4.3800000000000061E-2</v>
      </c>
      <c r="N78" s="123">
        <f t="shared" si="17"/>
        <v>0.37402478201009642</v>
      </c>
      <c r="O78" s="124">
        <f t="shared" si="12"/>
        <v>-5.3095238095238528E-2</v>
      </c>
      <c r="P78" s="125">
        <f t="shared" si="18"/>
        <v>-10.780952380952414</v>
      </c>
      <c r="Q78" s="124">
        <f t="shared" si="14"/>
        <v>-5.7619047619052566E-2</v>
      </c>
      <c r="W78" s="119"/>
      <c r="X78" s="126"/>
      <c r="Y78" s="119">
        <v>45239</v>
      </c>
      <c r="Z78" s="126">
        <v>-0.55000000000000004</v>
      </c>
      <c r="AA78" s="108">
        <v>45239</v>
      </c>
      <c r="AB78" s="108">
        <v>-0.38</v>
      </c>
      <c r="AC78" s="108">
        <v>45239</v>
      </c>
      <c r="AD78" s="108">
        <v>-0.4</v>
      </c>
    </row>
    <row r="79" spans="1:30">
      <c r="A79" s="99">
        <v>27881</v>
      </c>
      <c r="B79" s="119">
        <v>5.3135625000000006</v>
      </c>
      <c r="C79" s="120">
        <v>158.10499999999999</v>
      </c>
      <c r="D79" s="119">
        <v>16.231000000000002</v>
      </c>
      <c r="E79" s="120">
        <f t="shared" si="8"/>
        <v>0.26636749999999942</v>
      </c>
      <c r="F79" s="121">
        <f t="shared" si="9"/>
        <v>0.3199699637809077</v>
      </c>
      <c r="G79" s="127">
        <f t="shared" si="15"/>
        <v>-4.0208781096810475E-2</v>
      </c>
      <c r="J79" s="122">
        <v>5.23</v>
      </c>
      <c r="K79" s="122">
        <v>161.80000000000001</v>
      </c>
      <c r="L79" s="122">
        <v>15.8</v>
      </c>
      <c r="M79" s="122">
        <f t="shared" si="16"/>
        <v>6.759999999999966E-2</v>
      </c>
      <c r="N79" s="123">
        <f t="shared" si="17"/>
        <v>0.32807308970099669</v>
      </c>
      <c r="O79" s="124">
        <f t="shared" si="12"/>
        <v>-8.3562500000000206E-2</v>
      </c>
      <c r="P79" s="125">
        <f t="shared" si="18"/>
        <v>-10.304999999999978</v>
      </c>
      <c r="Q79" s="124">
        <f t="shared" si="14"/>
        <v>-0.43100000000000094</v>
      </c>
      <c r="W79" s="119"/>
      <c r="X79" s="126"/>
      <c r="Y79" s="119">
        <v>45240</v>
      </c>
      <c r="Z79" s="126">
        <v>-0.55000000000000004</v>
      </c>
      <c r="AA79" s="108">
        <v>45240</v>
      </c>
      <c r="AB79" s="108">
        <v>-0.38</v>
      </c>
      <c r="AC79" s="108">
        <v>45240</v>
      </c>
      <c r="AD79" s="108">
        <v>-0.4</v>
      </c>
    </row>
    <row r="80" spans="1:30">
      <c r="A80" s="99">
        <v>27912</v>
      </c>
      <c r="B80" s="119">
        <v>6.3502272727272722</v>
      </c>
      <c r="C80" s="120">
        <v>192.89545454545458</v>
      </c>
      <c r="D80" s="119">
        <v>18.28681818181818</v>
      </c>
      <c r="E80" s="120">
        <f t="shared" si="8"/>
        <v>0.29081363636363733</v>
      </c>
      <c r="F80" s="121">
        <f t="shared" si="9"/>
        <v>0.30289679397191971</v>
      </c>
      <c r="G80" s="127">
        <f t="shared" si="15"/>
        <v>-1.7073169808987987E-2</v>
      </c>
      <c r="J80" s="122">
        <v>6.23</v>
      </c>
      <c r="K80" s="122">
        <v>200.3</v>
      </c>
      <c r="L80" s="122">
        <v>17.600000000000001</v>
      </c>
      <c r="M80" s="122">
        <f t="shared" si="16"/>
        <v>0.11259999999999959</v>
      </c>
      <c r="N80" s="123">
        <f t="shared" si="17"/>
        <v>0.3052375997225113</v>
      </c>
      <c r="O80" s="124">
        <f t="shared" si="12"/>
        <v>-0.12022727272727174</v>
      </c>
      <c r="P80" s="125">
        <f t="shared" si="18"/>
        <v>-6.5954545454545723</v>
      </c>
      <c r="Q80" s="124">
        <f t="shared" si="14"/>
        <v>-0.68681818181817889</v>
      </c>
      <c r="W80" s="119"/>
      <c r="X80" s="126"/>
      <c r="Y80" s="119">
        <v>45243</v>
      </c>
      <c r="Z80" s="126">
        <v>-0.57999999999999996</v>
      </c>
      <c r="AA80" s="108">
        <v>45243</v>
      </c>
      <c r="AB80" s="108">
        <v>-0.38</v>
      </c>
      <c r="AC80" s="108">
        <v>45243</v>
      </c>
      <c r="AD80" s="108">
        <v>-0.4</v>
      </c>
    </row>
    <row r="81" spans="1:30">
      <c r="A81" s="99">
        <v>27942</v>
      </c>
      <c r="B81" s="119">
        <v>6.8269642857142845</v>
      </c>
      <c r="C81" s="120">
        <v>199.4047619047619</v>
      </c>
      <c r="D81" s="119">
        <v>20.984285714285711</v>
      </c>
      <c r="E81" s="120">
        <f t="shared" si="8"/>
        <v>0.26702142857142874</v>
      </c>
      <c r="F81" s="121">
        <f t="shared" si="9"/>
        <v>0.32538427923855012</v>
      </c>
      <c r="G81" s="127">
        <f t="shared" si="15"/>
        <v>2.2487485266630414E-2</v>
      </c>
      <c r="J81" s="122">
        <v>6.66</v>
      </c>
      <c r="K81" s="122">
        <v>207.9</v>
      </c>
      <c r="L81" s="122">
        <v>20.9</v>
      </c>
      <c r="M81" s="122">
        <f t="shared" si="16"/>
        <v>0.21279999999999966</v>
      </c>
      <c r="N81" s="123">
        <f t="shared" si="17"/>
        <v>0.33450704225352113</v>
      </c>
      <c r="O81" s="124">
        <f t="shared" si="12"/>
        <v>-0.16696428571428434</v>
      </c>
      <c r="P81" s="125">
        <f t="shared" si="18"/>
        <v>-5.5047619047618923</v>
      </c>
      <c r="Q81" s="124">
        <f t="shared" si="14"/>
        <v>-8.4285714285712743E-2</v>
      </c>
      <c r="W81" s="119"/>
      <c r="X81" s="126"/>
      <c r="Y81" s="119">
        <v>45244</v>
      </c>
      <c r="Z81" s="126">
        <v>-0.57999999999999996</v>
      </c>
      <c r="AA81" s="108">
        <v>45244</v>
      </c>
      <c r="AB81" s="108">
        <v>-0.38</v>
      </c>
      <c r="AC81" s="108">
        <v>45244</v>
      </c>
      <c r="AD81" s="108">
        <v>-0.4</v>
      </c>
    </row>
    <row r="82" spans="1:30">
      <c r="A82" s="99">
        <v>27973</v>
      </c>
      <c r="B82" s="119">
        <v>6.4123863636363634</v>
      </c>
      <c r="C82" s="120">
        <v>183.32272727272726</v>
      </c>
      <c r="D82" s="119">
        <v>20.586818181818177</v>
      </c>
      <c r="E82" s="120">
        <f t="shared" si="8"/>
        <v>0.2519090909090913</v>
      </c>
      <c r="F82" s="121">
        <f t="shared" si="9"/>
        <v>0.33980336187757687</v>
      </c>
      <c r="G82" s="127">
        <f t="shared" si="15"/>
        <v>1.4419082639026748E-2</v>
      </c>
      <c r="J82" s="122">
        <v>6.31</v>
      </c>
      <c r="K82" s="122">
        <v>187.1</v>
      </c>
      <c r="L82" s="122">
        <v>20.399999999999999</v>
      </c>
      <c r="M82" s="122">
        <f t="shared" si="16"/>
        <v>5.0200000000000244E-2</v>
      </c>
      <c r="N82" s="123">
        <f t="shared" si="17"/>
        <v>0.35281909373919057</v>
      </c>
      <c r="O82" s="124">
        <f t="shared" si="12"/>
        <v>-0.10238636363636378</v>
      </c>
      <c r="P82" s="125">
        <f t="shared" si="18"/>
        <v>-10.222727272727269</v>
      </c>
      <c r="Q82" s="124">
        <f t="shared" si="14"/>
        <v>-0.18681818181817889</v>
      </c>
      <c r="W82" s="119"/>
      <c r="X82" s="126"/>
      <c r="Y82" s="119">
        <v>45245</v>
      </c>
      <c r="Z82" s="126">
        <v>-0.6</v>
      </c>
      <c r="AA82" s="108">
        <v>45245</v>
      </c>
      <c r="AB82" s="108">
        <v>-0.38</v>
      </c>
      <c r="AC82" s="108">
        <v>45245</v>
      </c>
      <c r="AD82" s="108">
        <v>-0.4</v>
      </c>
    </row>
    <row r="83" spans="1:30">
      <c r="A83" s="99">
        <v>28004</v>
      </c>
      <c r="B83" s="119">
        <v>6.810238095238093</v>
      </c>
      <c r="C83" s="120">
        <v>187.35238095238097</v>
      </c>
      <c r="D83" s="119">
        <v>22.649047619047614</v>
      </c>
      <c r="E83" s="120">
        <f t="shared" si="8"/>
        <v>0.17761428571428794</v>
      </c>
      <c r="F83" s="121">
        <f t="shared" si="9"/>
        <v>0.35653232241801924</v>
      </c>
      <c r="G83" s="127">
        <f t="shared" si="15"/>
        <v>1.6728960540442372E-2</v>
      </c>
      <c r="J83" s="122">
        <v>6.59</v>
      </c>
      <c r="K83" s="122">
        <v>192.5</v>
      </c>
      <c r="L83" s="122">
        <v>22.5</v>
      </c>
      <c r="M83" s="122">
        <f t="shared" si="16"/>
        <v>0.12000000000000099</v>
      </c>
      <c r="N83" s="123">
        <f t="shared" si="17"/>
        <v>0.36885245901639341</v>
      </c>
      <c r="O83" s="124">
        <f t="shared" si="12"/>
        <v>-0.22023809523809312</v>
      </c>
      <c r="P83" s="125">
        <f t="shared" si="18"/>
        <v>-8.8523809523809689</v>
      </c>
      <c r="Q83" s="124">
        <f t="shared" si="14"/>
        <v>-0.14904761904761443</v>
      </c>
      <c r="W83" s="119"/>
      <c r="X83" s="126"/>
      <c r="Y83" s="119">
        <v>45246</v>
      </c>
      <c r="Z83" s="126">
        <v>-0.63</v>
      </c>
      <c r="AA83" s="108">
        <v>45246</v>
      </c>
      <c r="AB83" s="108">
        <v>-0.38</v>
      </c>
      <c r="AC83" s="108">
        <v>45246</v>
      </c>
      <c r="AD83" s="108">
        <v>-0.4</v>
      </c>
    </row>
    <row r="84" spans="1:30">
      <c r="A84" s="99">
        <v>28034</v>
      </c>
      <c r="B84" s="119">
        <v>6.4124999999999996</v>
      </c>
      <c r="C84" s="120">
        <v>182.65714285714287</v>
      </c>
      <c r="D84" s="119">
        <v>21.148095238095237</v>
      </c>
      <c r="E84" s="120">
        <f t="shared" si="8"/>
        <v>0.29756190476190625</v>
      </c>
      <c r="F84" s="121">
        <f t="shared" si="9"/>
        <v>0.34668688742492609</v>
      </c>
      <c r="G84" s="127">
        <f t="shared" si="15"/>
        <v>-9.8454349930931495E-3</v>
      </c>
      <c r="J84" s="122">
        <v>6.22</v>
      </c>
      <c r="K84" s="122"/>
      <c r="L84" s="122">
        <v>20.7</v>
      </c>
      <c r="M84" s="122"/>
      <c r="N84" s="123"/>
      <c r="O84" s="124">
        <f t="shared" si="12"/>
        <v>-0.19249999999999989</v>
      </c>
      <c r="P84" s="125"/>
      <c r="Q84" s="124">
        <f t="shared" si="14"/>
        <v>-0.4480952380952381</v>
      </c>
      <c r="W84" s="119"/>
      <c r="X84" s="126"/>
      <c r="Y84" s="119">
        <v>45247</v>
      </c>
      <c r="Z84" s="126">
        <v>-0.63</v>
      </c>
      <c r="AA84" s="108">
        <v>45247</v>
      </c>
      <c r="AB84" s="108">
        <v>-0.4</v>
      </c>
      <c r="AC84" s="108">
        <v>45247</v>
      </c>
      <c r="AD84" s="108">
        <v>-0.4</v>
      </c>
    </row>
    <row r="85" spans="1:30">
      <c r="A85" s="99">
        <v>28065</v>
      </c>
      <c r="B85" s="119">
        <v>6.6831250000000004</v>
      </c>
      <c r="C85" s="120">
        <v>186.59</v>
      </c>
      <c r="D85" s="119">
        <v>21.971499999999999</v>
      </c>
      <c r="E85" s="120">
        <f t="shared" si="8"/>
        <v>0.21189999999999998</v>
      </c>
      <c r="F85" s="121">
        <f t="shared" si="9"/>
        <v>0.35052302203400276</v>
      </c>
      <c r="G85" s="127">
        <f t="shared" si="15"/>
        <v>3.836134609076669E-3</v>
      </c>
      <c r="J85" s="122">
        <v>6.55</v>
      </c>
      <c r="K85" s="122"/>
      <c r="L85" s="122">
        <v>21.8</v>
      </c>
      <c r="M85" s="122"/>
      <c r="N85" s="123"/>
      <c r="O85" s="124">
        <f t="shared" si="12"/>
        <v>-0.1331250000000006</v>
      </c>
      <c r="P85" s="125"/>
      <c r="Q85" s="124">
        <f t="shared" si="14"/>
        <v>-0.17149999999999821</v>
      </c>
      <c r="W85" s="119"/>
      <c r="X85" s="126"/>
      <c r="Y85" s="119">
        <v>45250</v>
      </c>
      <c r="Z85" s="126">
        <v>-0.63</v>
      </c>
      <c r="AA85" s="108">
        <v>45250</v>
      </c>
      <c r="AB85" s="108">
        <v>-0.4</v>
      </c>
      <c r="AC85" s="108">
        <v>45250</v>
      </c>
      <c r="AD85" s="108">
        <v>-0.4</v>
      </c>
    </row>
    <row r="86" spans="1:30">
      <c r="A86" s="99">
        <v>28095</v>
      </c>
      <c r="B86" s="119">
        <v>6.9278571428571434</v>
      </c>
      <c r="C86" s="120">
        <v>199.85714285714289</v>
      </c>
      <c r="D86" s="119">
        <v>21.270952380952377</v>
      </c>
      <c r="E86" s="120">
        <f t="shared" si="8"/>
        <v>0.20851904761904727</v>
      </c>
      <c r="F86" s="121">
        <f t="shared" si="9"/>
        <v>0.32787015418656523</v>
      </c>
      <c r="G86" s="127">
        <f t="shared" si="15"/>
        <v>-2.265286784743753E-2</v>
      </c>
      <c r="J86" s="122">
        <v>6.86</v>
      </c>
      <c r="K86" s="122"/>
      <c r="L86" s="122">
        <v>21</v>
      </c>
      <c r="M86" s="122"/>
      <c r="N86" s="123"/>
      <c r="O86" s="124">
        <f t="shared" si="12"/>
        <v>-6.785714285714306E-2</v>
      </c>
      <c r="P86" s="125"/>
      <c r="Q86" s="124">
        <f t="shared" si="14"/>
        <v>-0.27095238095237661</v>
      </c>
      <c r="W86" s="119"/>
      <c r="X86" s="126"/>
      <c r="Y86" s="119">
        <v>45251</v>
      </c>
      <c r="Z86" s="126">
        <v>-0.59</v>
      </c>
      <c r="AA86" s="108">
        <v>45251</v>
      </c>
      <c r="AB86" s="108">
        <v>-0.43</v>
      </c>
      <c r="AC86" s="108">
        <v>45251</v>
      </c>
      <c r="AD86" s="108">
        <v>-0.4</v>
      </c>
    </row>
    <row r="87" spans="1:30">
      <c r="A87" s="99">
        <v>28126</v>
      </c>
      <c r="B87" s="119">
        <v>7.2075595238095262</v>
      </c>
      <c r="C87" s="120">
        <v>212.41904761904766</v>
      </c>
      <c r="D87" s="119">
        <v>21.436190476190479</v>
      </c>
      <c r="E87" s="120">
        <f t="shared" si="8"/>
        <v>0.24847857142856977</v>
      </c>
      <c r="F87" s="121">
        <f t="shared" si="9"/>
        <v>0.31625119430209331</v>
      </c>
      <c r="G87" s="127">
        <f t="shared" si="15"/>
        <v>-1.1618959884471924E-2</v>
      </c>
      <c r="J87" s="122">
        <v>7.06</v>
      </c>
      <c r="K87" s="122"/>
      <c r="L87" s="122">
        <v>20.9</v>
      </c>
      <c r="M87" s="122"/>
      <c r="N87" s="123"/>
      <c r="O87" s="124">
        <f t="shared" si="12"/>
        <v>-0.14755952380952664</v>
      </c>
      <c r="P87" s="125"/>
      <c r="Q87" s="124">
        <f t="shared" si="14"/>
        <v>-0.53619047619048033</v>
      </c>
      <c r="W87" s="119"/>
      <c r="X87" s="126"/>
      <c r="Y87" s="119">
        <v>45252</v>
      </c>
      <c r="Z87" s="126">
        <v>-0.59</v>
      </c>
      <c r="AA87" s="108">
        <v>45252</v>
      </c>
      <c r="AB87" s="108">
        <v>-0.43</v>
      </c>
      <c r="AC87" s="108">
        <v>45252</v>
      </c>
      <c r="AD87" s="108">
        <v>-0.4</v>
      </c>
    </row>
    <row r="88" spans="1:30">
      <c r="A88" s="99">
        <v>28157</v>
      </c>
      <c r="B88" s="119">
        <v>7.3990789473684204</v>
      </c>
      <c r="C88" s="120">
        <v>212.81578947368425</v>
      </c>
      <c r="D88" s="119">
        <v>22.888947368421046</v>
      </c>
      <c r="E88" s="120">
        <f t="shared" si="8"/>
        <v>0.22628421052631698</v>
      </c>
      <c r="F88" s="121">
        <f t="shared" si="9"/>
        <v>0.33018548210646043</v>
      </c>
      <c r="G88" s="127">
        <f t="shared" si="15"/>
        <v>1.3934287804367118E-2</v>
      </c>
      <c r="J88" s="122">
        <v>7.26</v>
      </c>
      <c r="K88" s="122">
        <v>230.4</v>
      </c>
      <c r="L88" s="122">
        <v>22.4</v>
      </c>
      <c r="M88" s="122">
        <f t="shared" ref="M88:M115" si="19">(K88/2000*44)+(L88/100*11)-J88</f>
        <v>0.27279999999999927</v>
      </c>
      <c r="N88" s="123">
        <f t="shared" ref="N88:N115" si="20">L88/100*11/(J88+M88)</f>
        <v>0.32710280373831774</v>
      </c>
      <c r="O88" s="124">
        <f t="shared" si="12"/>
        <v>-0.13907894736842064</v>
      </c>
      <c r="P88" s="125">
        <f t="shared" ref="P88:P115" si="21">K88-(C88+14)</f>
        <v>3.5842105263157578</v>
      </c>
      <c r="Q88" s="124">
        <f t="shared" si="14"/>
        <v>-0.48894736842104791</v>
      </c>
      <c r="W88" s="119"/>
      <c r="X88" s="126"/>
      <c r="Y88" s="119">
        <v>45254</v>
      </c>
      <c r="Z88" s="126">
        <v>-0.59</v>
      </c>
      <c r="AA88" s="108">
        <v>45254</v>
      </c>
      <c r="AB88" s="108">
        <v>-0.43</v>
      </c>
      <c r="AC88" s="108">
        <v>45254</v>
      </c>
      <c r="AD88" s="108">
        <v>-0.45</v>
      </c>
    </row>
    <row r="89" spans="1:30">
      <c r="A89" s="99">
        <v>28185</v>
      </c>
      <c r="B89" s="119">
        <v>8.459021739130435</v>
      </c>
      <c r="C89" s="120">
        <v>238.15217391304347</v>
      </c>
      <c r="D89" s="119">
        <v>26.801739130434779</v>
      </c>
      <c r="E89" s="120">
        <f t="shared" si="8"/>
        <v>0.20482173913043411</v>
      </c>
      <c r="F89" s="121">
        <f t="shared" si="9"/>
        <v>0.34028676900100563</v>
      </c>
      <c r="G89" s="127">
        <f t="shared" si="15"/>
        <v>1.0101286894545203E-2</v>
      </c>
      <c r="J89" s="122">
        <v>8.25</v>
      </c>
      <c r="K89" s="122">
        <v>246.6</v>
      </c>
      <c r="L89" s="122">
        <v>26.5</v>
      </c>
      <c r="M89" s="122">
        <f t="shared" si="19"/>
        <v>9.0199999999999392E-2</v>
      </c>
      <c r="N89" s="123">
        <f t="shared" si="20"/>
        <v>0.34951200211026118</v>
      </c>
      <c r="O89" s="124">
        <f t="shared" si="12"/>
        <v>-0.20902173913043498</v>
      </c>
      <c r="P89" s="125">
        <f t="shared" si="21"/>
        <v>-5.5521739130434753</v>
      </c>
      <c r="Q89" s="124">
        <f t="shared" si="14"/>
        <v>-0.30173913043477896</v>
      </c>
      <c r="W89" s="119"/>
      <c r="X89" s="126"/>
      <c r="Y89" s="119">
        <v>45257</v>
      </c>
      <c r="Z89" s="126">
        <v>-0.59</v>
      </c>
      <c r="AA89" s="108">
        <v>45257</v>
      </c>
      <c r="AB89" s="108">
        <v>-0.43</v>
      </c>
      <c r="AC89" s="108">
        <v>45257</v>
      </c>
      <c r="AD89" s="108">
        <v>-0.45</v>
      </c>
    </row>
    <row r="90" spans="1:30">
      <c r="A90" s="99">
        <v>28216</v>
      </c>
      <c r="B90" s="119">
        <v>9.8885000000000005</v>
      </c>
      <c r="C90" s="120">
        <v>282.39999999999998</v>
      </c>
      <c r="D90" s="119">
        <v>29.539499999999993</v>
      </c>
      <c r="E90" s="120">
        <f t="shared" si="8"/>
        <v>0.13844499999999726</v>
      </c>
      <c r="F90" s="121">
        <f t="shared" si="9"/>
        <v>0.32406131678193106</v>
      </c>
      <c r="G90" s="127">
        <f t="shared" si="15"/>
        <v>-1.6225452219074565E-2</v>
      </c>
      <c r="J90" s="122">
        <v>9.6</v>
      </c>
      <c r="K90" s="122">
        <v>299</v>
      </c>
      <c r="L90" s="122">
        <v>29.6</v>
      </c>
      <c r="M90" s="122">
        <f t="shared" si="19"/>
        <v>0.23399999999999999</v>
      </c>
      <c r="N90" s="123">
        <f t="shared" si="20"/>
        <v>0.33109619686800901</v>
      </c>
      <c r="O90" s="124">
        <f t="shared" si="12"/>
        <v>-0.28850000000000087</v>
      </c>
      <c r="P90" s="125">
        <f t="shared" si="21"/>
        <v>2.6000000000000227</v>
      </c>
      <c r="Q90" s="124">
        <f t="shared" si="14"/>
        <v>6.0500000000008214E-2</v>
      </c>
      <c r="W90" s="119"/>
      <c r="X90" s="126"/>
      <c r="Y90" s="119">
        <v>45258</v>
      </c>
      <c r="Z90" s="126">
        <v>-0.59</v>
      </c>
      <c r="AA90" s="108">
        <v>45258</v>
      </c>
      <c r="AB90" s="108">
        <v>-0.43</v>
      </c>
      <c r="AC90" s="108">
        <v>45258</v>
      </c>
      <c r="AD90" s="108">
        <v>-0.45</v>
      </c>
    </row>
    <row r="91" spans="1:30">
      <c r="A91" s="99">
        <v>28246</v>
      </c>
      <c r="B91" s="119">
        <v>9.5449999999999999</v>
      </c>
      <c r="C91" s="120">
        <v>264.07</v>
      </c>
      <c r="D91" s="119">
        <v>31.238499999999995</v>
      </c>
      <c r="E91" s="120">
        <f t="shared" si="8"/>
        <v>0.22891499999999887</v>
      </c>
      <c r="F91" s="121">
        <f t="shared" si="9"/>
        <v>0.3515720159219719</v>
      </c>
      <c r="G91" s="127">
        <f t="shared" si="15"/>
        <v>2.751069914004084E-2</v>
      </c>
      <c r="J91" s="122">
        <v>9.42</v>
      </c>
      <c r="K91" s="122">
        <v>283.5</v>
      </c>
      <c r="L91" s="122">
        <v>31.3</v>
      </c>
      <c r="M91" s="122">
        <f t="shared" si="19"/>
        <v>0.25999999999999979</v>
      </c>
      <c r="N91" s="123">
        <f t="shared" si="20"/>
        <v>0.35568181818181821</v>
      </c>
      <c r="O91" s="124">
        <f t="shared" si="12"/>
        <v>-0.125</v>
      </c>
      <c r="P91" s="125">
        <f t="shared" si="21"/>
        <v>5.4300000000000068</v>
      </c>
      <c r="Q91" s="124">
        <f t="shared" si="14"/>
        <v>6.1500000000005883E-2</v>
      </c>
      <c r="W91" s="119"/>
      <c r="X91" s="126"/>
      <c r="Y91" s="119">
        <v>45259</v>
      </c>
      <c r="Z91" s="126">
        <v>-0.59</v>
      </c>
      <c r="AA91" s="108">
        <v>45259</v>
      </c>
      <c r="AB91" s="108">
        <v>-0.43</v>
      </c>
      <c r="AC91" s="108">
        <v>45259</v>
      </c>
      <c r="AD91" s="108">
        <v>-0.45</v>
      </c>
    </row>
    <row r="92" spans="1:30">
      <c r="A92" s="99">
        <v>28277</v>
      </c>
      <c r="B92" s="119">
        <v>8.2791477272727274</v>
      </c>
      <c r="C92" s="120">
        <v>224.43181818181819</v>
      </c>
      <c r="D92" s="119">
        <v>28.175000000000001</v>
      </c>
      <c r="E92" s="120">
        <f t="shared" si="8"/>
        <v>0.20646590909090889</v>
      </c>
      <c r="F92" s="121">
        <f t="shared" si="9"/>
        <v>0.36523581355609896</v>
      </c>
      <c r="G92" s="127">
        <f t="shared" si="15"/>
        <v>1.3663797634127062E-2</v>
      </c>
      <c r="J92" s="122">
        <v>8.25</v>
      </c>
      <c r="K92" s="122">
        <v>247.1</v>
      </c>
      <c r="L92" s="122">
        <v>28.3</v>
      </c>
      <c r="M92" s="122">
        <f t="shared" si="19"/>
        <v>0.29919999999999902</v>
      </c>
      <c r="N92" s="123">
        <f t="shared" si="20"/>
        <v>0.36412763767370054</v>
      </c>
      <c r="O92" s="124">
        <f t="shared" si="12"/>
        <v>-2.9147727272727408E-2</v>
      </c>
      <c r="P92" s="125">
        <f t="shared" si="21"/>
        <v>8.6681818181818073</v>
      </c>
      <c r="Q92" s="124">
        <f t="shared" si="14"/>
        <v>0.125</v>
      </c>
      <c r="W92" s="119"/>
      <c r="X92" s="126"/>
      <c r="Y92" s="119">
        <v>45260</v>
      </c>
      <c r="Z92" s="126">
        <v>-0.59</v>
      </c>
      <c r="AA92" s="108">
        <v>45260</v>
      </c>
      <c r="AB92" s="108">
        <v>-0.43</v>
      </c>
      <c r="AC92" s="108">
        <v>45260</v>
      </c>
      <c r="AD92" s="108">
        <v>-0.45</v>
      </c>
    </row>
    <row r="93" spans="1:30">
      <c r="A93" s="99">
        <v>28307</v>
      </c>
      <c r="B93" s="119">
        <v>6.3572500000000005</v>
      </c>
      <c r="C93" s="120">
        <v>166.77500000000001</v>
      </c>
      <c r="D93" s="119">
        <v>23.238500000000002</v>
      </c>
      <c r="E93" s="120">
        <f t="shared" si="8"/>
        <v>0.20158499999999968</v>
      </c>
      <c r="F93" s="121">
        <f t="shared" si="9"/>
        <v>0.38973918386420758</v>
      </c>
      <c r="G93" s="127">
        <f t="shared" si="15"/>
        <v>2.4503370308108618E-2</v>
      </c>
      <c r="J93" s="122">
        <v>6.4</v>
      </c>
      <c r="K93" s="122">
        <v>182.75</v>
      </c>
      <c r="L93" s="122">
        <v>23.8</v>
      </c>
      <c r="M93" s="122">
        <f t="shared" si="19"/>
        <v>0.23850000000000016</v>
      </c>
      <c r="N93" s="123">
        <f t="shared" si="20"/>
        <v>0.39436619718309862</v>
      </c>
      <c r="O93" s="124">
        <f t="shared" si="12"/>
        <v>4.2749999999999844E-2</v>
      </c>
      <c r="P93" s="125">
        <f t="shared" si="21"/>
        <v>1.9749999999999943</v>
      </c>
      <c r="Q93" s="124">
        <f t="shared" si="14"/>
        <v>0.56149999999999878</v>
      </c>
      <c r="W93" s="119"/>
      <c r="X93" s="126"/>
      <c r="Y93" s="119">
        <v>45261</v>
      </c>
      <c r="Z93" s="126">
        <v>-0.57999999999999996</v>
      </c>
      <c r="AA93" s="108">
        <v>45261</v>
      </c>
      <c r="AB93" s="108">
        <v>-0.39</v>
      </c>
      <c r="AC93" s="108">
        <v>45261</v>
      </c>
      <c r="AD93" s="108">
        <v>-0.45</v>
      </c>
    </row>
    <row r="94" spans="1:30">
      <c r="A94" s="99">
        <v>28338</v>
      </c>
      <c r="B94" s="119">
        <v>5.3902173913043478</v>
      </c>
      <c r="C94" s="120">
        <v>142.16521739130437</v>
      </c>
      <c r="D94" s="119">
        <v>20.181739130434785</v>
      </c>
      <c r="E94" s="120">
        <f t="shared" si="8"/>
        <v>0.2417391304347829</v>
      </c>
      <c r="F94" s="121">
        <f t="shared" si="9"/>
        <v>0.39417763538811906</v>
      </c>
      <c r="G94" s="127">
        <f t="shared" si="15"/>
        <v>4.4384515239114797E-3</v>
      </c>
      <c r="J94" s="122">
        <v>5.49</v>
      </c>
      <c r="K94" s="122">
        <v>160.9</v>
      </c>
      <c r="L94" s="122">
        <v>21.1</v>
      </c>
      <c r="M94" s="122">
        <f t="shared" si="19"/>
        <v>0.37080000000000091</v>
      </c>
      <c r="N94" s="123">
        <f t="shared" si="20"/>
        <v>0.39602102102102099</v>
      </c>
      <c r="O94" s="124">
        <f t="shared" si="12"/>
        <v>9.9782608695652364E-2</v>
      </c>
      <c r="P94" s="125">
        <f t="shared" si="21"/>
        <v>4.7347826086956388</v>
      </c>
      <c r="Q94" s="124">
        <f t="shared" si="14"/>
        <v>0.91826086956521635</v>
      </c>
      <c r="U94" s="119"/>
      <c r="V94" s="119"/>
      <c r="W94" s="119"/>
      <c r="X94" s="126"/>
      <c r="Y94" s="119">
        <v>45264</v>
      </c>
      <c r="Z94" s="126">
        <v>-0.57999999999999996</v>
      </c>
      <c r="AA94" s="108">
        <v>45264</v>
      </c>
      <c r="AB94" s="108">
        <v>-0.39</v>
      </c>
      <c r="AC94" s="108">
        <v>45264</v>
      </c>
      <c r="AD94" s="108">
        <v>-0.45</v>
      </c>
    </row>
    <row r="95" spans="1:30">
      <c r="A95" s="99">
        <v>28369</v>
      </c>
      <c r="B95" s="119">
        <v>5.263928571428572</v>
      </c>
      <c r="C95" s="120">
        <v>138.29047619047617</v>
      </c>
      <c r="D95" s="119">
        <v>18.63428571428571</v>
      </c>
      <c r="E95" s="120">
        <f t="shared" si="8"/>
        <v>0.10481428571428353</v>
      </c>
      <c r="F95" s="121">
        <f t="shared" si="9"/>
        <v>0.38179728161953319</v>
      </c>
      <c r="G95" s="127">
        <f t="shared" si="15"/>
        <v>-1.2380353768585872E-2</v>
      </c>
      <c r="J95" s="122">
        <v>5.16</v>
      </c>
      <c r="K95" s="122">
        <v>162.4</v>
      </c>
      <c r="L95" s="122">
        <v>19.2</v>
      </c>
      <c r="M95" s="122">
        <f t="shared" si="19"/>
        <v>0.52480000000000082</v>
      </c>
      <c r="N95" s="123">
        <f t="shared" si="20"/>
        <v>0.37151702786377705</v>
      </c>
      <c r="O95" s="124">
        <f t="shared" si="12"/>
        <v>-0.10392857142857181</v>
      </c>
      <c r="P95" s="125">
        <f t="shared" si="21"/>
        <v>10.109523809523836</v>
      </c>
      <c r="Q95" s="124">
        <f t="shared" si="14"/>
        <v>0.56571428571428939</v>
      </c>
      <c r="U95" s="119"/>
      <c r="V95" s="119"/>
      <c r="W95" s="119"/>
      <c r="X95" s="126"/>
      <c r="Y95" s="119">
        <v>45265</v>
      </c>
      <c r="Z95" s="126">
        <v>-0.57999999999999996</v>
      </c>
      <c r="AA95" s="108">
        <v>45265</v>
      </c>
      <c r="AB95" s="108">
        <v>-0.39</v>
      </c>
      <c r="AC95" s="108">
        <v>45265</v>
      </c>
      <c r="AD95" s="108">
        <v>-0.45</v>
      </c>
    </row>
    <row r="96" spans="1:30">
      <c r="A96" s="99">
        <v>28399</v>
      </c>
      <c r="B96" s="119">
        <v>5.3108333333333331</v>
      </c>
      <c r="C96" s="120">
        <v>143.95714285714286</v>
      </c>
      <c r="D96" s="119">
        <v>18.341428571428569</v>
      </c>
      <c r="E96" s="120">
        <f t="shared" si="8"/>
        <v>0.16169523809523767</v>
      </c>
      <c r="F96" s="121">
        <f t="shared" si="9"/>
        <v>0.36867000629116342</v>
      </c>
      <c r="G96" s="127">
        <f t="shared" si="15"/>
        <v>-1.312727532836977E-2</v>
      </c>
      <c r="J96" s="122">
        <v>5.07</v>
      </c>
      <c r="K96" s="122">
        <v>150.75</v>
      </c>
      <c r="L96" s="122">
        <v>18.8</v>
      </c>
      <c r="M96" s="122">
        <f t="shared" si="19"/>
        <v>0.31449999999999978</v>
      </c>
      <c r="N96" s="123">
        <f t="shared" si="20"/>
        <v>0.38406537282941777</v>
      </c>
      <c r="O96" s="124">
        <f t="shared" si="12"/>
        <v>-0.24083333333333279</v>
      </c>
      <c r="P96" s="125">
        <f t="shared" si="21"/>
        <v>-7.2071428571428555</v>
      </c>
      <c r="Q96" s="124">
        <f t="shared" si="14"/>
        <v>0.45857142857143174</v>
      </c>
      <c r="U96" s="119"/>
      <c r="V96" s="119"/>
      <c r="W96" s="119"/>
      <c r="X96" s="126"/>
      <c r="Y96" s="119">
        <v>45266</v>
      </c>
      <c r="Z96" s="126">
        <v>-0.57999999999999996</v>
      </c>
      <c r="AA96" s="108">
        <v>45266</v>
      </c>
      <c r="AB96" s="108">
        <v>-0.39</v>
      </c>
      <c r="AC96" s="108">
        <v>45266</v>
      </c>
      <c r="AD96" s="108">
        <v>-0.5</v>
      </c>
    </row>
    <row r="97" spans="1:30">
      <c r="A97" s="99">
        <v>28430</v>
      </c>
      <c r="B97" s="119">
        <v>5.9813095238095242</v>
      </c>
      <c r="C97" s="120">
        <v>164.14761904761912</v>
      </c>
      <c r="D97" s="119">
        <v>20.322857142857142</v>
      </c>
      <c r="E97" s="120">
        <f t="shared" si="8"/>
        <v>0.19374761904762128</v>
      </c>
      <c r="F97" s="121">
        <f t="shared" si="9"/>
        <v>0.3620232548455305</v>
      </c>
      <c r="G97" s="127">
        <f t="shared" si="15"/>
        <v>-6.6467514456329257E-3</v>
      </c>
      <c r="J97" s="122">
        <v>5.84</v>
      </c>
      <c r="K97" s="122">
        <v>177.9</v>
      </c>
      <c r="L97" s="122">
        <v>21</v>
      </c>
      <c r="M97" s="122">
        <f t="shared" si="19"/>
        <v>0.38380000000000081</v>
      </c>
      <c r="N97" s="123">
        <f t="shared" si="20"/>
        <v>0.37115588547189815</v>
      </c>
      <c r="O97" s="124">
        <f t="shared" si="12"/>
        <v>-0.14130952380952433</v>
      </c>
      <c r="P97" s="125">
        <f t="shared" si="21"/>
        <v>-0.24761904761911069</v>
      </c>
      <c r="Q97" s="124">
        <f t="shared" si="14"/>
        <v>0.67714285714285793</v>
      </c>
      <c r="U97" s="119"/>
      <c r="V97" s="119"/>
      <c r="W97" s="119"/>
      <c r="X97" s="126"/>
      <c r="Y97" s="119">
        <v>45267</v>
      </c>
      <c r="Z97" s="126">
        <v>-0.53</v>
      </c>
      <c r="AA97" s="108">
        <v>45267</v>
      </c>
      <c r="AB97" s="108">
        <v>-0.39</v>
      </c>
      <c r="AC97" s="108">
        <v>45267</v>
      </c>
      <c r="AD97" s="108">
        <v>-0.5</v>
      </c>
    </row>
    <row r="98" spans="1:30">
      <c r="A98" s="99">
        <v>28460</v>
      </c>
      <c r="B98" s="119">
        <v>5.958333333333333</v>
      </c>
      <c r="C98" s="120">
        <v>159.21904761904761</v>
      </c>
      <c r="D98" s="119">
        <v>21.892857142857146</v>
      </c>
      <c r="E98" s="120">
        <f t="shared" si="8"/>
        <v>0.27113809523809618</v>
      </c>
      <c r="F98" s="121">
        <f t="shared" si="9"/>
        <v>0.38658404863517432</v>
      </c>
      <c r="G98" s="127">
        <f t="shared" si="15"/>
        <v>2.456079378964382E-2</v>
      </c>
      <c r="J98" s="122">
        <v>5.94</v>
      </c>
      <c r="K98" s="122">
        <v>175.1</v>
      </c>
      <c r="L98" s="122">
        <v>22.6</v>
      </c>
      <c r="M98" s="122">
        <f t="shared" si="19"/>
        <v>0.39820000000000011</v>
      </c>
      <c r="N98" s="123">
        <f t="shared" si="20"/>
        <v>0.39222492190211733</v>
      </c>
      <c r="O98" s="124">
        <f t="shared" si="12"/>
        <v>-1.8333333333332646E-2</v>
      </c>
      <c r="P98" s="125">
        <f t="shared" si="21"/>
        <v>1.8809523809523796</v>
      </c>
      <c r="Q98" s="124">
        <f t="shared" si="14"/>
        <v>0.70714285714285552</v>
      </c>
      <c r="U98" s="119"/>
      <c r="V98" s="119"/>
      <c r="W98" s="119"/>
      <c r="X98" s="126"/>
      <c r="Y98" s="119">
        <v>45268</v>
      </c>
      <c r="Z98" s="126">
        <v>-0.53</v>
      </c>
      <c r="AA98" s="108">
        <v>45268</v>
      </c>
      <c r="AB98" s="108">
        <v>-0.39</v>
      </c>
      <c r="AC98" s="108">
        <v>45268</v>
      </c>
      <c r="AD98" s="108">
        <v>-0.5</v>
      </c>
    </row>
    <row r="99" spans="1:30">
      <c r="A99" s="99">
        <v>28491</v>
      </c>
      <c r="B99" s="119">
        <v>5.8259523809523825</v>
      </c>
      <c r="C99" s="120">
        <v>157.60952380952378</v>
      </c>
      <c r="D99" s="119">
        <v>20.557619047619045</v>
      </c>
      <c r="E99" s="120">
        <f t="shared" si="8"/>
        <v>0.2180142857142835</v>
      </c>
      <c r="F99" s="121">
        <f t="shared" si="9"/>
        <v>0.37414800907319617</v>
      </c>
      <c r="G99" s="127">
        <f t="shared" si="15"/>
        <v>-1.2436039561978141E-2</v>
      </c>
      <c r="J99" s="122">
        <v>5.73</v>
      </c>
      <c r="K99" s="122">
        <v>175.4</v>
      </c>
      <c r="L99" s="122">
        <v>20.9</v>
      </c>
      <c r="M99" s="122">
        <f t="shared" si="19"/>
        <v>0.42779999999999951</v>
      </c>
      <c r="N99" s="123">
        <f t="shared" si="20"/>
        <v>0.37334762415148265</v>
      </c>
      <c r="O99" s="124">
        <f t="shared" si="12"/>
        <v>-9.5952380952382121E-2</v>
      </c>
      <c r="P99" s="125">
        <f t="shared" si="21"/>
        <v>3.7904761904762267</v>
      </c>
      <c r="Q99" s="124">
        <f t="shared" si="14"/>
        <v>0.34238095238095312</v>
      </c>
      <c r="U99" s="119"/>
      <c r="V99" s="119"/>
      <c r="W99" s="119"/>
      <c r="X99" s="126"/>
      <c r="Y99" s="119">
        <v>45271</v>
      </c>
      <c r="Z99" s="126">
        <v>-0.53</v>
      </c>
      <c r="AA99" s="108">
        <v>45271</v>
      </c>
      <c r="AB99" s="108">
        <v>-0.39</v>
      </c>
      <c r="AC99" s="108">
        <v>45271</v>
      </c>
      <c r="AD99" s="108">
        <v>-0.5</v>
      </c>
    </row>
    <row r="100" spans="1:30">
      <c r="A100" s="99">
        <v>28522</v>
      </c>
      <c r="B100" s="119">
        <v>5.7094736842105265</v>
      </c>
      <c r="C100" s="120">
        <v>150.48421052631582</v>
      </c>
      <c r="D100" s="119">
        <v>21.071052631578947</v>
      </c>
      <c r="E100" s="120">
        <f t="shared" si="8"/>
        <v>0.21996315789473808</v>
      </c>
      <c r="F100" s="121">
        <f t="shared" si="9"/>
        <v>0.39089981918936112</v>
      </c>
      <c r="G100" s="127">
        <f t="shared" si="15"/>
        <v>1.6751810116164945E-2</v>
      </c>
      <c r="J100" s="122">
        <v>5.65</v>
      </c>
      <c r="K100" s="122">
        <v>166.4</v>
      </c>
      <c r="L100" s="122">
        <v>21.6</v>
      </c>
      <c r="M100" s="122">
        <f t="shared" si="19"/>
        <v>0.38680000000000003</v>
      </c>
      <c r="N100" s="123">
        <f t="shared" si="20"/>
        <v>0.39358600583090381</v>
      </c>
      <c r="O100" s="124">
        <f t="shared" si="12"/>
        <v>-5.9473684210526123E-2</v>
      </c>
      <c r="P100" s="125">
        <f t="shared" si="21"/>
        <v>1.9157894736841854</v>
      </c>
      <c r="Q100" s="124">
        <f t="shared" si="14"/>
        <v>0.52894736842105416</v>
      </c>
      <c r="U100" s="119"/>
      <c r="V100" s="119"/>
      <c r="W100" s="119"/>
      <c r="X100" s="126"/>
      <c r="Y100" s="119">
        <v>45272</v>
      </c>
      <c r="Z100" s="126">
        <v>-0.53</v>
      </c>
      <c r="AA100" s="108">
        <v>45272</v>
      </c>
      <c r="AB100" s="108">
        <v>-0.39</v>
      </c>
      <c r="AC100" s="108">
        <v>45272</v>
      </c>
      <c r="AD100" s="108">
        <v>-0.53</v>
      </c>
    </row>
    <row r="101" spans="1:30">
      <c r="A101" s="99">
        <v>28550</v>
      </c>
      <c r="B101" s="119">
        <v>6.7692045454545458</v>
      </c>
      <c r="C101" s="120">
        <v>176.34090909090909</v>
      </c>
      <c r="D101" s="119">
        <v>25.594999999999999</v>
      </c>
      <c r="E101" s="120">
        <f t="shared" si="8"/>
        <v>0.27842727272727252</v>
      </c>
      <c r="F101" s="121">
        <f t="shared" si="9"/>
        <v>0.39948880313761104</v>
      </c>
      <c r="G101" s="127">
        <f t="shared" si="15"/>
        <v>8.5889839482499175E-3</v>
      </c>
      <c r="J101" s="122">
        <v>6.58</v>
      </c>
      <c r="K101" s="122">
        <v>193.4</v>
      </c>
      <c r="L101" s="122">
        <v>26.6</v>
      </c>
      <c r="M101" s="122">
        <f t="shared" si="19"/>
        <v>0.60080000000000044</v>
      </c>
      <c r="N101" s="123">
        <f t="shared" si="20"/>
        <v>0.40747549019607843</v>
      </c>
      <c r="O101" s="124">
        <f t="shared" si="12"/>
        <v>-0.18920454545454568</v>
      </c>
      <c r="P101" s="125">
        <f t="shared" si="21"/>
        <v>3.0590909090909122</v>
      </c>
      <c r="Q101" s="124">
        <f t="shared" si="14"/>
        <v>1.0050000000000026</v>
      </c>
      <c r="U101" s="119"/>
      <c r="V101" s="119"/>
      <c r="W101" s="119"/>
      <c r="X101" s="126"/>
      <c r="Y101" s="119">
        <v>45273</v>
      </c>
      <c r="Z101" s="126">
        <v>-0.53</v>
      </c>
      <c r="AA101" s="108">
        <v>45273</v>
      </c>
      <c r="AB101" s="108">
        <v>-0.39</v>
      </c>
      <c r="AC101" s="108">
        <v>45273</v>
      </c>
      <c r="AD101" s="108">
        <v>-0.53</v>
      </c>
    </row>
    <row r="102" spans="1:30">
      <c r="A102" s="99">
        <v>28581</v>
      </c>
      <c r="B102" s="119">
        <v>7.0382499999999997</v>
      </c>
      <c r="C102" s="120">
        <v>177.745</v>
      </c>
      <c r="D102" s="119">
        <v>26.430999999999994</v>
      </c>
      <c r="E102" s="120">
        <f t="shared" si="8"/>
        <v>0.13504000000000005</v>
      </c>
      <c r="F102" s="121">
        <f t="shared" si="9"/>
        <v>0.40531053393909899</v>
      </c>
      <c r="G102" s="127">
        <f t="shared" si="15"/>
        <v>5.8217308014879565E-3</v>
      </c>
      <c r="J102" s="122">
        <v>6.81</v>
      </c>
      <c r="K102" s="122">
        <v>188.75</v>
      </c>
      <c r="L102" s="122">
        <v>26.8</v>
      </c>
      <c r="M102" s="122">
        <f t="shared" si="19"/>
        <v>0.29050000000000065</v>
      </c>
      <c r="N102" s="123">
        <f t="shared" si="20"/>
        <v>0.41518202943454691</v>
      </c>
      <c r="O102" s="124">
        <f t="shared" si="12"/>
        <v>-0.22825000000000006</v>
      </c>
      <c r="P102" s="125">
        <f t="shared" si="21"/>
        <v>-2.9950000000000045</v>
      </c>
      <c r="Q102" s="124">
        <f t="shared" si="14"/>
        <v>0.36900000000000688</v>
      </c>
      <c r="U102" s="119"/>
      <c r="V102" s="119"/>
      <c r="W102" s="119"/>
      <c r="X102" s="126"/>
      <c r="Y102" s="119">
        <v>45274</v>
      </c>
      <c r="Z102" s="126">
        <v>-0.53</v>
      </c>
      <c r="AA102" s="108">
        <v>45274</v>
      </c>
      <c r="AB102" s="108">
        <v>-0.39</v>
      </c>
      <c r="AC102" s="108">
        <v>45274</v>
      </c>
      <c r="AD102" s="108">
        <v>-0.53</v>
      </c>
    </row>
    <row r="103" spans="1:30">
      <c r="A103" s="99">
        <v>28611</v>
      </c>
      <c r="B103" s="119">
        <v>7.14</v>
      </c>
      <c r="C103" s="120">
        <v>180.07727272727271</v>
      </c>
      <c r="D103" s="119">
        <v>27.074090909090909</v>
      </c>
      <c r="E103" s="120">
        <f t="shared" si="8"/>
        <v>0.16000454545454534</v>
      </c>
      <c r="F103" s="121">
        <f t="shared" si="9"/>
        <v>0.40796549939881732</v>
      </c>
      <c r="G103" s="127">
        <f t="shared" si="15"/>
        <v>2.6549654597183281E-3</v>
      </c>
      <c r="J103" s="122">
        <v>7.01</v>
      </c>
      <c r="K103" s="122">
        <v>194.9</v>
      </c>
      <c r="L103" s="122">
        <v>28.8</v>
      </c>
      <c r="M103" s="122">
        <f t="shared" si="19"/>
        <v>0.44580000000000108</v>
      </c>
      <c r="N103" s="123">
        <f t="shared" si="20"/>
        <v>0.42490410150486868</v>
      </c>
      <c r="O103" s="124">
        <f t="shared" si="12"/>
        <v>-0.12999999999999989</v>
      </c>
      <c r="P103" s="125">
        <f t="shared" si="21"/>
        <v>0.82272727272729185</v>
      </c>
      <c r="Q103" s="124">
        <f t="shared" si="14"/>
        <v>1.7259090909090915</v>
      </c>
      <c r="U103" s="119"/>
      <c r="V103" s="119"/>
      <c r="W103" s="119"/>
      <c r="X103" s="126"/>
      <c r="Y103" s="119">
        <v>45275</v>
      </c>
      <c r="Z103" s="126">
        <v>-0.53</v>
      </c>
      <c r="AA103" s="108">
        <v>45275</v>
      </c>
      <c r="AB103" s="108">
        <v>-0.39</v>
      </c>
      <c r="AC103" s="108">
        <v>45275</v>
      </c>
      <c r="AD103" s="108">
        <v>-0.53</v>
      </c>
    </row>
    <row r="104" spans="1:30">
      <c r="A104" s="99">
        <v>28642</v>
      </c>
      <c r="B104" s="119">
        <v>6.8694318181818197</v>
      </c>
      <c r="C104" s="120">
        <v>173.9636363636364</v>
      </c>
      <c r="D104" s="119">
        <v>25.945</v>
      </c>
      <c r="E104" s="120">
        <f t="shared" si="8"/>
        <v>0.15964545454545398</v>
      </c>
      <c r="F104" s="121">
        <f t="shared" si="9"/>
        <v>0.40602057557018023</v>
      </c>
      <c r="G104" s="127">
        <f t="shared" si="15"/>
        <v>-1.9449238286370907E-3</v>
      </c>
      <c r="J104" s="122">
        <v>6.76</v>
      </c>
      <c r="K104" s="122">
        <v>187.1</v>
      </c>
      <c r="L104" s="122">
        <v>26.9</v>
      </c>
      <c r="M104" s="122">
        <f t="shared" si="19"/>
        <v>0.31519999999999992</v>
      </c>
      <c r="N104" s="123">
        <f t="shared" si="20"/>
        <v>0.41822139303482586</v>
      </c>
      <c r="O104" s="124">
        <f t="shared" si="12"/>
        <v>-0.10943181818181991</v>
      </c>
      <c r="P104" s="125">
        <f t="shared" si="21"/>
        <v>-0.86363636363640239</v>
      </c>
      <c r="Q104" s="124">
        <f t="shared" si="14"/>
        <v>0.95499999999999829</v>
      </c>
      <c r="U104" s="119"/>
      <c r="V104" s="119"/>
      <c r="W104" s="119"/>
      <c r="X104" s="126"/>
      <c r="Y104" s="119">
        <v>45278</v>
      </c>
      <c r="Z104" s="126">
        <v>-0.43</v>
      </c>
      <c r="AA104" s="108">
        <v>45278</v>
      </c>
      <c r="AB104" s="108">
        <v>-0.39</v>
      </c>
      <c r="AC104" s="108">
        <v>45278</v>
      </c>
      <c r="AD104" s="108">
        <v>-0.53</v>
      </c>
    </row>
    <row r="105" spans="1:30">
      <c r="A105" s="99">
        <v>28672</v>
      </c>
      <c r="B105" s="119">
        <v>6.5045000000000002</v>
      </c>
      <c r="C105" s="120">
        <v>168.58</v>
      </c>
      <c r="D105" s="119">
        <v>24.210500000000003</v>
      </c>
      <c r="E105" s="120">
        <f t="shared" si="8"/>
        <v>0.20457500000000106</v>
      </c>
      <c r="F105" s="121">
        <f t="shared" si="9"/>
        <v>0.39694816349496764</v>
      </c>
      <c r="G105" s="127">
        <f t="shared" si="15"/>
        <v>-9.0724120752125881E-3</v>
      </c>
      <c r="J105" s="122">
        <v>6.62</v>
      </c>
      <c r="K105" s="122">
        <v>187.25</v>
      </c>
      <c r="L105" s="122">
        <v>25.9</v>
      </c>
      <c r="M105" s="122">
        <f t="shared" si="19"/>
        <v>0.34850000000000048</v>
      </c>
      <c r="N105" s="123">
        <f t="shared" si="20"/>
        <v>0.40883977900552487</v>
      </c>
      <c r="O105" s="124">
        <f t="shared" si="12"/>
        <v>0.11549999999999994</v>
      </c>
      <c r="P105" s="125">
        <f t="shared" si="21"/>
        <v>4.6699999999999875</v>
      </c>
      <c r="Q105" s="124">
        <f t="shared" si="14"/>
        <v>1.6894999999999953</v>
      </c>
      <c r="U105" s="119"/>
      <c r="V105" s="119"/>
      <c r="W105" s="119"/>
      <c r="X105" s="126"/>
      <c r="Y105" s="119">
        <v>45279</v>
      </c>
      <c r="Z105" s="126">
        <v>-0.43</v>
      </c>
      <c r="AA105" s="108">
        <v>45279</v>
      </c>
      <c r="AB105" s="108">
        <v>-0.39</v>
      </c>
      <c r="AC105" s="108">
        <v>45279</v>
      </c>
      <c r="AD105" s="108">
        <v>-0.55000000000000004</v>
      </c>
    </row>
    <row r="106" spans="1:30">
      <c r="A106" s="99">
        <v>28703</v>
      </c>
      <c r="B106" s="119">
        <v>6.3347826086956527</v>
      </c>
      <c r="C106" s="120">
        <v>165.44347826086954</v>
      </c>
      <c r="D106" s="119">
        <v>24.542173913043484</v>
      </c>
      <c r="E106" s="120">
        <f t="shared" si="8"/>
        <v>0.33549999999999969</v>
      </c>
      <c r="F106" s="121">
        <f t="shared" si="9"/>
        <v>0.40472634951260139</v>
      </c>
      <c r="G106" s="127">
        <f t="shared" si="15"/>
        <v>7.7781860176337481E-3</v>
      </c>
      <c r="J106" s="122">
        <v>6.47</v>
      </c>
      <c r="K106" s="122">
        <v>178.2</v>
      </c>
      <c r="L106" s="122">
        <v>26.3</v>
      </c>
      <c r="M106" s="122">
        <f t="shared" si="19"/>
        <v>0.34339999999999993</v>
      </c>
      <c r="N106" s="123">
        <f t="shared" si="20"/>
        <v>0.42460445592508883</v>
      </c>
      <c r="O106" s="124">
        <f t="shared" si="12"/>
        <v>0.13521739130434707</v>
      </c>
      <c r="P106" s="125">
        <f t="shared" si="21"/>
        <v>-1.2434782608695514</v>
      </c>
      <c r="Q106" s="124">
        <f t="shared" si="14"/>
        <v>1.7578260869565163</v>
      </c>
      <c r="U106" s="119"/>
      <c r="V106" s="119"/>
      <c r="W106" s="119"/>
      <c r="X106" s="126"/>
      <c r="Y106" s="119">
        <v>45280</v>
      </c>
      <c r="Z106" s="126">
        <v>-0.43</v>
      </c>
      <c r="AA106" s="108">
        <v>45280</v>
      </c>
      <c r="AB106" s="108">
        <v>-0.39</v>
      </c>
      <c r="AC106" s="108">
        <v>45280</v>
      </c>
      <c r="AD106" s="108">
        <v>-0.55000000000000004</v>
      </c>
    </row>
    <row r="107" spans="1:30">
      <c r="A107" s="99">
        <v>28734</v>
      </c>
      <c r="B107" s="119">
        <v>6.5096249999999998</v>
      </c>
      <c r="C107" s="120">
        <v>170.22499999999999</v>
      </c>
      <c r="D107" s="119">
        <v>25.606999999999999</v>
      </c>
      <c r="E107" s="120">
        <f t="shared" si="8"/>
        <v>0.39254500000000014</v>
      </c>
      <c r="F107" s="121">
        <f t="shared" si="9"/>
        <v>0.40809919199324268</v>
      </c>
      <c r="G107" s="127">
        <f t="shared" si="15"/>
        <v>3.3728424806412916E-3</v>
      </c>
      <c r="J107" s="122">
        <v>6.42</v>
      </c>
      <c r="K107" s="122">
        <v>178.25</v>
      </c>
      <c r="L107" s="122">
        <v>27.8</v>
      </c>
      <c r="M107" s="122">
        <f t="shared" si="19"/>
        <v>0.55949999999999989</v>
      </c>
      <c r="N107" s="123">
        <f t="shared" si="20"/>
        <v>0.43814026792750205</v>
      </c>
      <c r="O107" s="124">
        <f t="shared" si="12"/>
        <v>-8.9624999999999844E-2</v>
      </c>
      <c r="P107" s="125">
        <f t="shared" si="21"/>
        <v>-5.9749999999999943</v>
      </c>
      <c r="Q107" s="124">
        <f t="shared" si="14"/>
        <v>2.1930000000000014</v>
      </c>
      <c r="U107" s="119"/>
      <c r="V107" s="119"/>
      <c r="W107" s="119"/>
      <c r="X107" s="126"/>
      <c r="Y107" s="119">
        <v>45281</v>
      </c>
      <c r="Z107" s="126">
        <v>-0.44</v>
      </c>
      <c r="AA107" s="108">
        <v>45281</v>
      </c>
      <c r="AB107" s="108">
        <v>-0.39</v>
      </c>
      <c r="AC107" s="108">
        <v>45281</v>
      </c>
      <c r="AD107" s="108">
        <v>-0.55000000000000004</v>
      </c>
    </row>
    <row r="108" spans="1:30">
      <c r="A108" s="99">
        <v>28764</v>
      </c>
      <c r="B108" s="119">
        <v>6.8381249999999998</v>
      </c>
      <c r="C108" s="120">
        <v>185.12272727272725</v>
      </c>
      <c r="D108" s="119">
        <v>25.828181818181818</v>
      </c>
      <c r="E108" s="120">
        <f t="shared" si="8"/>
        <v>0.44592045454545381</v>
      </c>
      <c r="F108" s="121">
        <f t="shared" si="9"/>
        <v>0.39004424364582624</v>
      </c>
      <c r="G108" s="127">
        <f t="shared" si="15"/>
        <v>-1.8054948347416444E-2</v>
      </c>
      <c r="J108" s="122">
        <v>6.72</v>
      </c>
      <c r="K108" s="122">
        <v>191.7</v>
      </c>
      <c r="L108" s="122">
        <v>27.2</v>
      </c>
      <c r="M108" s="122">
        <f t="shared" si="19"/>
        <v>0.48939999999999984</v>
      </c>
      <c r="N108" s="123">
        <f t="shared" si="20"/>
        <v>0.41501373207201714</v>
      </c>
      <c r="O108" s="124">
        <f t="shared" si="12"/>
        <v>-0.11812500000000004</v>
      </c>
      <c r="P108" s="125">
        <f t="shared" si="21"/>
        <v>-7.4227272727272577</v>
      </c>
      <c r="Q108" s="124">
        <f t="shared" si="14"/>
        <v>1.3718181818181812</v>
      </c>
      <c r="U108" s="119"/>
      <c r="V108" s="119"/>
      <c r="W108" s="119"/>
      <c r="X108" s="126"/>
      <c r="Y108" s="119">
        <v>45282</v>
      </c>
      <c r="Z108" s="126">
        <v>-0.44</v>
      </c>
      <c r="AA108" s="108">
        <v>45282</v>
      </c>
      <c r="AB108" s="108">
        <v>-0.39</v>
      </c>
      <c r="AC108" s="108">
        <v>45282</v>
      </c>
      <c r="AD108" s="108">
        <v>-0.55000000000000004</v>
      </c>
    </row>
    <row r="109" spans="1:30">
      <c r="A109" s="99">
        <v>28795</v>
      </c>
      <c r="B109" s="119">
        <v>6.7987500000000001</v>
      </c>
      <c r="C109" s="120">
        <v>186.005</v>
      </c>
      <c r="D109" s="119">
        <v>24.427499999999998</v>
      </c>
      <c r="E109" s="120">
        <f t="shared" si="8"/>
        <v>0.35239499999999957</v>
      </c>
      <c r="F109" s="121">
        <f t="shared" si="9"/>
        <v>0.37574752015236718</v>
      </c>
      <c r="G109" s="127">
        <f t="shared" si="15"/>
        <v>-1.4296723493459063E-2</v>
      </c>
      <c r="J109" s="122">
        <v>6.68</v>
      </c>
      <c r="K109" s="122">
        <v>189.5</v>
      </c>
      <c r="L109" s="122">
        <v>24.9</v>
      </c>
      <c r="M109" s="122">
        <f t="shared" si="19"/>
        <v>0.22800000000000065</v>
      </c>
      <c r="N109" s="123">
        <f t="shared" si="20"/>
        <v>0.39649681528662417</v>
      </c>
      <c r="O109" s="124">
        <f t="shared" si="12"/>
        <v>-0.11875000000000036</v>
      </c>
      <c r="P109" s="125">
        <f t="shared" si="21"/>
        <v>-10.504999999999995</v>
      </c>
      <c r="Q109" s="124">
        <f t="shared" si="14"/>
        <v>0.47250000000000014</v>
      </c>
      <c r="U109" s="119"/>
      <c r="V109" s="119"/>
      <c r="W109" s="119"/>
      <c r="X109" s="126"/>
      <c r="Y109" s="119">
        <v>45286</v>
      </c>
      <c r="Z109" s="126">
        <v>-0.44</v>
      </c>
      <c r="AA109" s="108">
        <v>45286</v>
      </c>
      <c r="AB109" s="108">
        <v>-0.39</v>
      </c>
      <c r="AC109" s="108">
        <v>45286</v>
      </c>
      <c r="AD109" s="108">
        <v>-0.55000000000000004</v>
      </c>
    </row>
    <row r="110" spans="1:30">
      <c r="A110" s="99">
        <v>28825</v>
      </c>
      <c r="B110" s="119">
        <v>6.8382500000000004</v>
      </c>
      <c r="C110" s="120">
        <v>191.82</v>
      </c>
      <c r="D110" s="119">
        <v>24.885999999999999</v>
      </c>
      <c r="E110" s="120">
        <f t="shared" si="8"/>
        <v>0.50288999999999895</v>
      </c>
      <c r="F110" s="121">
        <f t="shared" si="9"/>
        <v>0.37289303841092802</v>
      </c>
      <c r="G110" s="127">
        <f t="shared" si="15"/>
        <v>-2.8544817414391521E-3</v>
      </c>
      <c r="J110" s="122">
        <v>6.81</v>
      </c>
      <c r="K110" s="122">
        <v>204.5</v>
      </c>
      <c r="L110" s="122">
        <v>25.8</v>
      </c>
      <c r="M110" s="122">
        <f t="shared" si="19"/>
        <v>0.52700000000000014</v>
      </c>
      <c r="N110" s="123">
        <f t="shared" si="20"/>
        <v>0.38680659670164919</v>
      </c>
      <c r="O110" s="124">
        <f t="shared" si="12"/>
        <v>-2.8250000000000774E-2</v>
      </c>
      <c r="P110" s="125">
        <f t="shared" si="21"/>
        <v>-1.3199999999999932</v>
      </c>
      <c r="Q110" s="124">
        <f t="shared" si="14"/>
        <v>0.91400000000000148</v>
      </c>
      <c r="U110" s="119"/>
      <c r="V110" s="119"/>
      <c r="W110" s="119"/>
      <c r="X110" s="126"/>
      <c r="Y110" s="119">
        <v>45287</v>
      </c>
      <c r="Z110" s="126">
        <v>-0.4</v>
      </c>
      <c r="AA110" s="108">
        <v>45287</v>
      </c>
      <c r="AB110" s="108">
        <v>-0.39</v>
      </c>
      <c r="AC110" s="108">
        <v>45287</v>
      </c>
      <c r="AD110" s="108">
        <v>-0.55000000000000004</v>
      </c>
    </row>
    <row r="111" spans="1:30">
      <c r="A111" s="99">
        <v>28856</v>
      </c>
      <c r="B111" s="119">
        <v>6.9894318181818171</v>
      </c>
      <c r="C111" s="120">
        <v>189.82272727272724</v>
      </c>
      <c r="D111" s="119">
        <v>25.074999999999999</v>
      </c>
      <c r="E111" s="120">
        <f t="shared" si="8"/>
        <v>0.32456363636363683</v>
      </c>
      <c r="F111" s="121">
        <f t="shared" si="9"/>
        <v>0.37711945777677791</v>
      </c>
      <c r="G111" s="127">
        <f t="shared" si="15"/>
        <v>4.2264193658498872E-3</v>
      </c>
      <c r="J111" s="122">
        <v>6.89</v>
      </c>
      <c r="K111" s="122">
        <v>200.6</v>
      </c>
      <c r="L111" s="122">
        <v>25.8</v>
      </c>
      <c r="M111" s="122">
        <f t="shared" si="19"/>
        <v>0.36120000000000019</v>
      </c>
      <c r="N111" s="123">
        <f t="shared" si="20"/>
        <v>0.39138349514563109</v>
      </c>
      <c r="O111" s="124">
        <f t="shared" si="12"/>
        <v>-9.9431818181817455E-2</v>
      </c>
      <c r="P111" s="125">
        <f t="shared" si="21"/>
        <v>-3.2227272727272407</v>
      </c>
      <c r="Q111" s="124">
        <f t="shared" si="14"/>
        <v>0.72500000000000142</v>
      </c>
      <c r="U111" s="119"/>
      <c r="V111" s="119"/>
      <c r="W111" s="119"/>
      <c r="X111" s="126"/>
      <c r="Y111" s="119">
        <v>45288</v>
      </c>
      <c r="Z111" s="126">
        <v>-0.4</v>
      </c>
      <c r="AA111" s="108">
        <v>45288</v>
      </c>
      <c r="AB111" s="108">
        <v>-0.39</v>
      </c>
      <c r="AC111" s="108">
        <v>45288</v>
      </c>
      <c r="AD111" s="108">
        <v>-0.55000000000000004</v>
      </c>
    </row>
    <row r="112" spans="1:30">
      <c r="A112" s="99">
        <v>28887</v>
      </c>
      <c r="B112" s="119">
        <v>7.454078947368421</v>
      </c>
      <c r="C112" s="120">
        <v>196.97894736842107</v>
      </c>
      <c r="D112" s="119">
        <v>27.29526315789473</v>
      </c>
      <c r="E112" s="120">
        <f t="shared" si="8"/>
        <v>0.27589473684210475</v>
      </c>
      <c r="F112" s="121">
        <f t="shared" si="9"/>
        <v>0.38842033233584911</v>
      </c>
      <c r="G112" s="127">
        <f t="shared" si="15"/>
        <v>1.1300874559071195E-2</v>
      </c>
      <c r="J112" s="122">
        <v>7.28</v>
      </c>
      <c r="K112" s="122">
        <v>206.6</v>
      </c>
      <c r="L112" s="122">
        <v>27.9</v>
      </c>
      <c r="M112" s="122">
        <f t="shared" si="19"/>
        <v>0.33420000000000005</v>
      </c>
      <c r="N112" s="123">
        <f t="shared" si="20"/>
        <v>0.40306269864201089</v>
      </c>
      <c r="O112" s="124">
        <f t="shared" si="12"/>
        <v>-0.17407894736842078</v>
      </c>
      <c r="P112" s="125">
        <f t="shared" si="21"/>
        <v>-4.3789473684210805</v>
      </c>
      <c r="Q112" s="124">
        <f t="shared" si="14"/>
        <v>0.60473684210526812</v>
      </c>
      <c r="U112" s="119"/>
      <c r="V112" s="119"/>
      <c r="W112" s="119"/>
      <c r="X112" s="126"/>
      <c r="Y112" s="119">
        <v>45289</v>
      </c>
      <c r="Z112" s="126">
        <v>-0.55000000000000004</v>
      </c>
      <c r="AA112" s="108">
        <v>45289</v>
      </c>
      <c r="AB112" s="108">
        <v>-0.39</v>
      </c>
      <c r="AC112" s="108">
        <v>45289</v>
      </c>
      <c r="AD112" s="108">
        <v>-0.6</v>
      </c>
    </row>
    <row r="113" spans="1:30">
      <c r="A113" s="99">
        <v>28915</v>
      </c>
      <c r="B113" s="119">
        <v>7.651136363636363</v>
      </c>
      <c r="C113" s="120">
        <v>200.41363636363639</v>
      </c>
      <c r="D113" s="119">
        <v>27.481363636363639</v>
      </c>
      <c r="E113" s="120">
        <f t="shared" si="8"/>
        <v>0.18174090909091056</v>
      </c>
      <c r="F113" s="121">
        <f t="shared" si="9"/>
        <v>0.38593097973402318</v>
      </c>
      <c r="G113" s="127">
        <f t="shared" si="15"/>
        <v>-2.4893526018259227E-3</v>
      </c>
      <c r="J113" s="122">
        <v>7.45</v>
      </c>
      <c r="K113" s="122">
        <v>210.5</v>
      </c>
      <c r="L113" s="122">
        <v>27.8</v>
      </c>
      <c r="M113" s="122">
        <f t="shared" si="19"/>
        <v>0.23899999999999988</v>
      </c>
      <c r="N113" s="123">
        <f t="shared" si="20"/>
        <v>0.39771101573676682</v>
      </c>
      <c r="O113" s="124">
        <f t="shared" si="12"/>
        <v>-0.20113636363636278</v>
      </c>
      <c r="P113" s="125">
        <f t="shared" si="21"/>
        <v>-3.9136363636363853</v>
      </c>
      <c r="Q113" s="124">
        <f t="shared" si="14"/>
        <v>0.31863636363636161</v>
      </c>
      <c r="U113" s="119"/>
      <c r="V113" s="119"/>
      <c r="W113" s="119"/>
      <c r="X113" s="126"/>
      <c r="Y113" s="119">
        <v>45293</v>
      </c>
      <c r="Z113" s="126">
        <v>-0.45</v>
      </c>
      <c r="AA113" s="108">
        <v>45293</v>
      </c>
      <c r="AB113" s="108">
        <v>-0.53</v>
      </c>
      <c r="AC113" s="108">
        <v>45293</v>
      </c>
      <c r="AD113" s="108">
        <v>-0.55000000000000004</v>
      </c>
    </row>
    <row r="114" spans="1:30">
      <c r="A114" s="99">
        <v>28946</v>
      </c>
      <c r="B114" s="119">
        <v>7.4043749999999999</v>
      </c>
      <c r="C114" s="120">
        <v>194.60499999999999</v>
      </c>
      <c r="D114" s="119">
        <v>26.434000000000005</v>
      </c>
      <c r="E114" s="120">
        <f t="shared" si="8"/>
        <v>0.17388500000000029</v>
      </c>
      <c r="F114" s="121">
        <f t="shared" si="9"/>
        <v>0.38369493788811682</v>
      </c>
      <c r="G114" s="127">
        <f t="shared" si="15"/>
        <v>-2.2360418459063669E-3</v>
      </c>
      <c r="J114" s="122">
        <v>7.27</v>
      </c>
      <c r="K114" s="122">
        <v>207.1</v>
      </c>
      <c r="L114" s="122">
        <v>26.7</v>
      </c>
      <c r="M114" s="122">
        <f t="shared" si="19"/>
        <v>0.22320000000000118</v>
      </c>
      <c r="N114" s="123">
        <f t="shared" si="20"/>
        <v>0.39195537287140342</v>
      </c>
      <c r="O114" s="124">
        <f t="shared" si="12"/>
        <v>-0.13437500000000036</v>
      </c>
      <c r="P114" s="125">
        <f t="shared" si="21"/>
        <v>-1.5049999999999955</v>
      </c>
      <c r="Q114" s="124">
        <f t="shared" si="14"/>
        <v>0.26599999999999469</v>
      </c>
      <c r="U114" s="119"/>
      <c r="V114" s="119"/>
      <c r="W114" s="119"/>
      <c r="X114" s="126"/>
      <c r="Y114" s="119">
        <v>45294</v>
      </c>
      <c r="Z114" s="126">
        <v>-0.45</v>
      </c>
      <c r="AA114" s="108">
        <v>45294</v>
      </c>
      <c r="AB114" s="108">
        <v>-0.53</v>
      </c>
      <c r="AC114" s="108">
        <v>45294</v>
      </c>
      <c r="AD114" s="108">
        <v>-0.55000000000000004</v>
      </c>
    </row>
    <row r="115" spans="1:30">
      <c r="A115" s="99">
        <v>28976</v>
      </c>
      <c r="B115" s="119">
        <v>7.3698863636363621</v>
      </c>
      <c r="C115" s="120">
        <v>194.93636363636361</v>
      </c>
      <c r="D115" s="119">
        <v>26.156363636363633</v>
      </c>
      <c r="E115" s="120">
        <f t="shared" si="8"/>
        <v>0.1857863636363648</v>
      </c>
      <c r="F115" s="121">
        <f t="shared" si="9"/>
        <v>0.38079997689875394</v>
      </c>
      <c r="G115" s="127">
        <f t="shared" si="15"/>
        <v>-2.8949609893628714E-3</v>
      </c>
      <c r="J115" s="122">
        <v>7.21</v>
      </c>
      <c r="K115" s="122">
        <v>205</v>
      </c>
      <c r="L115" s="122">
        <v>26.3</v>
      </c>
      <c r="M115" s="122">
        <f t="shared" si="19"/>
        <v>0.1930000000000005</v>
      </c>
      <c r="N115" s="123">
        <f t="shared" si="20"/>
        <v>0.39078751857355126</v>
      </c>
      <c r="O115" s="124">
        <f t="shared" si="12"/>
        <v>-0.15988636363636211</v>
      </c>
      <c r="P115" s="125">
        <f t="shared" si="21"/>
        <v>-3.936363636363609</v>
      </c>
      <c r="Q115" s="124">
        <f t="shared" si="14"/>
        <v>0.143636363636368</v>
      </c>
      <c r="U115" s="119"/>
      <c r="V115" s="119"/>
      <c r="W115" s="119"/>
      <c r="X115" s="126"/>
      <c r="Y115" s="119">
        <v>45295</v>
      </c>
      <c r="Z115" s="126">
        <v>-0.45</v>
      </c>
      <c r="AA115" s="108">
        <v>45295</v>
      </c>
      <c r="AB115" s="108">
        <v>-0.48</v>
      </c>
      <c r="AC115" s="108">
        <v>45295</v>
      </c>
      <c r="AD115" s="108">
        <v>-0.6</v>
      </c>
    </row>
    <row r="116" spans="1:30">
      <c r="A116" s="99">
        <v>29007</v>
      </c>
      <c r="B116" s="119">
        <v>7.8071428571428569</v>
      </c>
      <c r="C116" s="120">
        <v>211.29047619047617</v>
      </c>
      <c r="D116" s="119">
        <v>27.096190476190475</v>
      </c>
      <c r="E116" s="120">
        <f t="shared" si="8"/>
        <v>0.24440952380952297</v>
      </c>
      <c r="F116" s="121">
        <f t="shared" si="9"/>
        <v>0.37018711564643553</v>
      </c>
      <c r="G116" s="127">
        <f t="shared" si="15"/>
        <v>-1.0612861252318417E-2</v>
      </c>
      <c r="J116" s="122">
        <v>7.68</v>
      </c>
      <c r="K116" s="122"/>
      <c r="L116" s="122">
        <v>27.6</v>
      </c>
      <c r="M116" s="122"/>
      <c r="N116" s="123"/>
      <c r="O116" s="124">
        <f t="shared" si="12"/>
        <v>-0.12714285714285722</v>
      </c>
      <c r="P116" s="125"/>
      <c r="Q116" s="124">
        <f t="shared" si="14"/>
        <v>0.50380952380952593</v>
      </c>
      <c r="U116" s="119"/>
      <c r="V116" s="119"/>
      <c r="W116" s="119"/>
      <c r="X116" s="126"/>
      <c r="Y116" s="119">
        <v>45296</v>
      </c>
      <c r="Z116" s="126">
        <v>-0.45</v>
      </c>
      <c r="AA116" s="108">
        <v>45296</v>
      </c>
      <c r="AB116" s="108">
        <v>-0.5</v>
      </c>
      <c r="AC116" s="108">
        <v>45296</v>
      </c>
      <c r="AD116" s="108">
        <v>-0.6</v>
      </c>
    </row>
    <row r="117" spans="1:30">
      <c r="A117" s="99">
        <v>29037</v>
      </c>
      <c r="B117" s="119">
        <v>7.638571428571427</v>
      </c>
      <c r="C117" s="120">
        <v>203.8</v>
      </c>
      <c r="D117" s="119">
        <v>28.241428571428575</v>
      </c>
      <c r="E117" s="120">
        <f t="shared" si="8"/>
        <v>0.359185714285716</v>
      </c>
      <c r="F117" s="121">
        <f t="shared" si="9"/>
        <v>0.38842854157326251</v>
      </c>
      <c r="G117" s="127">
        <f t="shared" si="15"/>
        <v>1.8241425926826982E-2</v>
      </c>
      <c r="J117" s="122">
        <v>7.64</v>
      </c>
      <c r="K117" s="122">
        <v>220.9</v>
      </c>
      <c r="L117" s="122">
        <v>29.1</v>
      </c>
      <c r="M117" s="122">
        <f t="shared" ref="M117:M180" si="22">(K117/2000*44)+(L117/100*11)-J117</f>
        <v>0.42080000000000073</v>
      </c>
      <c r="N117" s="128">
        <f t="shared" ref="N117:N180" si="23">L117/100*11/(J117+M117)</f>
        <v>0.39710698689956336</v>
      </c>
      <c r="O117" s="124">
        <f t="shared" si="12"/>
        <v>1.4285714285726669E-3</v>
      </c>
      <c r="P117" s="125">
        <f t="shared" ref="P117:P180" si="24">K117-(C117+14)</f>
        <v>3.0999999999999943</v>
      </c>
      <c r="Q117" s="124">
        <f t="shared" si="14"/>
        <v>0.85857142857142676</v>
      </c>
      <c r="U117" s="119"/>
      <c r="V117" s="119"/>
      <c r="W117" s="119"/>
      <c r="X117" s="126"/>
      <c r="Y117" s="119">
        <v>45299</v>
      </c>
      <c r="Z117" s="126">
        <v>-0.45</v>
      </c>
      <c r="AA117" s="108">
        <v>45299</v>
      </c>
      <c r="AB117" s="108">
        <v>-0.5</v>
      </c>
      <c r="AC117" s="108">
        <v>45299</v>
      </c>
      <c r="AD117" s="108">
        <v>-0.6</v>
      </c>
    </row>
    <row r="118" spans="1:30">
      <c r="A118" s="99">
        <v>29068</v>
      </c>
      <c r="B118" s="119">
        <v>7.1752173913043462</v>
      </c>
      <c r="C118" s="120">
        <v>191.48260869565215</v>
      </c>
      <c r="D118" s="119">
        <v>27.756086956521738</v>
      </c>
      <c r="E118" s="120">
        <f t="shared" si="8"/>
        <v>0.47353478260869597</v>
      </c>
      <c r="F118" s="121">
        <f t="shared" si="9"/>
        <v>0.39917224349751856</v>
      </c>
      <c r="G118" s="127">
        <f t="shared" si="15"/>
        <v>1.0743701924256055E-2</v>
      </c>
      <c r="J118" s="122">
        <v>7.28</v>
      </c>
      <c r="K118" s="122">
        <v>205.25</v>
      </c>
      <c r="L118" s="122">
        <v>29.2</v>
      </c>
      <c r="M118" s="122">
        <f t="shared" si="22"/>
        <v>0.4474999999999989</v>
      </c>
      <c r="N118" s="128">
        <f t="shared" si="23"/>
        <v>0.41565836298932385</v>
      </c>
      <c r="O118" s="124">
        <f t="shared" si="12"/>
        <v>0.10478260869565403</v>
      </c>
      <c r="P118" s="125">
        <f t="shared" si="24"/>
        <v>-0.23260869565214648</v>
      </c>
      <c r="Q118" s="124">
        <f t="shared" si="14"/>
        <v>1.4439130434782612</v>
      </c>
      <c r="U118" s="119"/>
      <c r="V118" s="119"/>
      <c r="W118" s="119"/>
      <c r="X118" s="126"/>
      <c r="Y118" s="119">
        <v>45300</v>
      </c>
      <c r="Z118" s="126">
        <v>-0.4</v>
      </c>
      <c r="AA118" s="108">
        <v>45300</v>
      </c>
      <c r="AB118" s="108">
        <v>-0.5</v>
      </c>
      <c r="AC118" s="108">
        <v>45300</v>
      </c>
      <c r="AD118" s="108">
        <v>-0.6</v>
      </c>
    </row>
    <row r="119" spans="1:30">
      <c r="A119" s="99">
        <v>29099</v>
      </c>
      <c r="B119" s="119">
        <v>7.131842105263158</v>
      </c>
      <c r="C119" s="120">
        <v>189.96315789473684</v>
      </c>
      <c r="D119" s="119">
        <v>27.928421052631577</v>
      </c>
      <c r="E119" s="120">
        <f t="shared" si="8"/>
        <v>0.49939999999999962</v>
      </c>
      <c r="F119" s="121">
        <f t="shared" si="9"/>
        <v>0.40257225146489223</v>
      </c>
      <c r="G119" s="127">
        <f t="shared" si="15"/>
        <v>3.4000079673736638E-3</v>
      </c>
      <c r="J119" s="122">
        <v>7.04</v>
      </c>
      <c r="K119" s="122">
        <v>204.9</v>
      </c>
      <c r="L119" s="122">
        <v>30</v>
      </c>
      <c r="M119" s="122">
        <f t="shared" si="22"/>
        <v>0.76779999999999937</v>
      </c>
      <c r="N119" s="128">
        <f t="shared" si="23"/>
        <v>0.42265426880811496</v>
      </c>
      <c r="O119" s="124">
        <f t="shared" si="12"/>
        <v>-9.1842105263157947E-2</v>
      </c>
      <c r="P119" s="125">
        <f t="shared" si="24"/>
        <v>0.93684210526316747</v>
      </c>
      <c r="Q119" s="124">
        <f t="shared" si="14"/>
        <v>2.0715789473684225</v>
      </c>
      <c r="U119" s="119"/>
      <c r="V119" s="119"/>
      <c r="W119" s="119"/>
      <c r="X119" s="126"/>
      <c r="Y119" s="119">
        <v>45301</v>
      </c>
      <c r="Z119" s="126">
        <v>-0.4</v>
      </c>
      <c r="AA119" s="108">
        <v>45301</v>
      </c>
      <c r="AB119" s="108">
        <v>-0.48</v>
      </c>
      <c r="AC119" s="108">
        <v>45301</v>
      </c>
      <c r="AD119" s="108">
        <v>-0.6</v>
      </c>
    </row>
    <row r="120" spans="1:30">
      <c r="A120" s="99">
        <v>29129</v>
      </c>
      <c r="B120" s="119">
        <v>6.7183695652173903</v>
      </c>
      <c r="C120" s="120">
        <v>187.50434782608701</v>
      </c>
      <c r="D120" s="119">
        <v>26.10478260869565</v>
      </c>
      <c r="E120" s="120">
        <f t="shared" si="8"/>
        <v>0.65326086956521934</v>
      </c>
      <c r="F120" s="121">
        <f t="shared" si="9"/>
        <v>0.38953744525870321</v>
      </c>
      <c r="G120" s="127">
        <f t="shared" si="15"/>
        <v>-1.303480620618902E-2</v>
      </c>
      <c r="J120" s="122">
        <v>6.56</v>
      </c>
      <c r="K120" s="122">
        <v>197.8</v>
      </c>
      <c r="L120" s="122">
        <v>27.9</v>
      </c>
      <c r="M120" s="122">
        <f t="shared" si="22"/>
        <v>0.8606000000000007</v>
      </c>
      <c r="N120" s="128">
        <f t="shared" si="23"/>
        <v>0.41357841683960855</v>
      </c>
      <c r="O120" s="124">
        <f t="shared" si="12"/>
        <v>-0.15836956521739065</v>
      </c>
      <c r="P120" s="125">
        <f t="shared" si="24"/>
        <v>-3.7043478260870017</v>
      </c>
      <c r="Q120" s="124">
        <f t="shared" si="14"/>
        <v>1.7952173913043481</v>
      </c>
      <c r="U120" s="119"/>
      <c r="V120" s="119"/>
      <c r="W120" s="119"/>
      <c r="X120" s="126"/>
      <c r="Y120" s="119">
        <v>45302</v>
      </c>
      <c r="Z120" s="126">
        <v>-0.4</v>
      </c>
      <c r="AA120" s="108">
        <v>45302</v>
      </c>
      <c r="AB120" s="108">
        <v>-0.48</v>
      </c>
      <c r="AC120" s="108">
        <v>45302</v>
      </c>
      <c r="AD120" s="108">
        <v>-0.6</v>
      </c>
    </row>
    <row r="121" spans="1:30">
      <c r="A121" s="99">
        <v>29160</v>
      </c>
      <c r="B121" s="119">
        <v>6.7734523809523823</v>
      </c>
      <c r="C121" s="120">
        <v>190.67142857142861</v>
      </c>
      <c r="D121" s="119">
        <v>26.449523809523807</v>
      </c>
      <c r="E121" s="120">
        <f t="shared" si="8"/>
        <v>0.71210952380952275</v>
      </c>
      <c r="F121" s="121">
        <f t="shared" si="9"/>
        <v>0.38867457861737637</v>
      </c>
      <c r="G121" s="127">
        <f t="shared" si="15"/>
        <v>-8.6286664132684265E-4</v>
      </c>
      <c r="J121" s="122">
        <v>6.52</v>
      </c>
      <c r="K121" s="122">
        <v>197.4</v>
      </c>
      <c r="L121" s="122">
        <v>27.8</v>
      </c>
      <c r="M121" s="122">
        <f t="shared" si="22"/>
        <v>0.88080000000000069</v>
      </c>
      <c r="N121" s="128">
        <f t="shared" si="23"/>
        <v>0.41319857312722952</v>
      </c>
      <c r="O121" s="124">
        <f t="shared" si="12"/>
        <v>-0.25345238095238276</v>
      </c>
      <c r="P121" s="125">
        <f t="shared" si="24"/>
        <v>-7.2714285714286007</v>
      </c>
      <c r="Q121" s="124">
        <f t="shared" si="14"/>
        <v>1.3504761904761935</v>
      </c>
      <c r="U121" s="119"/>
      <c r="V121" s="119"/>
      <c r="W121" s="119"/>
      <c r="X121" s="126"/>
      <c r="Y121" s="119">
        <v>45303</v>
      </c>
      <c r="Z121" s="126">
        <v>-0.4</v>
      </c>
      <c r="AA121" s="108">
        <v>45303</v>
      </c>
      <c r="AB121" s="108">
        <v>-0.48</v>
      </c>
      <c r="AC121" s="108">
        <v>45303</v>
      </c>
      <c r="AD121" s="108">
        <v>-0.6</v>
      </c>
    </row>
    <row r="122" spans="1:30">
      <c r="A122" s="99">
        <v>29190</v>
      </c>
      <c r="B122" s="119">
        <v>6.6360526315789468</v>
      </c>
      <c r="C122" s="120">
        <v>189.8</v>
      </c>
      <c r="D122" s="119">
        <v>25.12157894736842</v>
      </c>
      <c r="E122" s="120">
        <f t="shared" si="8"/>
        <v>0.68252105263158036</v>
      </c>
      <c r="F122" s="121">
        <f t="shared" si="9"/>
        <v>0.37758363903233944</v>
      </c>
      <c r="G122" s="127">
        <f t="shared" si="15"/>
        <v>-1.109093958503693E-2</v>
      </c>
      <c r="J122" s="122">
        <v>6.53</v>
      </c>
      <c r="K122" s="122">
        <v>205.2</v>
      </c>
      <c r="L122" s="122">
        <v>26.2</v>
      </c>
      <c r="M122" s="122">
        <f t="shared" si="22"/>
        <v>0.86639999999999961</v>
      </c>
      <c r="N122" s="128">
        <f t="shared" si="23"/>
        <v>0.38964901844140393</v>
      </c>
      <c r="O122" s="124">
        <f t="shared" si="12"/>
        <v>-0.10605263157894651</v>
      </c>
      <c r="P122" s="125">
        <f t="shared" si="24"/>
        <v>1.3999999999999773</v>
      </c>
      <c r="Q122" s="124">
        <f t="shared" si="14"/>
        <v>1.0784210526315796</v>
      </c>
      <c r="U122" s="119"/>
      <c r="V122" s="119"/>
      <c r="W122" s="119"/>
      <c r="X122" s="126"/>
      <c r="Y122" s="119">
        <v>45307</v>
      </c>
      <c r="Z122" s="126">
        <v>-0.4</v>
      </c>
      <c r="AA122" s="108">
        <v>45307</v>
      </c>
      <c r="AB122" s="108">
        <v>-0.48</v>
      </c>
      <c r="AC122" s="108">
        <v>45307</v>
      </c>
      <c r="AD122" s="108">
        <v>-0.6</v>
      </c>
    </row>
    <row r="123" spans="1:30">
      <c r="A123" s="99">
        <v>29221</v>
      </c>
      <c r="B123" s="119">
        <v>6.6204999999999998</v>
      </c>
      <c r="C123" s="120">
        <v>185.14</v>
      </c>
      <c r="D123" s="119">
        <v>23.8005</v>
      </c>
      <c r="E123" s="120">
        <f t="shared" si="8"/>
        <v>0.44091500000000039</v>
      </c>
      <c r="F123" s="121">
        <f t="shared" si="9"/>
        <v>0.37075501156637869</v>
      </c>
      <c r="G123" s="127">
        <f t="shared" si="15"/>
        <v>-6.828627465960746E-3</v>
      </c>
      <c r="J123" s="122">
        <v>6.36</v>
      </c>
      <c r="K123" s="122">
        <v>194.8</v>
      </c>
      <c r="L123" s="122">
        <v>23.6</v>
      </c>
      <c r="M123" s="122">
        <f t="shared" si="22"/>
        <v>0.5215999999999994</v>
      </c>
      <c r="N123" s="128">
        <f t="shared" si="23"/>
        <v>0.37723785166240414</v>
      </c>
      <c r="O123" s="124">
        <f t="shared" si="12"/>
        <v>-0.26049999999999951</v>
      </c>
      <c r="P123" s="125">
        <f t="shared" si="24"/>
        <v>-4.339999999999975</v>
      </c>
      <c r="Q123" s="124">
        <f t="shared" si="14"/>
        <v>-0.20049999999999812</v>
      </c>
      <c r="U123" s="119"/>
      <c r="V123" s="119"/>
      <c r="W123" s="119"/>
      <c r="X123" s="126"/>
      <c r="Y123" s="119">
        <v>45308</v>
      </c>
      <c r="Z123" s="126">
        <v>-0.4</v>
      </c>
      <c r="AA123" s="108">
        <v>45308</v>
      </c>
      <c r="AB123" s="108">
        <v>-0.48</v>
      </c>
      <c r="AC123" s="108">
        <v>45308</v>
      </c>
      <c r="AD123" s="108">
        <v>-0.6</v>
      </c>
    </row>
    <row r="124" spans="1:30">
      <c r="A124" s="99">
        <v>29252</v>
      </c>
      <c r="B124" s="119">
        <v>6.5683750000000005</v>
      </c>
      <c r="C124" s="120">
        <v>179.86</v>
      </c>
      <c r="D124" s="119">
        <v>23.531500000000001</v>
      </c>
      <c r="E124" s="120">
        <f t="shared" si="8"/>
        <v>0.3367300000000002</v>
      </c>
      <c r="F124" s="121">
        <f t="shared" si="9"/>
        <v>0.37486251114211877</v>
      </c>
      <c r="G124" s="127">
        <f t="shared" si="15"/>
        <v>4.1074995757400812E-3</v>
      </c>
      <c r="J124" s="122">
        <v>6.42</v>
      </c>
      <c r="K124" s="122">
        <v>189.25</v>
      </c>
      <c r="L124" s="122">
        <v>23.4</v>
      </c>
      <c r="M124" s="122">
        <f t="shared" si="22"/>
        <v>0.31749999999999989</v>
      </c>
      <c r="N124" s="128">
        <f t="shared" si="23"/>
        <v>0.38204081632653059</v>
      </c>
      <c r="O124" s="124">
        <f t="shared" si="12"/>
        <v>-0.14837500000000059</v>
      </c>
      <c r="P124" s="125">
        <f t="shared" si="24"/>
        <v>-4.6100000000000136</v>
      </c>
      <c r="Q124" s="124">
        <f t="shared" si="14"/>
        <v>-0.13150000000000261</v>
      </c>
      <c r="U124" s="119"/>
      <c r="V124" s="119"/>
      <c r="W124" s="119"/>
      <c r="X124" s="126"/>
      <c r="Y124" s="119">
        <v>45309</v>
      </c>
      <c r="Z124" s="126">
        <v>-0.4</v>
      </c>
      <c r="AA124" s="108">
        <v>45309</v>
      </c>
      <c r="AB124" s="108">
        <v>-0.48</v>
      </c>
      <c r="AC124" s="108">
        <v>45309</v>
      </c>
      <c r="AD124" s="108">
        <v>-0.6</v>
      </c>
    </row>
    <row r="125" spans="1:30">
      <c r="A125" s="99">
        <v>29281</v>
      </c>
      <c r="B125" s="119">
        <v>6.3165476190476193</v>
      </c>
      <c r="C125" s="120">
        <v>173.35238095238097</v>
      </c>
      <c r="D125" s="119">
        <v>22.398095238095237</v>
      </c>
      <c r="E125" s="120">
        <f t="shared" si="8"/>
        <v>0.30770000000000053</v>
      </c>
      <c r="F125" s="121">
        <f t="shared" si="9"/>
        <v>0.37193514160098679</v>
      </c>
      <c r="G125" s="127">
        <f t="shared" si="15"/>
        <v>-2.9273695411319856E-3</v>
      </c>
      <c r="J125" s="122">
        <v>6.07</v>
      </c>
      <c r="K125" s="122">
        <v>180.4</v>
      </c>
      <c r="L125" s="122">
        <v>22.1</v>
      </c>
      <c r="M125" s="122">
        <f t="shared" si="22"/>
        <v>0.32979999999999965</v>
      </c>
      <c r="N125" s="128">
        <f t="shared" si="23"/>
        <v>0.37985562048814026</v>
      </c>
      <c r="O125" s="124">
        <f t="shared" si="12"/>
        <v>-0.24654761904761902</v>
      </c>
      <c r="P125" s="125">
        <f t="shared" si="24"/>
        <v>-6.9523809523809632</v>
      </c>
      <c r="Q125" s="124">
        <f t="shared" si="14"/>
        <v>-0.29809523809523597</v>
      </c>
      <c r="U125" s="119"/>
      <c r="V125" s="119"/>
      <c r="W125" s="119"/>
      <c r="X125" s="126"/>
      <c r="Y125" s="119">
        <v>45310</v>
      </c>
      <c r="Z125" s="126">
        <v>-0.38</v>
      </c>
      <c r="AA125" s="108">
        <v>45310</v>
      </c>
      <c r="AB125" s="108">
        <v>-0.48</v>
      </c>
      <c r="AC125" s="108">
        <v>45310</v>
      </c>
      <c r="AD125" s="108">
        <v>-0.6</v>
      </c>
    </row>
    <row r="126" spans="1:30">
      <c r="A126" s="99">
        <v>29312</v>
      </c>
      <c r="B126" s="119">
        <v>5.9378571428571423</v>
      </c>
      <c r="C126" s="120">
        <v>164.38095238095238</v>
      </c>
      <c r="D126" s="119">
        <v>20.463333333333335</v>
      </c>
      <c r="E126" s="120">
        <f t="shared" si="8"/>
        <v>0.25825238095238134</v>
      </c>
      <c r="F126" s="121">
        <f t="shared" si="9"/>
        <v>0.36328710104574069</v>
      </c>
      <c r="G126" s="127">
        <f t="shared" si="15"/>
        <v>-8.6480405552460948E-3</v>
      </c>
      <c r="J126" s="122">
        <v>5.8</v>
      </c>
      <c r="K126" s="122">
        <v>168</v>
      </c>
      <c r="L126" s="122">
        <v>20.3</v>
      </c>
      <c r="M126" s="122">
        <f t="shared" si="22"/>
        <v>0.12900000000000045</v>
      </c>
      <c r="N126" s="128">
        <f t="shared" si="23"/>
        <v>0.37662337662337664</v>
      </c>
      <c r="O126" s="124">
        <f t="shared" si="12"/>
        <v>-0.13785714285714246</v>
      </c>
      <c r="P126" s="125">
        <f t="shared" si="24"/>
        <v>-10.38095238095238</v>
      </c>
      <c r="Q126" s="124">
        <f t="shared" si="14"/>
        <v>-0.163333333333334</v>
      </c>
      <c r="U126" s="119"/>
      <c r="V126" s="119"/>
      <c r="W126" s="119"/>
      <c r="X126" s="126"/>
      <c r="Y126" s="119">
        <v>45313</v>
      </c>
      <c r="Z126" s="126">
        <v>-0.35</v>
      </c>
      <c r="AA126" s="108">
        <v>45313</v>
      </c>
      <c r="AB126" s="108">
        <v>-0.48</v>
      </c>
      <c r="AC126" s="108">
        <v>45313</v>
      </c>
      <c r="AD126" s="108">
        <v>-0.6</v>
      </c>
    </row>
    <row r="127" spans="1:30">
      <c r="A127" s="99">
        <v>29342</v>
      </c>
      <c r="B127" s="119">
        <v>6.2483333333333322</v>
      </c>
      <c r="C127" s="120">
        <v>173.69523809523812</v>
      </c>
      <c r="D127" s="119">
        <v>21.303333333333335</v>
      </c>
      <c r="E127" s="120">
        <f t="shared" si="8"/>
        <v>0.26371904761904919</v>
      </c>
      <c r="F127" s="121">
        <f t="shared" si="9"/>
        <v>0.35985070905156813</v>
      </c>
      <c r="G127" s="127">
        <f t="shared" si="15"/>
        <v>-3.4363919941725607E-3</v>
      </c>
      <c r="J127" s="122">
        <v>6.04</v>
      </c>
      <c r="K127" s="122">
        <v>180.75</v>
      </c>
      <c r="L127" s="122">
        <v>20.8</v>
      </c>
      <c r="M127" s="122">
        <f t="shared" si="22"/>
        <v>0.22449999999999992</v>
      </c>
      <c r="N127" s="128">
        <f t="shared" si="23"/>
        <v>0.36523266022827044</v>
      </c>
      <c r="O127" s="124">
        <f t="shared" si="12"/>
        <v>-0.20833333333333215</v>
      </c>
      <c r="P127" s="125">
        <f t="shared" si="24"/>
        <v>-6.9452380952381247</v>
      </c>
      <c r="Q127" s="124">
        <f t="shared" si="14"/>
        <v>-0.50333333333333385</v>
      </c>
      <c r="U127" s="119"/>
      <c r="V127" s="119"/>
      <c r="W127" s="119"/>
      <c r="X127" s="126"/>
      <c r="Y127" s="119">
        <v>45314</v>
      </c>
      <c r="Z127" s="126">
        <v>-0.35</v>
      </c>
      <c r="AA127" s="108">
        <v>45314</v>
      </c>
      <c r="AB127" s="108">
        <v>-0.48</v>
      </c>
      <c r="AC127" s="108">
        <v>45314</v>
      </c>
      <c r="AD127" s="108">
        <v>-0.6</v>
      </c>
    </row>
    <row r="128" spans="1:30">
      <c r="A128" s="99">
        <v>29373</v>
      </c>
      <c r="B128" s="119">
        <v>6.3308333333333344</v>
      </c>
      <c r="C128" s="120">
        <v>172.42380952380955</v>
      </c>
      <c r="D128" s="119">
        <v>21.997619047619054</v>
      </c>
      <c r="E128" s="120">
        <f t="shared" si="8"/>
        <v>0.22707619047619154</v>
      </c>
      <c r="F128" s="121">
        <f t="shared" si="9"/>
        <v>0.36898009746137167</v>
      </c>
      <c r="G128" s="127">
        <f t="shared" si="15"/>
        <v>9.1293884098035405E-3</v>
      </c>
      <c r="J128" s="122">
        <v>6.1</v>
      </c>
      <c r="K128" s="122">
        <v>175.1</v>
      </c>
      <c r="L128" s="122">
        <v>21.6</v>
      </c>
      <c r="M128" s="122">
        <f t="shared" si="22"/>
        <v>0.12820000000000142</v>
      </c>
      <c r="N128" s="128">
        <f t="shared" si="23"/>
        <v>0.38149063935005295</v>
      </c>
      <c r="O128" s="124">
        <f t="shared" si="12"/>
        <v>-0.23083333333333478</v>
      </c>
      <c r="P128" s="125">
        <f t="shared" si="24"/>
        <v>-11.323809523809558</v>
      </c>
      <c r="Q128" s="124">
        <f t="shared" si="14"/>
        <v>-0.39761904761905242</v>
      </c>
      <c r="U128" s="119"/>
      <c r="V128" s="119"/>
      <c r="W128" s="119"/>
      <c r="X128" s="126"/>
      <c r="Y128" s="119">
        <v>45315</v>
      </c>
      <c r="Z128" s="126">
        <v>-0.35</v>
      </c>
      <c r="AA128" s="108">
        <v>45315</v>
      </c>
      <c r="AB128" s="108">
        <v>-0.48</v>
      </c>
      <c r="AC128" s="108">
        <v>45315</v>
      </c>
      <c r="AD128" s="108">
        <v>-0.6</v>
      </c>
    </row>
    <row r="129" spans="1:30">
      <c r="A129" s="99">
        <v>29403</v>
      </c>
      <c r="B129" s="119">
        <v>7.4721590909090914</v>
      </c>
      <c r="C129" s="120">
        <v>202.7409090909091</v>
      </c>
      <c r="D129" s="119">
        <v>26.488636363636363</v>
      </c>
      <c r="E129" s="120">
        <f t="shared" si="8"/>
        <v>0.30737272727272735</v>
      </c>
      <c r="F129" s="121">
        <f t="shared" si="9"/>
        <v>0.37454053381338093</v>
      </c>
      <c r="G129" s="127">
        <f t="shared" si="15"/>
        <v>5.560436352009257E-3</v>
      </c>
      <c r="J129" s="122">
        <v>7.22</v>
      </c>
      <c r="K129" s="122">
        <v>202.1</v>
      </c>
      <c r="L129" s="122">
        <v>26.2</v>
      </c>
      <c r="M129" s="122">
        <f t="shared" si="22"/>
        <v>0.10820000000000096</v>
      </c>
      <c r="N129" s="128">
        <f t="shared" si="23"/>
        <v>0.39327529270489342</v>
      </c>
      <c r="O129" s="124">
        <f t="shared" si="12"/>
        <v>-0.25215909090909161</v>
      </c>
      <c r="P129" s="125">
        <f t="shared" si="24"/>
        <v>-14.640909090909105</v>
      </c>
      <c r="Q129" s="124">
        <f t="shared" si="14"/>
        <v>-0.28863636363636402</v>
      </c>
      <c r="U129" s="119"/>
      <c r="V129" s="119"/>
      <c r="W129" s="119"/>
      <c r="X129" s="126"/>
      <c r="Y129" s="119">
        <v>45316</v>
      </c>
      <c r="Z129" s="126">
        <v>-0.35</v>
      </c>
      <c r="AA129" s="108">
        <v>45316</v>
      </c>
      <c r="AB129" s="108">
        <v>-0.48</v>
      </c>
      <c r="AC129" s="108">
        <v>45316</v>
      </c>
      <c r="AD129" s="108">
        <v>-0.6</v>
      </c>
    </row>
    <row r="130" spans="1:30">
      <c r="A130" s="99">
        <v>29434</v>
      </c>
      <c r="B130" s="119">
        <v>7.6452380952380947</v>
      </c>
      <c r="C130" s="120">
        <v>214.38095238095238</v>
      </c>
      <c r="D130" s="119">
        <v>26.457142857142859</v>
      </c>
      <c r="E130" s="120">
        <f t="shared" si="8"/>
        <v>0.41019047619047644</v>
      </c>
      <c r="F130" s="121">
        <f t="shared" si="9"/>
        <v>0.36128254238490459</v>
      </c>
      <c r="G130" s="127">
        <f t="shared" si="15"/>
        <v>-1.3257991428476334E-2</v>
      </c>
      <c r="J130" s="122">
        <v>7.45</v>
      </c>
      <c r="K130" s="122">
        <v>222.1</v>
      </c>
      <c r="L130" s="122">
        <v>25.9</v>
      </c>
      <c r="M130" s="122">
        <f t="shared" si="22"/>
        <v>0.28519999999999968</v>
      </c>
      <c r="N130" s="128">
        <f t="shared" si="23"/>
        <v>0.36831626848691701</v>
      </c>
      <c r="O130" s="124">
        <f t="shared" si="12"/>
        <v>-0.19523809523809454</v>
      </c>
      <c r="P130" s="125">
        <f t="shared" si="24"/>
        <v>-6.2809523809523853</v>
      </c>
      <c r="Q130" s="124">
        <f t="shared" si="14"/>
        <v>-0.55714285714286049</v>
      </c>
      <c r="U130" s="119"/>
      <c r="V130" s="119"/>
      <c r="W130" s="119"/>
      <c r="X130" s="126"/>
      <c r="Y130" s="119">
        <v>45317</v>
      </c>
      <c r="Z130" s="126">
        <v>-0.35</v>
      </c>
      <c r="AA130" s="108">
        <v>45317</v>
      </c>
      <c r="AB130" s="108">
        <v>-0.48</v>
      </c>
      <c r="AC130" s="108">
        <v>45317</v>
      </c>
      <c r="AD130" s="108">
        <v>-0.6</v>
      </c>
    </row>
    <row r="131" spans="1:30">
      <c r="A131" s="99">
        <v>29465</v>
      </c>
      <c r="B131" s="119">
        <v>8.3860714285714302</v>
      </c>
      <c r="C131" s="120">
        <v>240.26190476190476</v>
      </c>
      <c r="D131" s="119">
        <v>26.912380952380957</v>
      </c>
      <c r="E131" s="120">
        <f t="shared" ref="E131:E194" si="25">(C131/2000*48)+(D131/100*11)-B131</f>
        <v>0.34057619047618815</v>
      </c>
      <c r="F131" s="121">
        <f t="shared" ref="F131:F194" si="26">D131/100*11/(B131+E131)</f>
        <v>0.33923243311673723</v>
      </c>
      <c r="G131" s="127">
        <f t="shared" si="15"/>
        <v>-2.2050109268167362E-2</v>
      </c>
      <c r="J131" s="122">
        <v>8.1300000000000008</v>
      </c>
      <c r="K131" s="122">
        <v>251.7</v>
      </c>
      <c r="L131" s="122">
        <v>26.1</v>
      </c>
      <c r="M131" s="122">
        <f t="shared" si="22"/>
        <v>0.27839999999999954</v>
      </c>
      <c r="N131" s="128">
        <f t="shared" si="23"/>
        <v>0.34144427001569855</v>
      </c>
      <c r="O131" s="124">
        <f t="shared" ref="O131:O194" si="27">J131-B131</f>
        <v>-0.25607142857142939</v>
      </c>
      <c r="P131" s="125">
        <f t="shared" si="24"/>
        <v>-2.5619047619047706</v>
      </c>
      <c r="Q131" s="124">
        <f t="shared" ref="Q131:Q194" si="28">L131-D131</f>
        <v>-0.81238095238095553</v>
      </c>
      <c r="U131" s="119"/>
      <c r="V131" s="119"/>
      <c r="W131" s="119"/>
      <c r="X131" s="126"/>
      <c r="Y131" s="119">
        <v>45320</v>
      </c>
      <c r="Z131" s="126">
        <v>-0.35</v>
      </c>
      <c r="AA131" s="108">
        <v>45320</v>
      </c>
      <c r="AB131" s="108">
        <v>-0.48</v>
      </c>
      <c r="AC131" s="108">
        <v>45320</v>
      </c>
      <c r="AD131" s="108">
        <v>-0.55000000000000004</v>
      </c>
    </row>
    <row r="132" spans="1:30">
      <c r="A132" s="99">
        <v>29495</v>
      </c>
      <c r="B132" s="119">
        <v>8.5722826086956516</v>
      </c>
      <c r="C132" s="120">
        <v>261.19565217391306</v>
      </c>
      <c r="D132" s="119">
        <v>26.295652173913048</v>
      </c>
      <c r="E132" s="120">
        <f t="shared" si="25"/>
        <v>0.58893478260869614</v>
      </c>
      <c r="F132" s="121">
        <f t="shared" si="26"/>
        <v>0.31573552024602775</v>
      </c>
      <c r="G132" s="127">
        <f t="shared" ref="G132:G195" si="29">F132-F131</f>
        <v>-2.3496912870709485E-2</v>
      </c>
      <c r="J132" s="122">
        <v>8.27</v>
      </c>
      <c r="K132" s="122">
        <v>262.60000000000002</v>
      </c>
      <c r="L132" s="122">
        <v>25.05</v>
      </c>
      <c r="M132" s="122">
        <f t="shared" si="22"/>
        <v>0.2627000000000006</v>
      </c>
      <c r="N132" s="128">
        <f t="shared" si="23"/>
        <v>0.32293412401701688</v>
      </c>
      <c r="O132" s="124">
        <f t="shared" si="27"/>
        <v>-0.30228260869565204</v>
      </c>
      <c r="P132" s="125">
        <f t="shared" si="24"/>
        <v>-12.595652173913038</v>
      </c>
      <c r="Q132" s="124">
        <f t="shared" si="28"/>
        <v>-1.2456521739130473</v>
      </c>
      <c r="U132" s="119"/>
      <c r="V132" s="119"/>
      <c r="W132" s="119"/>
      <c r="X132" s="126"/>
      <c r="Y132" s="119">
        <v>45321</v>
      </c>
      <c r="Z132" s="126">
        <v>-0.35</v>
      </c>
      <c r="AA132" s="108">
        <v>45321</v>
      </c>
      <c r="AB132" s="108">
        <v>-0.45</v>
      </c>
      <c r="AC132" s="108">
        <v>45321</v>
      </c>
      <c r="AD132" s="108">
        <v>-0.55000000000000004</v>
      </c>
    </row>
    <row r="133" spans="1:30">
      <c r="A133" s="99">
        <v>29526</v>
      </c>
      <c r="B133" s="119">
        <v>9.254305555555554</v>
      </c>
      <c r="C133" s="120">
        <v>274.57777777777778</v>
      </c>
      <c r="D133" s="119">
        <v>27.90388888888889</v>
      </c>
      <c r="E133" s="120">
        <f t="shared" si="25"/>
        <v>0.40498888888889084</v>
      </c>
      <c r="F133" s="121">
        <f t="shared" si="26"/>
        <v>0.31776935628493685</v>
      </c>
      <c r="G133" s="127">
        <f t="shared" si="29"/>
        <v>2.0338360389091092E-3</v>
      </c>
      <c r="J133" s="122">
        <v>8.91</v>
      </c>
      <c r="K133" s="122">
        <v>277.10000000000002</v>
      </c>
      <c r="L133" s="122">
        <v>26.69</v>
      </c>
      <c r="M133" s="122">
        <f t="shared" si="22"/>
        <v>0.12209999999999965</v>
      </c>
      <c r="N133" s="128">
        <f t="shared" si="23"/>
        <v>0.32505175983436857</v>
      </c>
      <c r="O133" s="124">
        <f t="shared" si="27"/>
        <v>-0.34430555555555387</v>
      </c>
      <c r="P133" s="125">
        <f t="shared" si="24"/>
        <v>-11.47777777777776</v>
      </c>
      <c r="Q133" s="124">
        <f t="shared" si="28"/>
        <v>-1.2138888888888886</v>
      </c>
      <c r="U133" s="119"/>
      <c r="V133" s="119"/>
      <c r="W133" s="119"/>
      <c r="X133" s="126"/>
      <c r="Y133" s="119">
        <v>45322</v>
      </c>
      <c r="Z133" s="126">
        <v>-0.35</v>
      </c>
      <c r="AA133" s="108">
        <v>45322</v>
      </c>
      <c r="AB133" s="108">
        <v>-0.45</v>
      </c>
      <c r="AC133" s="108">
        <v>45322</v>
      </c>
      <c r="AD133" s="108">
        <v>-0.55000000000000004</v>
      </c>
    </row>
    <row r="134" spans="1:30">
      <c r="A134" s="99">
        <v>29556</v>
      </c>
      <c r="B134" s="119">
        <v>7.9809523809523792</v>
      </c>
      <c r="C134" s="120">
        <v>235.92380952380947</v>
      </c>
      <c r="D134" s="119">
        <v>25.045238095238091</v>
      </c>
      <c r="E134" s="120">
        <f t="shared" si="25"/>
        <v>0.43619523809523919</v>
      </c>
      <c r="F134" s="121">
        <f t="shared" si="26"/>
        <v>0.32730520066462959</v>
      </c>
      <c r="G134" s="127">
        <f t="shared" si="29"/>
        <v>9.5358443796927372E-3</v>
      </c>
      <c r="J134" s="122">
        <v>7.73</v>
      </c>
      <c r="K134" s="122">
        <v>239.1</v>
      </c>
      <c r="L134" s="122">
        <v>23.67</v>
      </c>
      <c r="M134" s="122">
        <f t="shared" si="22"/>
        <v>0.13390000000000057</v>
      </c>
      <c r="N134" s="128">
        <f t="shared" si="23"/>
        <v>0.3310952580780529</v>
      </c>
      <c r="O134" s="124">
        <f t="shared" si="27"/>
        <v>-0.25095238095237882</v>
      </c>
      <c r="P134" s="125">
        <f t="shared" si="24"/>
        <v>-10.823809523809473</v>
      </c>
      <c r="Q134" s="124">
        <f t="shared" si="28"/>
        <v>-1.3752380952380889</v>
      </c>
      <c r="U134" s="119"/>
      <c r="V134" s="119"/>
      <c r="W134" s="119"/>
      <c r="X134" s="126"/>
      <c r="Y134" s="119">
        <v>45323</v>
      </c>
      <c r="Z134" s="126">
        <v>-0.33</v>
      </c>
      <c r="AA134" s="108">
        <v>45323</v>
      </c>
      <c r="AB134" s="108">
        <v>-0.43</v>
      </c>
      <c r="AC134" s="108">
        <v>45323</v>
      </c>
      <c r="AD134" s="108">
        <v>-0.48</v>
      </c>
    </row>
    <row r="135" spans="1:30">
      <c r="A135" s="99">
        <v>29587</v>
      </c>
      <c r="B135" s="119">
        <v>7.8611904761904752</v>
      </c>
      <c r="C135" s="120">
        <v>229.97142857142865</v>
      </c>
      <c r="D135" s="119">
        <v>24.524761904761899</v>
      </c>
      <c r="E135" s="120">
        <f t="shared" si="25"/>
        <v>0.35584761904762008</v>
      </c>
      <c r="F135" s="121">
        <f t="shared" si="26"/>
        <v>0.32830854357206679</v>
      </c>
      <c r="G135" s="127">
        <f t="shared" si="29"/>
        <v>1.0033429074371991E-3</v>
      </c>
      <c r="J135" s="122">
        <v>7.57</v>
      </c>
      <c r="K135" s="122">
        <v>240</v>
      </c>
      <c r="L135" s="122">
        <v>21.98</v>
      </c>
      <c r="M135" s="122">
        <f t="shared" si="22"/>
        <v>0.1277999999999988</v>
      </c>
      <c r="N135" s="128">
        <f t="shared" si="23"/>
        <v>0.31408973992569306</v>
      </c>
      <c r="O135" s="124">
        <f t="shared" si="27"/>
        <v>-0.29119047619047489</v>
      </c>
      <c r="P135" s="125">
        <f t="shared" si="24"/>
        <v>-3.9714285714286461</v>
      </c>
      <c r="Q135" s="124">
        <f t="shared" si="28"/>
        <v>-2.5447619047618986</v>
      </c>
      <c r="U135" s="119"/>
      <c r="V135" s="119"/>
      <c r="W135" s="119"/>
      <c r="X135" s="126"/>
      <c r="Y135" s="119">
        <v>45324</v>
      </c>
      <c r="Z135" s="126">
        <v>-0.33</v>
      </c>
      <c r="AA135" s="108">
        <v>45324</v>
      </c>
      <c r="AB135" s="108">
        <v>-0.45</v>
      </c>
      <c r="AC135" s="108">
        <v>45324</v>
      </c>
      <c r="AD135" s="108">
        <v>-0.48</v>
      </c>
    </row>
    <row r="136" spans="1:30">
      <c r="A136" s="99">
        <v>29618</v>
      </c>
      <c r="B136" s="119">
        <v>7.5018421052631581</v>
      </c>
      <c r="C136" s="120">
        <v>215.76842105263151</v>
      </c>
      <c r="D136" s="119">
        <v>23.816842105263152</v>
      </c>
      <c r="E136" s="120">
        <f t="shared" si="25"/>
        <v>0.29645263157894419</v>
      </c>
      <c r="F136" s="121">
        <f t="shared" si="26"/>
        <v>0.33595198950377819</v>
      </c>
      <c r="G136" s="127">
        <f t="shared" si="29"/>
        <v>7.6434459317114012E-3</v>
      </c>
      <c r="J136" s="122">
        <v>7.34</v>
      </c>
      <c r="K136" s="122">
        <v>229</v>
      </c>
      <c r="L136" s="122">
        <v>21.98</v>
      </c>
      <c r="M136" s="122">
        <f t="shared" si="22"/>
        <v>0.11580000000000013</v>
      </c>
      <c r="N136" s="128">
        <f t="shared" si="23"/>
        <v>0.32428444969017406</v>
      </c>
      <c r="O136" s="124">
        <f t="shared" si="27"/>
        <v>-0.16184210526315823</v>
      </c>
      <c r="P136" s="125">
        <f t="shared" si="24"/>
        <v>-0.76842105263150984</v>
      </c>
      <c r="Q136" s="124">
        <f t="shared" si="28"/>
        <v>-1.8368421052631518</v>
      </c>
      <c r="U136" s="119"/>
      <c r="V136" s="119"/>
      <c r="W136" s="119"/>
      <c r="X136" s="126"/>
      <c r="Y136" s="119">
        <v>45327</v>
      </c>
      <c r="Z136" s="126">
        <v>-0.33</v>
      </c>
      <c r="AA136" s="108">
        <v>45327</v>
      </c>
      <c r="AB136" s="108">
        <v>-0.45</v>
      </c>
      <c r="AC136" s="108">
        <v>45327</v>
      </c>
      <c r="AD136" s="108">
        <v>-0.48</v>
      </c>
    </row>
    <row r="137" spans="1:30">
      <c r="A137" s="99">
        <v>29646</v>
      </c>
      <c r="B137" s="119">
        <v>7.5554545454545456</v>
      </c>
      <c r="C137" s="120">
        <v>214.70454545454547</v>
      </c>
      <c r="D137" s="119">
        <v>24.479090909090907</v>
      </c>
      <c r="E137" s="120">
        <f t="shared" si="25"/>
        <v>0.29015454545454489</v>
      </c>
      <c r="F137" s="121">
        <f t="shared" si="26"/>
        <v>0.34321108390680594</v>
      </c>
      <c r="G137" s="127">
        <f t="shared" si="29"/>
        <v>7.2590944030277438E-3</v>
      </c>
      <c r="J137" s="122">
        <v>7.37</v>
      </c>
      <c r="K137" s="122">
        <v>226</v>
      </c>
      <c r="L137" s="119">
        <v>23.1</v>
      </c>
      <c r="M137" s="122">
        <f t="shared" si="22"/>
        <v>0.14299999999999979</v>
      </c>
      <c r="N137" s="128">
        <f t="shared" si="23"/>
        <v>0.33821376281112736</v>
      </c>
      <c r="O137" s="124">
        <f t="shared" si="27"/>
        <v>-0.18545454545454554</v>
      </c>
      <c r="P137" s="125">
        <f t="shared" si="24"/>
        <v>-2.7045454545454675</v>
      </c>
      <c r="Q137" s="124">
        <f t="shared" si="28"/>
        <v>-1.3790909090909054</v>
      </c>
      <c r="U137" s="119"/>
      <c r="V137" s="119"/>
      <c r="W137" s="119"/>
      <c r="X137" s="126"/>
      <c r="Y137" s="119">
        <v>45328</v>
      </c>
      <c r="Z137" s="126">
        <v>-0.33</v>
      </c>
      <c r="AA137" s="108">
        <v>45328</v>
      </c>
      <c r="AB137" s="108">
        <v>-0.45</v>
      </c>
      <c r="AC137" s="108">
        <v>45328</v>
      </c>
      <c r="AD137" s="108">
        <v>-0.53</v>
      </c>
    </row>
    <row r="138" spans="1:30">
      <c r="A138" s="99">
        <v>29677</v>
      </c>
      <c r="B138" s="119">
        <v>7.8446428571428566</v>
      </c>
      <c r="C138" s="120">
        <v>224.50476190476192</v>
      </c>
      <c r="D138" s="119">
        <v>24.484761904761907</v>
      </c>
      <c r="E138" s="120">
        <f t="shared" si="25"/>
        <v>0.2367952380952385</v>
      </c>
      <c r="F138" s="121">
        <f t="shared" si="26"/>
        <v>0.33327283804980495</v>
      </c>
      <c r="G138" s="127">
        <f t="shared" si="29"/>
        <v>-9.9382458570009824E-3</v>
      </c>
      <c r="J138" s="122">
        <v>7.72</v>
      </c>
      <c r="K138" s="122">
        <v>238.5</v>
      </c>
      <c r="L138" s="122">
        <v>23.4</v>
      </c>
      <c r="M138" s="122">
        <f t="shared" si="22"/>
        <v>0.10099999999999998</v>
      </c>
      <c r="N138" s="128">
        <f t="shared" si="23"/>
        <v>0.32911392405063289</v>
      </c>
      <c r="O138" s="124">
        <f t="shared" si="27"/>
        <v>-0.12464285714285683</v>
      </c>
      <c r="P138" s="125">
        <f t="shared" si="24"/>
        <v>-4.7619047619207322E-3</v>
      </c>
      <c r="Q138" s="124">
        <f t="shared" si="28"/>
        <v>-1.0847619047619084</v>
      </c>
      <c r="U138" s="119"/>
      <c r="V138" s="119"/>
      <c r="W138" s="119"/>
      <c r="X138" s="126"/>
      <c r="Y138" s="119">
        <v>45329</v>
      </c>
      <c r="Z138" s="126">
        <v>-0.33</v>
      </c>
      <c r="AA138" s="108">
        <v>45329</v>
      </c>
      <c r="AB138" s="108">
        <v>-0.45</v>
      </c>
      <c r="AC138" s="108">
        <v>45329</v>
      </c>
      <c r="AD138" s="108">
        <v>-0.53</v>
      </c>
    </row>
    <row r="139" spans="1:30">
      <c r="A139" s="99">
        <v>29707</v>
      </c>
      <c r="B139" s="119">
        <v>7.7051250000000007</v>
      </c>
      <c r="C139" s="120">
        <v>222.17</v>
      </c>
      <c r="D139" s="119">
        <v>23.736499999999999</v>
      </c>
      <c r="E139" s="120">
        <f t="shared" si="25"/>
        <v>0.2379699999999989</v>
      </c>
      <c r="F139" s="121">
        <f t="shared" si="26"/>
        <v>0.32871506635637621</v>
      </c>
      <c r="G139" s="127">
        <f t="shared" si="29"/>
        <v>-4.5577716934287471E-3</v>
      </c>
      <c r="J139" s="122">
        <v>7.58</v>
      </c>
      <c r="K139" s="122">
        <v>237.5</v>
      </c>
      <c r="L139" s="122">
        <v>21.57</v>
      </c>
      <c r="M139" s="122">
        <f t="shared" si="22"/>
        <v>1.7699999999999605E-2</v>
      </c>
      <c r="N139" s="128">
        <f t="shared" si="23"/>
        <v>0.31229187780512524</v>
      </c>
      <c r="O139" s="124">
        <f t="shared" si="27"/>
        <v>-0.1251250000000006</v>
      </c>
      <c r="P139" s="125">
        <f t="shared" si="24"/>
        <v>1.3300000000000125</v>
      </c>
      <c r="Q139" s="124">
        <f t="shared" si="28"/>
        <v>-2.1664999999999992</v>
      </c>
      <c r="U139" s="119"/>
      <c r="V139" s="119"/>
      <c r="W139" s="119"/>
      <c r="X139" s="126"/>
      <c r="Y139" s="119">
        <v>45330</v>
      </c>
      <c r="Z139" s="126">
        <v>-0.33</v>
      </c>
      <c r="AA139" s="108">
        <v>45330</v>
      </c>
      <c r="AB139" s="108">
        <v>-0.45</v>
      </c>
      <c r="AC139" s="108">
        <v>45330</v>
      </c>
      <c r="AD139" s="108">
        <v>-0.53</v>
      </c>
    </row>
    <row r="140" spans="1:30">
      <c r="A140" s="99">
        <v>29738</v>
      </c>
      <c r="B140" s="119">
        <v>7.2107954545454556</v>
      </c>
      <c r="C140" s="120">
        <v>206.05909090909088</v>
      </c>
      <c r="D140" s="119">
        <v>22.375</v>
      </c>
      <c r="E140" s="120">
        <f t="shared" si="25"/>
        <v>0.19587272727272609</v>
      </c>
      <c r="F140" s="121">
        <f t="shared" si="26"/>
        <v>0.33230191222037636</v>
      </c>
      <c r="G140" s="127">
        <f t="shared" si="29"/>
        <v>3.5868458640001544E-3</v>
      </c>
      <c r="J140" s="122">
        <v>7.13</v>
      </c>
      <c r="K140" s="122">
        <v>221.9</v>
      </c>
      <c r="L140" s="122">
        <v>21.34</v>
      </c>
      <c r="M140" s="122">
        <f t="shared" si="22"/>
        <v>9.9200000000000621E-2</v>
      </c>
      <c r="N140" s="128">
        <f t="shared" si="23"/>
        <v>0.32471089470480824</v>
      </c>
      <c r="O140" s="124">
        <f t="shared" si="27"/>
        <v>-8.0795454545455669E-2</v>
      </c>
      <c r="P140" s="125">
        <f t="shared" si="24"/>
        <v>1.8409090909091219</v>
      </c>
      <c r="Q140" s="124">
        <f t="shared" si="28"/>
        <v>-1.0350000000000001</v>
      </c>
      <c r="U140" s="119"/>
      <c r="V140" s="119"/>
      <c r="W140" s="119"/>
      <c r="X140" s="126"/>
      <c r="Y140" s="119">
        <v>45331</v>
      </c>
      <c r="Z140" s="126">
        <v>-0.33</v>
      </c>
      <c r="AA140" s="108">
        <v>45331</v>
      </c>
      <c r="AB140" s="108">
        <v>-0.45</v>
      </c>
      <c r="AC140" s="108">
        <v>45331</v>
      </c>
      <c r="AD140" s="108">
        <v>-0.53</v>
      </c>
    </row>
    <row r="141" spans="1:30">
      <c r="A141" s="99">
        <v>29768</v>
      </c>
      <c r="B141" s="119">
        <v>7.3395454545454548</v>
      </c>
      <c r="C141" s="120">
        <v>207.29545454545453</v>
      </c>
      <c r="D141" s="119">
        <v>23.470909090909092</v>
      </c>
      <c r="E141" s="120">
        <f t="shared" si="25"/>
        <v>0.21734545454545451</v>
      </c>
      <c r="F141" s="121">
        <f t="shared" si="26"/>
        <v>0.34164844127815913</v>
      </c>
      <c r="G141" s="127">
        <f t="shared" si="29"/>
        <v>9.3465290577827709E-3</v>
      </c>
      <c r="J141" s="122">
        <v>7.36</v>
      </c>
      <c r="K141" s="122">
        <v>222.6</v>
      </c>
      <c r="L141" s="122">
        <v>22.82</v>
      </c>
      <c r="M141" s="122">
        <f t="shared" si="22"/>
        <v>4.7399999999999665E-2</v>
      </c>
      <c r="N141" s="128">
        <f t="shared" si="23"/>
        <v>0.3388773388773389</v>
      </c>
      <c r="O141" s="124">
        <f t="shared" si="27"/>
        <v>2.0454545454545503E-2</v>
      </c>
      <c r="P141" s="125">
        <f t="shared" si="24"/>
        <v>1.3045454545454618</v>
      </c>
      <c r="Q141" s="124">
        <f t="shared" si="28"/>
        <v>-0.65090909090909221</v>
      </c>
      <c r="U141" s="119"/>
      <c r="V141" s="119"/>
      <c r="W141" s="119"/>
      <c r="X141" s="126"/>
      <c r="Y141" s="119">
        <v>45334</v>
      </c>
      <c r="Z141" s="126">
        <v>-0.33</v>
      </c>
      <c r="AA141" s="108">
        <v>45334</v>
      </c>
      <c r="AB141" s="108">
        <v>-0.45</v>
      </c>
      <c r="AC141" s="108">
        <v>45334</v>
      </c>
      <c r="AD141" s="108">
        <v>-0.53</v>
      </c>
    </row>
    <row r="142" spans="1:30">
      <c r="A142" s="99">
        <v>29799</v>
      </c>
      <c r="B142" s="119">
        <v>6.915</v>
      </c>
      <c r="C142" s="120">
        <v>196.8</v>
      </c>
      <c r="D142" s="119">
        <v>21.59238095238095</v>
      </c>
      <c r="E142" s="120">
        <f t="shared" si="25"/>
        <v>0.18336190476190506</v>
      </c>
      <c r="F142" s="121">
        <f t="shared" si="26"/>
        <v>0.33460704548869752</v>
      </c>
      <c r="G142" s="127">
        <f t="shared" si="29"/>
        <v>-7.041395789461613E-3</v>
      </c>
      <c r="J142" s="122">
        <v>6.94</v>
      </c>
      <c r="K142" s="122">
        <v>220.25</v>
      </c>
      <c r="L142" s="122">
        <v>20.77</v>
      </c>
      <c r="M142" s="122">
        <f t="shared" si="22"/>
        <v>0.19019999999999992</v>
      </c>
      <c r="N142" s="128">
        <f t="shared" si="23"/>
        <v>0.3204257945078679</v>
      </c>
      <c r="O142" s="124">
        <f t="shared" si="27"/>
        <v>2.5000000000000355E-2</v>
      </c>
      <c r="P142" s="125">
        <f t="shared" si="24"/>
        <v>9.4499999999999886</v>
      </c>
      <c r="Q142" s="124">
        <f t="shared" si="28"/>
        <v>-0.82238095238094999</v>
      </c>
      <c r="U142" s="119"/>
      <c r="V142" s="119"/>
      <c r="W142" s="119"/>
      <c r="X142" s="126"/>
      <c r="Y142" s="119">
        <v>45335</v>
      </c>
      <c r="Z142" s="126">
        <v>-0.33</v>
      </c>
      <c r="AA142" s="108">
        <v>45335</v>
      </c>
      <c r="AB142" s="108">
        <v>-0.45</v>
      </c>
      <c r="AC142" s="108">
        <v>45335</v>
      </c>
      <c r="AD142" s="108">
        <v>-0.53</v>
      </c>
    </row>
    <row r="143" spans="1:30">
      <c r="A143" s="99">
        <v>29830</v>
      </c>
      <c r="B143" s="119">
        <v>6.6398809523809526</v>
      </c>
      <c r="C143" s="120">
        <v>187.64761904761903</v>
      </c>
      <c r="D143" s="119">
        <v>20.713809523809527</v>
      </c>
      <c r="E143" s="120">
        <f t="shared" si="25"/>
        <v>0.14218095238095252</v>
      </c>
      <c r="F143" s="121">
        <f t="shared" si="26"/>
        <v>0.33596258477369928</v>
      </c>
      <c r="G143" s="127">
        <f t="shared" si="29"/>
        <v>1.3555392850017611E-3</v>
      </c>
      <c r="J143" s="122">
        <v>6.44</v>
      </c>
      <c r="K143" s="122">
        <v>207</v>
      </c>
      <c r="L143" s="122">
        <v>19.39</v>
      </c>
      <c r="M143" s="122">
        <f t="shared" si="22"/>
        <v>0.24689999999999923</v>
      </c>
      <c r="N143" s="128">
        <f t="shared" si="23"/>
        <v>0.31896693535120912</v>
      </c>
      <c r="O143" s="124">
        <f t="shared" si="27"/>
        <v>-0.19988095238095216</v>
      </c>
      <c r="P143" s="125">
        <f t="shared" si="24"/>
        <v>5.3523809523809689</v>
      </c>
      <c r="Q143" s="124">
        <f t="shared" si="28"/>
        <v>-1.3238095238095262</v>
      </c>
      <c r="U143" s="119"/>
      <c r="V143" s="119"/>
      <c r="W143" s="119"/>
      <c r="X143" s="126"/>
      <c r="Y143" s="119">
        <v>45336</v>
      </c>
      <c r="Z143" s="126">
        <v>-0.33</v>
      </c>
      <c r="AA143" s="108">
        <v>45336</v>
      </c>
      <c r="AB143" s="108">
        <v>-0.45</v>
      </c>
      <c r="AC143" s="108">
        <v>45336</v>
      </c>
      <c r="AD143" s="108">
        <v>-0.53</v>
      </c>
    </row>
    <row r="144" spans="1:30">
      <c r="A144" s="99">
        <v>29860</v>
      </c>
      <c r="B144" s="119">
        <v>6.5647727272727261</v>
      </c>
      <c r="C144" s="120">
        <v>190.19090909090909</v>
      </c>
      <c r="D144" s="119">
        <v>21.496363636363636</v>
      </c>
      <c r="E144" s="120">
        <f t="shared" si="25"/>
        <v>0.36440909090909113</v>
      </c>
      <c r="F144" s="121">
        <f t="shared" si="26"/>
        <v>0.3412524107529421</v>
      </c>
      <c r="G144" s="127">
        <f t="shared" si="29"/>
        <v>5.2898259792428237E-3</v>
      </c>
      <c r="J144" s="122">
        <v>6.3</v>
      </c>
      <c r="K144" s="122">
        <v>196.25</v>
      </c>
      <c r="L144" s="122">
        <v>19.649999999999999</v>
      </c>
      <c r="M144" s="122">
        <f t="shared" si="22"/>
        <v>0.17899999999999938</v>
      </c>
      <c r="N144" s="128">
        <f t="shared" si="23"/>
        <v>0.33361629881154498</v>
      </c>
      <c r="O144" s="124">
        <f t="shared" si="27"/>
        <v>-0.26477272727272627</v>
      </c>
      <c r="P144" s="125">
        <f t="shared" si="24"/>
        <v>-7.9409090909090878</v>
      </c>
      <c r="Q144" s="124">
        <f t="shared" si="28"/>
        <v>-1.8463636363636375</v>
      </c>
      <c r="U144" s="119"/>
      <c r="V144" s="119"/>
      <c r="W144" s="119"/>
      <c r="X144" s="126"/>
      <c r="Y144" s="119">
        <v>45337</v>
      </c>
      <c r="Z144" s="126">
        <v>-0.33</v>
      </c>
      <c r="AA144" s="108">
        <v>45337</v>
      </c>
      <c r="AB144" s="108">
        <v>-0.45</v>
      </c>
      <c r="AC144" s="108">
        <v>45337</v>
      </c>
      <c r="AD144" s="108">
        <v>-0.53</v>
      </c>
    </row>
    <row r="145" spans="1:30">
      <c r="A145" s="99">
        <v>29891</v>
      </c>
      <c r="B145" s="119">
        <v>6.5448750000000002</v>
      </c>
      <c r="C145" s="120">
        <v>187.18</v>
      </c>
      <c r="D145" s="119">
        <v>20.472000000000001</v>
      </c>
      <c r="E145" s="120">
        <f t="shared" si="25"/>
        <v>0.19936500000000024</v>
      </c>
      <c r="F145" s="121">
        <f t="shared" si="26"/>
        <v>0.33390270808868011</v>
      </c>
      <c r="G145" s="127">
        <f t="shared" si="29"/>
        <v>-7.3497026642619923E-3</v>
      </c>
      <c r="J145" s="122">
        <v>6.28</v>
      </c>
      <c r="K145" s="122">
        <v>193.1</v>
      </c>
      <c r="L145" s="122">
        <v>19.850000000000001</v>
      </c>
      <c r="M145" s="122">
        <f t="shared" si="22"/>
        <v>0.15169999999999906</v>
      </c>
      <c r="N145" s="128">
        <f t="shared" si="23"/>
        <v>0.33949033692491881</v>
      </c>
      <c r="O145" s="124">
        <f t="shared" si="27"/>
        <v>-0.26487499999999997</v>
      </c>
      <c r="P145" s="125">
        <f t="shared" si="24"/>
        <v>-8.0800000000000125</v>
      </c>
      <c r="Q145" s="124">
        <f t="shared" si="28"/>
        <v>-0.62199999999999989</v>
      </c>
      <c r="U145" s="119"/>
      <c r="V145" s="119"/>
      <c r="W145" s="119"/>
      <c r="X145" s="126"/>
      <c r="Y145" s="119">
        <v>45338</v>
      </c>
      <c r="Z145" s="126">
        <v>-0.33</v>
      </c>
      <c r="AA145" s="108">
        <v>45338</v>
      </c>
      <c r="AB145" s="108">
        <v>-0.45</v>
      </c>
      <c r="AC145" s="108">
        <v>45338</v>
      </c>
      <c r="AD145" s="108">
        <v>-0.53</v>
      </c>
    </row>
    <row r="146" spans="1:30">
      <c r="A146" s="99">
        <v>29921</v>
      </c>
      <c r="B146" s="119">
        <v>6.2864772727272715</v>
      </c>
      <c r="C146" s="120">
        <v>186.86363636363632</v>
      </c>
      <c r="D146" s="119">
        <v>19.498181818181816</v>
      </c>
      <c r="E146" s="120">
        <f t="shared" si="25"/>
        <v>0.34304999999999986</v>
      </c>
      <c r="F146" s="121">
        <f t="shared" si="26"/>
        <v>0.32352231339681431</v>
      </c>
      <c r="G146" s="127">
        <f t="shared" si="29"/>
        <v>-1.0380394691865802E-2</v>
      </c>
      <c r="J146" s="122">
        <v>6.23</v>
      </c>
      <c r="K146" s="122">
        <v>202.1</v>
      </c>
      <c r="L146" s="122">
        <v>18.850000000000001</v>
      </c>
      <c r="M146" s="122">
        <f t="shared" si="22"/>
        <v>0.28969999999999985</v>
      </c>
      <c r="N146" s="128">
        <f t="shared" si="23"/>
        <v>0.31803610595579551</v>
      </c>
      <c r="O146" s="124">
        <f t="shared" si="27"/>
        <v>-5.6477272727271099E-2</v>
      </c>
      <c r="P146" s="125">
        <f t="shared" si="24"/>
        <v>1.2363636363636772</v>
      </c>
      <c r="Q146" s="124">
        <f t="shared" si="28"/>
        <v>-0.64818181818181486</v>
      </c>
      <c r="U146" s="119"/>
      <c r="V146" s="119"/>
      <c r="W146" s="119"/>
      <c r="X146" s="126"/>
      <c r="Y146" s="119">
        <v>45342</v>
      </c>
      <c r="Z146" s="126">
        <v>-0.33</v>
      </c>
      <c r="AA146" s="108">
        <v>45342</v>
      </c>
      <c r="AB146" s="108">
        <v>-0.45</v>
      </c>
      <c r="AC146" s="108">
        <v>45342</v>
      </c>
      <c r="AD146" s="108">
        <v>-0.53</v>
      </c>
    </row>
    <row r="147" spans="1:30">
      <c r="A147" s="99">
        <v>29952</v>
      </c>
      <c r="B147" s="119">
        <v>6.4226249999999991</v>
      </c>
      <c r="C147" s="120">
        <v>190.565</v>
      </c>
      <c r="D147" s="119">
        <v>19.568000000000005</v>
      </c>
      <c r="E147" s="120">
        <f t="shared" si="25"/>
        <v>0.3034150000000011</v>
      </c>
      <c r="F147" s="121">
        <f t="shared" si="26"/>
        <v>0.3200218850913763</v>
      </c>
      <c r="G147" s="127">
        <f t="shared" si="29"/>
        <v>-3.5004283054380081E-3</v>
      </c>
      <c r="J147" s="122">
        <v>6.3</v>
      </c>
      <c r="K147" s="122">
        <v>205</v>
      </c>
      <c r="L147" s="122">
        <v>18.440000000000001</v>
      </c>
      <c r="M147" s="122">
        <f t="shared" si="22"/>
        <v>0.2383999999999995</v>
      </c>
      <c r="N147" s="128">
        <f t="shared" si="23"/>
        <v>0.31022880215343207</v>
      </c>
      <c r="O147" s="124">
        <f t="shared" si="27"/>
        <v>-0.12262499999999932</v>
      </c>
      <c r="P147" s="125">
        <f t="shared" si="24"/>
        <v>0.43500000000000227</v>
      </c>
      <c r="Q147" s="124">
        <f t="shared" si="28"/>
        <v>-1.1280000000000037</v>
      </c>
      <c r="U147" s="119"/>
      <c r="V147" s="119"/>
      <c r="W147" s="119"/>
      <c r="X147" s="126"/>
      <c r="Y147" s="119">
        <v>45343</v>
      </c>
      <c r="Z147" s="126">
        <v>-0.33</v>
      </c>
      <c r="AA147" s="108">
        <v>45343</v>
      </c>
      <c r="AB147" s="108">
        <v>-0.45</v>
      </c>
      <c r="AC147" s="108">
        <v>45343</v>
      </c>
      <c r="AD147" s="108">
        <v>-0.53</v>
      </c>
    </row>
    <row r="148" spans="1:30">
      <c r="A148" s="99">
        <v>29983</v>
      </c>
      <c r="B148" s="119">
        <v>6.2947368421052632</v>
      </c>
      <c r="C148" s="120">
        <v>187.76842105263165</v>
      </c>
      <c r="D148" s="119">
        <v>18.999473684210528</v>
      </c>
      <c r="E148" s="120">
        <f t="shared" si="25"/>
        <v>0.30164736842105455</v>
      </c>
      <c r="F148" s="121">
        <f t="shared" si="26"/>
        <v>0.31683146987225053</v>
      </c>
      <c r="G148" s="127">
        <f t="shared" si="29"/>
        <v>-3.1904152191257751E-3</v>
      </c>
      <c r="J148" s="122">
        <v>6.24</v>
      </c>
      <c r="K148" s="122">
        <v>204</v>
      </c>
      <c r="L148" s="122">
        <v>18.190000000000001</v>
      </c>
      <c r="M148" s="122">
        <f t="shared" si="22"/>
        <v>0.24889999999999901</v>
      </c>
      <c r="N148" s="128">
        <f t="shared" si="23"/>
        <v>0.30835734870317011</v>
      </c>
      <c r="O148" s="124">
        <f t="shared" si="27"/>
        <v>-5.4736842105262973E-2</v>
      </c>
      <c r="P148" s="125">
        <f t="shared" si="24"/>
        <v>2.2315789473683481</v>
      </c>
      <c r="Q148" s="124">
        <f t="shared" si="28"/>
        <v>-0.80947368421052701</v>
      </c>
      <c r="U148" s="119"/>
      <c r="V148" s="119"/>
      <c r="W148" s="119"/>
      <c r="X148" s="126"/>
      <c r="Y148" s="119">
        <v>45344</v>
      </c>
      <c r="Z148" s="126">
        <v>-0.33</v>
      </c>
      <c r="AA148" s="108">
        <v>45344</v>
      </c>
      <c r="AB148" s="108">
        <v>-0.45</v>
      </c>
      <c r="AC148" s="108">
        <v>45344</v>
      </c>
      <c r="AD148" s="108">
        <v>-0.53</v>
      </c>
    </row>
    <row r="149" spans="1:30">
      <c r="A149" s="99">
        <v>30011</v>
      </c>
      <c r="B149" s="119">
        <v>6.272608695652174</v>
      </c>
      <c r="C149" s="120">
        <v>183.79130434782613</v>
      </c>
      <c r="D149" s="119">
        <v>18.784347826086957</v>
      </c>
      <c r="E149" s="120">
        <f t="shared" si="25"/>
        <v>0.20466086956521856</v>
      </c>
      <c r="F149" s="121">
        <f t="shared" si="26"/>
        <v>0.3190045188122746</v>
      </c>
      <c r="G149" s="127">
        <f t="shared" si="29"/>
        <v>2.1730489400240693E-3</v>
      </c>
      <c r="J149" s="122">
        <v>6.16</v>
      </c>
      <c r="K149" s="122">
        <v>197.6</v>
      </c>
      <c r="L149" s="122">
        <v>18.52</v>
      </c>
      <c r="M149" s="122">
        <f t="shared" si="22"/>
        <v>0.22439999999999927</v>
      </c>
      <c r="N149" s="128">
        <f t="shared" si="23"/>
        <v>0.31909028256374916</v>
      </c>
      <c r="O149" s="124">
        <f t="shared" si="27"/>
        <v>-0.11260869565217391</v>
      </c>
      <c r="P149" s="125">
        <f t="shared" si="24"/>
        <v>-0.19130434782613293</v>
      </c>
      <c r="Q149" s="124">
        <f t="shared" si="28"/>
        <v>-0.26434782608695784</v>
      </c>
      <c r="U149" s="119"/>
      <c r="V149" s="119"/>
      <c r="W149" s="119"/>
      <c r="X149" s="126"/>
      <c r="Y149" s="119">
        <v>45345</v>
      </c>
      <c r="Z149" s="126">
        <v>-0.33</v>
      </c>
      <c r="AA149" s="108">
        <v>45345</v>
      </c>
      <c r="AB149" s="108">
        <v>-0.45</v>
      </c>
      <c r="AC149" s="108">
        <v>45345</v>
      </c>
      <c r="AD149" s="108">
        <v>-0.53</v>
      </c>
    </row>
    <row r="150" spans="1:30">
      <c r="A150" s="99">
        <v>30042</v>
      </c>
      <c r="B150" s="119">
        <v>6.5332142857142852</v>
      </c>
      <c r="C150" s="120">
        <v>189.86190476190473</v>
      </c>
      <c r="D150" s="119">
        <v>19.659523809523812</v>
      </c>
      <c r="E150" s="120">
        <f t="shared" si="25"/>
        <v>0.18601904761904731</v>
      </c>
      <c r="F150" s="121">
        <f t="shared" si="26"/>
        <v>0.32184439976499596</v>
      </c>
      <c r="G150" s="127">
        <f t="shared" si="29"/>
        <v>2.8398809527213631E-3</v>
      </c>
      <c r="J150" s="122">
        <v>6.42</v>
      </c>
      <c r="K150" s="122">
        <v>205.5</v>
      </c>
      <c r="L150" s="122">
        <v>19.66</v>
      </c>
      <c r="M150" s="122">
        <f t="shared" si="22"/>
        <v>0.26360000000000028</v>
      </c>
      <c r="N150" s="128">
        <f t="shared" si="23"/>
        <v>0.32356813693219222</v>
      </c>
      <c r="O150" s="124">
        <f t="shared" si="27"/>
        <v>-0.11321428571428527</v>
      </c>
      <c r="P150" s="125">
        <f t="shared" si="24"/>
        <v>1.6380952380952749</v>
      </c>
      <c r="Q150" s="124">
        <f t="shared" si="28"/>
        <v>4.7619047618852051E-4</v>
      </c>
      <c r="U150" s="119"/>
      <c r="V150" s="119"/>
      <c r="W150" s="119"/>
      <c r="X150" s="126"/>
      <c r="Y150" s="119">
        <v>45348</v>
      </c>
      <c r="Z150" s="126">
        <v>-0.33</v>
      </c>
      <c r="AA150" s="108">
        <v>45348</v>
      </c>
      <c r="AB150" s="108">
        <v>-0.38</v>
      </c>
      <c r="AC150" s="108">
        <v>45348</v>
      </c>
      <c r="AD150" s="108">
        <v>-0.53</v>
      </c>
    </row>
    <row r="151" spans="1:30">
      <c r="A151" s="99">
        <v>30072</v>
      </c>
      <c r="B151" s="119">
        <v>6.6353750000000007</v>
      </c>
      <c r="C151" s="120">
        <v>190.32</v>
      </c>
      <c r="D151" s="119">
        <v>20.608499999999999</v>
      </c>
      <c r="E151" s="120">
        <f t="shared" si="25"/>
        <v>0.19923999999999875</v>
      </c>
      <c r="F151" s="121">
        <f t="shared" si="26"/>
        <v>0.3316843743210115</v>
      </c>
      <c r="G151" s="127">
        <f t="shared" si="29"/>
        <v>9.8399745560155405E-3</v>
      </c>
      <c r="J151" s="122">
        <v>6.56</v>
      </c>
      <c r="K151" s="122">
        <v>207.6</v>
      </c>
      <c r="L151" s="122">
        <v>20.55</v>
      </c>
      <c r="M151" s="122">
        <f t="shared" si="22"/>
        <v>0.26770000000000049</v>
      </c>
      <c r="N151" s="128">
        <f t="shared" si="23"/>
        <v>0.3310778153697439</v>
      </c>
      <c r="O151" s="124">
        <f t="shared" si="27"/>
        <v>-7.537500000000108E-2</v>
      </c>
      <c r="P151" s="125">
        <f t="shared" si="24"/>
        <v>3.2800000000000011</v>
      </c>
      <c r="Q151" s="124">
        <f t="shared" si="28"/>
        <v>-5.8499999999998664E-2</v>
      </c>
      <c r="U151" s="119"/>
      <c r="V151" s="119"/>
      <c r="W151" s="119"/>
      <c r="X151" s="126"/>
      <c r="Y151" s="119">
        <v>45349</v>
      </c>
      <c r="Z151" s="126">
        <v>-0.33</v>
      </c>
      <c r="AA151" s="108">
        <v>45349</v>
      </c>
      <c r="AB151" s="108">
        <v>-0.38</v>
      </c>
      <c r="AC151" s="108">
        <v>45349</v>
      </c>
      <c r="AD151" s="108">
        <v>-0.53</v>
      </c>
    </row>
    <row r="152" spans="1:30">
      <c r="A152" s="99">
        <v>30103</v>
      </c>
      <c r="B152" s="119">
        <v>6.2869318181818166</v>
      </c>
      <c r="C152" s="120">
        <v>182.54545454545453</v>
      </c>
      <c r="D152" s="119">
        <v>19.055909090909093</v>
      </c>
      <c r="E152" s="120">
        <f t="shared" si="25"/>
        <v>0.19030909090909276</v>
      </c>
      <c r="F152" s="121">
        <f t="shared" si="26"/>
        <v>0.32361773005200728</v>
      </c>
      <c r="G152" s="127">
        <f t="shared" si="29"/>
        <v>-8.0666442690042195E-3</v>
      </c>
      <c r="J152" s="122">
        <v>6.31</v>
      </c>
      <c r="K152" s="122">
        <v>197.8</v>
      </c>
      <c r="L152" s="122">
        <v>19.350000000000001</v>
      </c>
      <c r="M152" s="122">
        <f t="shared" si="22"/>
        <v>0.17010000000000058</v>
      </c>
      <c r="N152" s="128">
        <f t="shared" si="23"/>
        <v>0.32846715328467152</v>
      </c>
      <c r="O152" s="124">
        <f t="shared" si="27"/>
        <v>2.3068181818183042E-2</v>
      </c>
      <c r="P152" s="125">
        <f t="shared" si="24"/>
        <v>1.2545454545454788</v>
      </c>
      <c r="Q152" s="124">
        <f t="shared" si="28"/>
        <v>0.29409090909090807</v>
      </c>
      <c r="U152" s="119"/>
      <c r="V152" s="119"/>
      <c r="W152" s="119"/>
      <c r="X152" s="126"/>
      <c r="Y152" s="119">
        <v>45350</v>
      </c>
      <c r="Z152" s="126">
        <v>-0.33</v>
      </c>
      <c r="AA152" s="108">
        <v>45350</v>
      </c>
      <c r="AB152" s="108">
        <v>-0.38</v>
      </c>
      <c r="AC152" s="108">
        <v>45350</v>
      </c>
      <c r="AD152" s="108">
        <v>-0.53</v>
      </c>
    </row>
    <row r="153" spans="1:30">
      <c r="A153" s="99">
        <v>30133</v>
      </c>
      <c r="B153" s="119">
        <v>6.1611904761904768</v>
      </c>
      <c r="C153" s="120">
        <v>178.73333333333335</v>
      </c>
      <c r="D153" s="119">
        <v>18.573333333333331</v>
      </c>
      <c r="E153" s="120">
        <f t="shared" si="25"/>
        <v>0.17147619047618967</v>
      </c>
      <c r="F153" s="121">
        <f t="shared" si="26"/>
        <v>0.32262343404568899</v>
      </c>
      <c r="G153" s="127">
        <f t="shared" si="29"/>
        <v>-9.9429600631828485E-4</v>
      </c>
      <c r="J153" s="122">
        <v>6.2</v>
      </c>
      <c r="K153" s="122">
        <v>195.9</v>
      </c>
      <c r="L153" s="122">
        <v>19.04</v>
      </c>
      <c r="M153" s="122">
        <f t="shared" si="22"/>
        <v>0.20419999999999927</v>
      </c>
      <c r="N153" s="128">
        <f t="shared" si="23"/>
        <v>0.32703538302988666</v>
      </c>
      <c r="O153" s="124">
        <f t="shared" si="27"/>
        <v>3.8809523809523405E-2</v>
      </c>
      <c r="P153" s="125">
        <f t="shared" si="24"/>
        <v>3.1666666666666572</v>
      </c>
      <c r="Q153" s="124">
        <f t="shared" si="28"/>
        <v>0.46666666666666856</v>
      </c>
      <c r="U153" s="119"/>
      <c r="V153" s="119"/>
      <c r="W153" s="119"/>
      <c r="X153" s="126"/>
      <c r="Y153" s="119">
        <v>45351</v>
      </c>
      <c r="Z153" s="126">
        <v>-0.33</v>
      </c>
      <c r="AA153" s="108">
        <v>45351</v>
      </c>
      <c r="AB153" s="108">
        <v>-0.38</v>
      </c>
      <c r="AC153" s="108">
        <v>45351</v>
      </c>
      <c r="AD153" s="108">
        <v>-0.53</v>
      </c>
    </row>
    <row r="154" spans="1:30">
      <c r="A154" s="99">
        <v>30164</v>
      </c>
      <c r="B154" s="119">
        <v>5.7127272727272711</v>
      </c>
      <c r="C154" s="120">
        <v>166.19545454545457</v>
      </c>
      <c r="D154" s="119">
        <v>17.531818181818181</v>
      </c>
      <c r="E154" s="120">
        <f t="shared" si="25"/>
        <v>0.20446363636363785</v>
      </c>
      <c r="F154" s="121">
        <f t="shared" si="26"/>
        <v>0.32591478450308886</v>
      </c>
      <c r="G154" s="127">
        <f t="shared" si="29"/>
        <v>3.2913504573998664E-3</v>
      </c>
      <c r="J154" s="122">
        <v>5.73</v>
      </c>
      <c r="K154" s="122">
        <v>181.4</v>
      </c>
      <c r="L154" s="122">
        <v>17.86</v>
      </c>
      <c r="M154" s="122">
        <f t="shared" si="22"/>
        <v>0.2253999999999996</v>
      </c>
      <c r="N154" s="128">
        <f t="shared" si="23"/>
        <v>0.32988548208348722</v>
      </c>
      <c r="O154" s="124">
        <f t="shared" si="27"/>
        <v>1.7272727272729327E-2</v>
      </c>
      <c r="P154" s="125">
        <f t="shared" si="24"/>
        <v>1.204545454545439</v>
      </c>
      <c r="Q154" s="124">
        <f t="shared" si="28"/>
        <v>0.32818181818181813</v>
      </c>
      <c r="U154" s="119"/>
      <c r="V154" s="119"/>
      <c r="W154" s="119"/>
      <c r="X154" s="126"/>
      <c r="Y154" s="119">
        <v>45352</v>
      </c>
      <c r="Z154" s="126">
        <v>-0.33</v>
      </c>
      <c r="AA154" s="108">
        <v>45352</v>
      </c>
      <c r="AB154" s="108">
        <v>-0.28000000000000003</v>
      </c>
      <c r="AC154" s="108">
        <v>45352</v>
      </c>
      <c r="AD154" s="108">
        <v>-0.63</v>
      </c>
    </row>
    <row r="155" spans="1:30">
      <c r="A155" s="99">
        <v>30195</v>
      </c>
      <c r="B155" s="119">
        <v>5.4840476190476179</v>
      </c>
      <c r="C155" s="120">
        <v>156.89523809523808</v>
      </c>
      <c r="D155" s="119">
        <v>17.216190476190473</v>
      </c>
      <c r="E155" s="120">
        <f t="shared" si="25"/>
        <v>0.1752190476190485</v>
      </c>
      <c r="F155" s="121">
        <f t="shared" si="26"/>
        <v>0.33463363080863578</v>
      </c>
      <c r="G155" s="127">
        <f t="shared" si="29"/>
        <v>8.7188463055469234E-3</v>
      </c>
      <c r="J155" s="122">
        <v>5.4</v>
      </c>
      <c r="K155" s="122">
        <v>173.2</v>
      </c>
      <c r="L155" s="122">
        <v>17.420000000000002</v>
      </c>
      <c r="M155" s="122">
        <f t="shared" si="22"/>
        <v>0.3266</v>
      </c>
      <c r="N155" s="128">
        <f t="shared" si="23"/>
        <v>0.33461390703034966</v>
      </c>
      <c r="O155" s="124">
        <f t="shared" si="27"/>
        <v>-8.4047619047617594E-2</v>
      </c>
      <c r="P155" s="125">
        <f t="shared" si="24"/>
        <v>2.3047619047619037</v>
      </c>
      <c r="Q155" s="124">
        <f t="shared" si="28"/>
        <v>0.20380952380952877</v>
      </c>
      <c r="U155" s="119">
        <v>5.22</v>
      </c>
      <c r="V155" s="129">
        <f t="shared" ref="V155:V218" si="30">U155-B155</f>
        <v>-0.2640476190476182</v>
      </c>
      <c r="W155" s="119"/>
      <c r="X155" s="126"/>
      <c r="Y155" s="119">
        <v>45355</v>
      </c>
      <c r="Z155" s="126">
        <v>-0.33</v>
      </c>
      <c r="AA155" s="108">
        <v>45355</v>
      </c>
      <c r="AB155" s="108">
        <v>-0.28000000000000003</v>
      </c>
      <c r="AC155" s="108">
        <v>45355</v>
      </c>
      <c r="AD155" s="108">
        <v>-0.63</v>
      </c>
    </row>
    <row r="156" spans="1:30">
      <c r="A156" s="99">
        <v>30225</v>
      </c>
      <c r="B156" s="119">
        <v>5.3245238095238099</v>
      </c>
      <c r="C156" s="120">
        <v>157.82857142857142</v>
      </c>
      <c r="D156" s="119">
        <v>17.135238095238098</v>
      </c>
      <c r="E156" s="120">
        <f t="shared" si="25"/>
        <v>0.34823809523809501</v>
      </c>
      <c r="F156" s="121">
        <f t="shared" si="26"/>
        <v>0.33226781277281586</v>
      </c>
      <c r="G156" s="127">
        <f t="shared" si="29"/>
        <v>-2.3658180358199221E-3</v>
      </c>
      <c r="J156" s="122">
        <v>5.26</v>
      </c>
      <c r="K156" s="122">
        <v>168.5</v>
      </c>
      <c r="L156" s="122">
        <v>17.37</v>
      </c>
      <c r="M156" s="122">
        <f t="shared" si="22"/>
        <v>0.35770000000000124</v>
      </c>
      <c r="N156" s="128">
        <f t="shared" si="23"/>
        <v>0.34012140199725865</v>
      </c>
      <c r="O156" s="124">
        <f t="shared" si="27"/>
        <v>-6.4523809523810094E-2</v>
      </c>
      <c r="P156" s="125">
        <f t="shared" si="24"/>
        <v>-3.3285714285714221</v>
      </c>
      <c r="Q156" s="124">
        <f t="shared" si="28"/>
        <v>0.23476190476190339</v>
      </c>
      <c r="U156" s="119">
        <v>5.0599999999999996</v>
      </c>
      <c r="V156" s="129">
        <f t="shared" si="30"/>
        <v>-0.26452380952381027</v>
      </c>
      <c r="W156" s="119"/>
      <c r="X156" s="126"/>
      <c r="Y156" s="119">
        <v>45356</v>
      </c>
      <c r="Z156" s="126">
        <v>-0.33</v>
      </c>
      <c r="AA156" s="108">
        <v>45356</v>
      </c>
      <c r="AB156" s="108">
        <v>-0.28000000000000003</v>
      </c>
      <c r="AC156" s="108">
        <v>45356</v>
      </c>
      <c r="AD156" s="108">
        <v>-0.63</v>
      </c>
    </row>
    <row r="157" spans="1:30">
      <c r="A157" s="99">
        <v>30256</v>
      </c>
      <c r="B157" s="119">
        <v>5.7306249999999999</v>
      </c>
      <c r="C157" s="120">
        <v>172.375</v>
      </c>
      <c r="D157" s="119">
        <v>17.078499999999998</v>
      </c>
      <c r="E157" s="120">
        <f t="shared" si="25"/>
        <v>0.28501000000000065</v>
      </c>
      <c r="F157" s="121">
        <f t="shared" si="26"/>
        <v>0.31229205229373119</v>
      </c>
      <c r="G157" s="127">
        <f t="shared" si="29"/>
        <v>-1.997576047908467E-2</v>
      </c>
      <c r="J157" s="122">
        <v>5.7</v>
      </c>
      <c r="K157" s="122">
        <v>185.2</v>
      </c>
      <c r="L157" s="122">
        <v>17.55</v>
      </c>
      <c r="M157" s="122">
        <f t="shared" si="22"/>
        <v>0.30489999999999995</v>
      </c>
      <c r="N157" s="128">
        <f t="shared" si="23"/>
        <v>0.32148745191427003</v>
      </c>
      <c r="O157" s="124">
        <f t="shared" si="27"/>
        <v>-3.062499999999968E-2</v>
      </c>
      <c r="P157" s="125">
        <f t="shared" si="24"/>
        <v>-1.1750000000000114</v>
      </c>
      <c r="Q157" s="124">
        <f t="shared" si="28"/>
        <v>0.47150000000000247</v>
      </c>
      <c r="U157" s="119">
        <v>5.34</v>
      </c>
      <c r="V157" s="129">
        <f t="shared" si="30"/>
        <v>-0.390625</v>
      </c>
      <c r="W157" s="119"/>
      <c r="X157" s="126"/>
      <c r="Y157" s="119">
        <v>45357</v>
      </c>
      <c r="Z157" s="126">
        <v>-0.33</v>
      </c>
      <c r="AA157" s="108">
        <v>45357</v>
      </c>
      <c r="AB157" s="108">
        <v>-0.28000000000000003</v>
      </c>
      <c r="AC157" s="108">
        <v>45357</v>
      </c>
      <c r="AD157" s="108">
        <v>-0.63</v>
      </c>
    </row>
    <row r="158" spans="1:30">
      <c r="A158" s="99">
        <v>30286</v>
      </c>
      <c r="B158" s="119">
        <v>5.671666666666666</v>
      </c>
      <c r="C158" s="120">
        <v>173.56666666666666</v>
      </c>
      <c r="D158" s="119">
        <v>16.587476190476199</v>
      </c>
      <c r="E158" s="120">
        <f t="shared" si="25"/>
        <v>0.31855571428571672</v>
      </c>
      <c r="F158" s="121">
        <f t="shared" si="26"/>
        <v>0.30460010746083288</v>
      </c>
      <c r="G158" s="127">
        <f t="shared" si="29"/>
        <v>-7.691944832898312E-3</v>
      </c>
      <c r="J158" s="122">
        <v>5.73</v>
      </c>
      <c r="K158" s="122">
        <v>190</v>
      </c>
      <c r="L158" s="122">
        <v>16.600000000000001</v>
      </c>
      <c r="M158" s="122">
        <f t="shared" si="22"/>
        <v>0.2759999999999998</v>
      </c>
      <c r="N158" s="128">
        <f t="shared" si="23"/>
        <v>0.304029304029304</v>
      </c>
      <c r="O158" s="124">
        <f t="shared" si="27"/>
        <v>5.8333333333334458E-2</v>
      </c>
      <c r="P158" s="125">
        <f t="shared" si="24"/>
        <v>2.4333333333333371</v>
      </c>
      <c r="Q158" s="124">
        <f t="shared" si="28"/>
        <v>1.2523809523802498E-2</v>
      </c>
      <c r="U158" s="119">
        <v>5.46</v>
      </c>
      <c r="V158" s="129">
        <f t="shared" si="30"/>
        <v>-0.211666666666666</v>
      </c>
      <c r="W158" s="119"/>
      <c r="X158" s="126"/>
      <c r="Y158" s="119">
        <v>45358</v>
      </c>
      <c r="Z158" s="126">
        <v>-0.33</v>
      </c>
      <c r="AA158" s="108">
        <v>45358</v>
      </c>
      <c r="AB158" s="108">
        <v>-0.28000000000000003</v>
      </c>
      <c r="AC158" s="108">
        <v>45358</v>
      </c>
      <c r="AD158" s="108">
        <v>-0.63</v>
      </c>
    </row>
    <row r="159" spans="1:30">
      <c r="A159" s="99">
        <v>30317</v>
      </c>
      <c r="B159" s="119">
        <v>5.8970238095238088</v>
      </c>
      <c r="C159" s="120">
        <v>179.22380952380954</v>
      </c>
      <c r="D159" s="119">
        <v>16.947142857142854</v>
      </c>
      <c r="E159" s="120">
        <f t="shared" si="25"/>
        <v>0.26853333333333396</v>
      </c>
      <c r="F159" s="121">
        <f t="shared" si="26"/>
        <v>0.30235478661411663</v>
      </c>
      <c r="G159" s="127">
        <f t="shared" si="29"/>
        <v>-2.2453208467162478E-3</v>
      </c>
      <c r="J159" s="122">
        <v>5.81</v>
      </c>
      <c r="K159" s="122">
        <v>191.75</v>
      </c>
      <c r="L159" s="122">
        <v>16.399999999999999</v>
      </c>
      <c r="M159" s="122">
        <f t="shared" si="22"/>
        <v>0.21249999999999947</v>
      </c>
      <c r="N159" s="128">
        <f t="shared" si="23"/>
        <v>0.29954337899543382</v>
      </c>
      <c r="O159" s="124">
        <f t="shared" si="27"/>
        <v>-8.702380952380917E-2</v>
      </c>
      <c r="P159" s="125">
        <f t="shared" si="24"/>
        <v>-1.4738095238095354</v>
      </c>
      <c r="Q159" s="124">
        <f t="shared" si="28"/>
        <v>-0.54714285714285538</v>
      </c>
      <c r="U159" s="119">
        <v>5.56</v>
      </c>
      <c r="V159" s="129">
        <f t="shared" si="30"/>
        <v>-0.33702380952380917</v>
      </c>
      <c r="W159" s="119"/>
      <c r="X159" s="126"/>
      <c r="Y159" s="119">
        <v>45359</v>
      </c>
      <c r="Z159" s="126">
        <v>-0.33</v>
      </c>
      <c r="AA159" s="108">
        <v>45359</v>
      </c>
      <c r="AB159" s="108">
        <v>-0.28000000000000003</v>
      </c>
      <c r="AC159" s="108">
        <v>45359</v>
      </c>
      <c r="AD159" s="108">
        <v>-0.63</v>
      </c>
    </row>
    <row r="160" spans="1:30">
      <c r="A160" s="99">
        <v>30348</v>
      </c>
      <c r="B160" s="119">
        <v>5.9036842105263148</v>
      </c>
      <c r="C160" s="120">
        <v>176.98421052631579</v>
      </c>
      <c r="D160" s="119">
        <v>17.211578947368427</v>
      </c>
      <c r="E160" s="120">
        <f t="shared" si="25"/>
        <v>0.23721052631579198</v>
      </c>
      <c r="F160" s="121">
        <f t="shared" si="26"/>
        <v>0.30830583576883197</v>
      </c>
      <c r="G160" s="127">
        <f t="shared" si="29"/>
        <v>5.9510491547153377E-3</v>
      </c>
      <c r="J160" s="122">
        <v>5.86</v>
      </c>
      <c r="K160" s="122">
        <v>189.25</v>
      </c>
      <c r="L160" s="122">
        <v>17.25</v>
      </c>
      <c r="M160" s="122">
        <f t="shared" si="22"/>
        <v>0.20099999999999962</v>
      </c>
      <c r="N160" s="128">
        <f t="shared" si="23"/>
        <v>0.31306715063520874</v>
      </c>
      <c r="O160" s="124">
        <f t="shared" si="27"/>
        <v>-4.3684210526314438E-2</v>
      </c>
      <c r="P160" s="125">
        <f t="shared" si="24"/>
        <v>-1.7342105263157919</v>
      </c>
      <c r="Q160" s="124">
        <f t="shared" si="28"/>
        <v>3.842105263157336E-2</v>
      </c>
      <c r="U160" s="119">
        <v>5.66</v>
      </c>
      <c r="V160" s="129">
        <f t="shared" si="30"/>
        <v>-0.24368421052631462</v>
      </c>
      <c r="W160" s="119"/>
      <c r="X160" s="126"/>
      <c r="Y160" s="119">
        <v>45362</v>
      </c>
      <c r="Z160" s="126">
        <v>-0.33</v>
      </c>
      <c r="AA160" s="108">
        <v>45362</v>
      </c>
      <c r="AB160" s="108">
        <v>-0.32</v>
      </c>
      <c r="AC160" s="108">
        <v>45362</v>
      </c>
      <c r="AD160" s="108">
        <v>-0.63</v>
      </c>
    </row>
    <row r="161" spans="1:30">
      <c r="A161" s="99">
        <v>30376</v>
      </c>
      <c r="B161" s="119">
        <v>6.053369565217392</v>
      </c>
      <c r="C161" s="120">
        <v>180.62608695652173</v>
      </c>
      <c r="D161" s="119">
        <v>17.532608695652179</v>
      </c>
      <c r="E161" s="120">
        <f t="shared" si="25"/>
        <v>0.2102434782608702</v>
      </c>
      <c r="F161" s="121">
        <f t="shared" si="26"/>
        <v>0.30790327294081554</v>
      </c>
      <c r="G161" s="127">
        <f t="shared" si="29"/>
        <v>-4.025628280164284E-4</v>
      </c>
      <c r="J161" s="122">
        <v>5.98</v>
      </c>
      <c r="K161" s="122">
        <v>192.7</v>
      </c>
      <c r="L161" s="122">
        <v>17.7</v>
      </c>
      <c r="M161" s="122">
        <f t="shared" si="22"/>
        <v>0.20639999999999947</v>
      </c>
      <c r="N161" s="128">
        <f t="shared" si="23"/>
        <v>0.31472261735419627</v>
      </c>
      <c r="O161" s="124">
        <f t="shared" si="27"/>
        <v>-7.3369565217391575E-2</v>
      </c>
      <c r="P161" s="125">
        <f t="shared" si="24"/>
        <v>-1.9260869565217433</v>
      </c>
      <c r="Q161" s="124">
        <f t="shared" si="28"/>
        <v>0.16739130434782012</v>
      </c>
      <c r="U161" s="119">
        <v>5.82</v>
      </c>
      <c r="V161" s="129">
        <f t="shared" si="30"/>
        <v>-0.23336956521739172</v>
      </c>
      <c r="W161" s="119"/>
      <c r="X161" s="126"/>
      <c r="Y161" s="119">
        <v>45363</v>
      </c>
      <c r="Z161" s="126">
        <v>-0.33</v>
      </c>
      <c r="AA161" s="108">
        <v>45363</v>
      </c>
      <c r="AB161" s="108">
        <v>-0.3</v>
      </c>
      <c r="AC161" s="108">
        <v>45363</v>
      </c>
      <c r="AD161" s="108">
        <v>-0.63</v>
      </c>
    </row>
    <row r="162" spans="1:30">
      <c r="A162" s="99">
        <v>30407</v>
      </c>
      <c r="B162" s="119">
        <v>6.3621249999999998</v>
      </c>
      <c r="C162" s="120">
        <v>188.66499999999999</v>
      </c>
      <c r="D162" s="119">
        <v>19.008500000000002</v>
      </c>
      <c r="E162" s="120">
        <f t="shared" si="25"/>
        <v>0.25677000000000039</v>
      </c>
      <c r="F162" s="121">
        <f t="shared" si="26"/>
        <v>0.31590393864836952</v>
      </c>
      <c r="G162" s="127">
        <f t="shared" si="29"/>
        <v>8.0006657075539778E-3</v>
      </c>
      <c r="J162" s="122">
        <v>6.35</v>
      </c>
      <c r="K162" s="122">
        <v>203.4</v>
      </c>
      <c r="L162" s="122">
        <v>19.350000000000001</v>
      </c>
      <c r="M162" s="122">
        <f t="shared" si="22"/>
        <v>0.2533000000000003</v>
      </c>
      <c r="N162" s="128">
        <f t="shared" si="23"/>
        <v>0.32233883058470764</v>
      </c>
      <c r="O162" s="124">
        <f t="shared" si="27"/>
        <v>-1.2125000000000163E-2</v>
      </c>
      <c r="P162" s="125">
        <f t="shared" si="24"/>
        <v>0.73500000000001364</v>
      </c>
      <c r="Q162" s="124">
        <f t="shared" si="28"/>
        <v>0.34149999999999991</v>
      </c>
      <c r="U162" s="119">
        <v>6.09</v>
      </c>
      <c r="V162" s="129">
        <f t="shared" si="30"/>
        <v>-0.27212499999999995</v>
      </c>
      <c r="W162" s="119"/>
      <c r="X162" s="126"/>
      <c r="Y162" s="119">
        <v>45364</v>
      </c>
      <c r="Z162" s="126">
        <v>-0.38</v>
      </c>
      <c r="AA162" s="108">
        <v>45364</v>
      </c>
      <c r="AB162" s="108">
        <v>-0.3</v>
      </c>
      <c r="AC162" s="108">
        <v>45364</v>
      </c>
      <c r="AD162" s="108">
        <v>-0.63</v>
      </c>
    </row>
    <row r="163" spans="1:30">
      <c r="A163" s="99">
        <v>30437</v>
      </c>
      <c r="B163" s="119">
        <v>6.3085714285714296</v>
      </c>
      <c r="C163" s="120">
        <v>184.03333333333336</v>
      </c>
      <c r="D163" s="119">
        <v>19.400952380952383</v>
      </c>
      <c r="E163" s="120">
        <f t="shared" si="25"/>
        <v>0.24233333333333285</v>
      </c>
      <c r="F163" s="121">
        <f t="shared" si="26"/>
        <v>0.32577252142561186</v>
      </c>
      <c r="G163" s="127">
        <f t="shared" si="29"/>
        <v>9.8685827772423407E-3</v>
      </c>
      <c r="J163" s="122">
        <v>6.27</v>
      </c>
      <c r="K163" s="122">
        <v>201.9</v>
      </c>
      <c r="L163" s="122">
        <v>19.75</v>
      </c>
      <c r="M163" s="122">
        <f t="shared" si="22"/>
        <v>0.34430000000000049</v>
      </c>
      <c r="N163" s="128">
        <f t="shared" si="23"/>
        <v>0.32845501413603861</v>
      </c>
      <c r="O163" s="124">
        <f t="shared" si="27"/>
        <v>-3.8571428571430033E-2</v>
      </c>
      <c r="P163" s="125">
        <f t="shared" si="24"/>
        <v>3.8666666666666458</v>
      </c>
      <c r="Q163" s="124">
        <f t="shared" si="28"/>
        <v>0.34904761904761727</v>
      </c>
      <c r="U163" s="119">
        <v>6.06</v>
      </c>
      <c r="V163" s="129">
        <f t="shared" si="30"/>
        <v>-0.24857142857143</v>
      </c>
      <c r="W163" s="119"/>
      <c r="X163" s="126"/>
      <c r="Y163" s="119">
        <v>45365</v>
      </c>
      <c r="Z163" s="126">
        <v>-0.39</v>
      </c>
      <c r="AA163" s="108">
        <v>45365</v>
      </c>
      <c r="AB163" s="108">
        <v>-0.3</v>
      </c>
      <c r="AC163" s="108">
        <v>45365</v>
      </c>
      <c r="AD163" s="108">
        <v>-0.63</v>
      </c>
    </row>
    <row r="164" spans="1:30">
      <c r="A164" s="99">
        <v>30468</v>
      </c>
      <c r="B164" s="119">
        <v>6.0225</v>
      </c>
      <c r="C164" s="120">
        <v>174.71363636363637</v>
      </c>
      <c r="D164" s="119">
        <v>18.961818181818185</v>
      </c>
      <c r="E164" s="120">
        <f t="shared" si="25"/>
        <v>0.25642727272727317</v>
      </c>
      <c r="F164" s="121">
        <f t="shared" si="26"/>
        <v>0.33219050156222402</v>
      </c>
      <c r="G164" s="127">
        <f t="shared" si="29"/>
        <v>6.4179801366121558E-3</v>
      </c>
      <c r="J164" s="122">
        <v>6.06</v>
      </c>
      <c r="K164" s="122">
        <v>190.5</v>
      </c>
      <c r="L164" s="122">
        <v>19.399999999999999</v>
      </c>
      <c r="M164" s="122">
        <f t="shared" si="22"/>
        <v>0.26499999999999968</v>
      </c>
      <c r="N164" s="128">
        <f t="shared" si="23"/>
        <v>0.3373913043478261</v>
      </c>
      <c r="O164" s="124">
        <f t="shared" si="27"/>
        <v>3.7499999999999645E-2</v>
      </c>
      <c r="P164" s="125">
        <f t="shared" si="24"/>
        <v>1.7863636363636317</v>
      </c>
      <c r="Q164" s="124">
        <f t="shared" si="28"/>
        <v>0.43818181818181401</v>
      </c>
      <c r="U164" s="119">
        <v>5.9</v>
      </c>
      <c r="V164" s="129">
        <f t="shared" si="30"/>
        <v>-0.12249999999999961</v>
      </c>
      <c r="W164" s="119"/>
      <c r="X164" s="126"/>
      <c r="Y164" s="119">
        <v>45366</v>
      </c>
      <c r="Z164" s="126">
        <v>-0.39</v>
      </c>
      <c r="AA164" s="108">
        <v>45366</v>
      </c>
      <c r="AB164" s="108">
        <v>-0.3</v>
      </c>
      <c r="AC164" s="108">
        <v>45366</v>
      </c>
      <c r="AD164" s="108">
        <v>-0.63</v>
      </c>
    </row>
    <row r="165" spans="1:30">
      <c r="A165" s="99">
        <v>30498</v>
      </c>
      <c r="B165" s="119">
        <v>6.6191249999999995</v>
      </c>
      <c r="C165" s="120">
        <v>189.905</v>
      </c>
      <c r="D165" s="119">
        <v>21.313499999999998</v>
      </c>
      <c r="E165" s="120">
        <f t="shared" si="25"/>
        <v>0.28308</v>
      </c>
      <c r="F165" s="121">
        <f t="shared" si="26"/>
        <v>0.33967188746205018</v>
      </c>
      <c r="G165" s="127">
        <f t="shared" si="29"/>
        <v>7.4813858998261651E-3</v>
      </c>
      <c r="J165" s="122">
        <v>6.59</v>
      </c>
      <c r="K165" s="122">
        <v>204.6</v>
      </c>
      <c r="L165" s="122">
        <v>21.61</v>
      </c>
      <c r="M165" s="122">
        <f t="shared" si="22"/>
        <v>0.28829999999999956</v>
      </c>
      <c r="N165" s="128">
        <f t="shared" si="23"/>
        <v>0.34559411482488406</v>
      </c>
      <c r="O165" s="124">
        <f t="shared" si="27"/>
        <v>-2.9124999999999623E-2</v>
      </c>
      <c r="P165" s="125">
        <f t="shared" si="24"/>
        <v>0.69499999999999318</v>
      </c>
      <c r="Q165" s="124">
        <f t="shared" si="28"/>
        <v>0.29650000000000176</v>
      </c>
      <c r="U165" s="119">
        <v>6.27</v>
      </c>
      <c r="V165" s="129">
        <f t="shared" si="30"/>
        <v>-0.34912499999999991</v>
      </c>
      <c r="W165" s="119"/>
      <c r="X165" s="126"/>
      <c r="Y165" s="119">
        <v>45369</v>
      </c>
      <c r="Z165" s="126">
        <v>-0.39</v>
      </c>
      <c r="AA165" s="108">
        <v>45369</v>
      </c>
      <c r="AB165" s="108">
        <v>-0.3</v>
      </c>
      <c r="AC165" s="108">
        <v>45369</v>
      </c>
      <c r="AD165" s="108">
        <v>-0.63</v>
      </c>
    </row>
    <row r="166" spans="1:30">
      <c r="A166" s="99">
        <v>30529</v>
      </c>
      <c r="B166" s="119">
        <v>8.5006521739130445</v>
      </c>
      <c r="C166" s="120">
        <v>236.58695652173913</v>
      </c>
      <c r="D166" s="119">
        <v>29.816956521739133</v>
      </c>
      <c r="E166" s="120">
        <f t="shared" si="25"/>
        <v>0.45730000000000004</v>
      </c>
      <c r="F166" s="121">
        <f t="shared" si="26"/>
        <v>0.36614006792119125</v>
      </c>
      <c r="G166" s="127">
        <f t="shared" si="29"/>
        <v>2.6468180459141066E-2</v>
      </c>
      <c r="J166" s="122">
        <v>8.4600000000000009</v>
      </c>
      <c r="K166" s="122">
        <v>246.2</v>
      </c>
      <c r="L166" s="122">
        <v>30.16</v>
      </c>
      <c r="M166" s="122">
        <f t="shared" si="22"/>
        <v>0.27399999999999913</v>
      </c>
      <c r="N166" s="128">
        <f t="shared" si="23"/>
        <v>0.3798488664987405</v>
      </c>
      <c r="O166" s="124">
        <f t="shared" si="27"/>
        <v>-4.0652173913043654E-2</v>
      </c>
      <c r="P166" s="125">
        <f t="shared" si="24"/>
        <v>-4.3869565217391369</v>
      </c>
      <c r="Q166" s="124">
        <f t="shared" si="28"/>
        <v>0.34304347826086712</v>
      </c>
      <c r="U166" s="119">
        <v>7.57</v>
      </c>
      <c r="V166" s="129">
        <f t="shared" si="30"/>
        <v>-0.93065217391304422</v>
      </c>
      <c r="W166" s="119"/>
      <c r="X166" s="126"/>
      <c r="Y166" s="119">
        <v>45370</v>
      </c>
      <c r="Z166" s="126">
        <v>-0.39</v>
      </c>
      <c r="AA166" s="108">
        <v>45370</v>
      </c>
      <c r="AB166" s="108">
        <v>-0.28000000000000003</v>
      </c>
      <c r="AC166" s="108">
        <v>45370</v>
      </c>
      <c r="AD166" s="108">
        <v>-0.63</v>
      </c>
    </row>
    <row r="167" spans="1:30">
      <c r="A167" s="99">
        <v>30560</v>
      </c>
      <c r="B167" s="119">
        <v>9.0104761904761901</v>
      </c>
      <c r="C167" s="120">
        <v>236.8095238095238</v>
      </c>
      <c r="D167" s="119">
        <v>33.966666666666661</v>
      </c>
      <c r="E167" s="120">
        <f t="shared" si="25"/>
        <v>0.40928571428571381</v>
      </c>
      <c r="F167" s="121">
        <f t="shared" si="26"/>
        <v>0.39664838359072868</v>
      </c>
      <c r="G167" s="127">
        <f t="shared" si="29"/>
        <v>3.0508315669537434E-2</v>
      </c>
      <c r="J167" s="122">
        <v>8.93</v>
      </c>
      <c r="K167" s="122">
        <v>247.3</v>
      </c>
      <c r="L167" s="122">
        <v>34.340000000000003</v>
      </c>
      <c r="M167" s="122">
        <f t="shared" si="22"/>
        <v>0.28800000000000203</v>
      </c>
      <c r="N167" s="128">
        <f t="shared" si="23"/>
        <v>0.40978520286396181</v>
      </c>
      <c r="O167" s="124">
        <f t="shared" si="27"/>
        <v>-8.0476190476190368E-2</v>
      </c>
      <c r="P167" s="125">
        <f t="shared" si="24"/>
        <v>-3.5095238095237846</v>
      </c>
      <c r="Q167" s="124">
        <f t="shared" si="28"/>
        <v>0.37333333333334195</v>
      </c>
      <c r="U167" s="119">
        <v>8.2799999999999994</v>
      </c>
      <c r="V167" s="129">
        <f t="shared" si="30"/>
        <v>-0.73047619047619072</v>
      </c>
      <c r="W167" s="119"/>
      <c r="X167" s="126"/>
      <c r="Y167" s="119">
        <v>45371</v>
      </c>
      <c r="Z167" s="126">
        <v>-0.39</v>
      </c>
      <c r="AA167" s="108">
        <v>45371</v>
      </c>
      <c r="AB167" s="108">
        <v>-0.28000000000000003</v>
      </c>
      <c r="AC167" s="108">
        <v>45371</v>
      </c>
      <c r="AD167" s="108">
        <v>-0.63</v>
      </c>
    </row>
    <row r="168" spans="1:30">
      <c r="A168" s="99">
        <v>30590</v>
      </c>
      <c r="B168" s="119">
        <v>8.4288095238095231</v>
      </c>
      <c r="C168" s="120">
        <v>234.40476190476187</v>
      </c>
      <c r="D168" s="119">
        <v>30.218095238095241</v>
      </c>
      <c r="E168" s="120">
        <f t="shared" si="25"/>
        <v>0.52089523809523897</v>
      </c>
      <c r="F168" s="121">
        <f t="shared" si="26"/>
        <v>0.37140783574664343</v>
      </c>
      <c r="G168" s="127">
        <f t="shared" si="29"/>
        <v>-2.5240547844085248E-2</v>
      </c>
      <c r="J168" s="122">
        <v>8.4600000000000009</v>
      </c>
      <c r="K168" s="122">
        <v>243.25</v>
      </c>
      <c r="L168" s="122">
        <v>30.7</v>
      </c>
      <c r="M168" s="122">
        <f t="shared" si="22"/>
        <v>0.26849999999999952</v>
      </c>
      <c r="N168" s="128">
        <f t="shared" si="23"/>
        <v>0.38689350976685566</v>
      </c>
      <c r="O168" s="124">
        <f t="shared" si="27"/>
        <v>3.1190476190477767E-2</v>
      </c>
      <c r="P168" s="125">
        <f t="shared" si="24"/>
        <v>-5.1547619047618696</v>
      </c>
      <c r="Q168" s="124">
        <f t="shared" si="28"/>
        <v>0.48190476190475806</v>
      </c>
      <c r="U168" s="119">
        <v>7.96</v>
      </c>
      <c r="V168" s="129">
        <f t="shared" si="30"/>
        <v>-0.46880952380952312</v>
      </c>
      <c r="W168" s="119"/>
      <c r="X168" s="126"/>
      <c r="Y168" s="119">
        <v>45372</v>
      </c>
      <c r="Z168" s="126">
        <v>-0.39</v>
      </c>
      <c r="AA168" s="108">
        <v>45372</v>
      </c>
      <c r="AB168" s="108">
        <v>-0.33</v>
      </c>
      <c r="AC168" s="108">
        <v>45372</v>
      </c>
      <c r="AD168" s="108">
        <v>-0.63</v>
      </c>
    </row>
    <row r="169" spans="1:30">
      <c r="A169" s="99">
        <v>30621</v>
      </c>
      <c r="B169" s="119">
        <v>8.2702380952380956</v>
      </c>
      <c r="C169" s="120">
        <v>231.97142857142856</v>
      </c>
      <c r="D169" s="119">
        <v>27.69380952380952</v>
      </c>
      <c r="E169" s="120">
        <f t="shared" si="25"/>
        <v>0.34339523809523698</v>
      </c>
      <c r="F169" s="121">
        <f t="shared" si="26"/>
        <v>0.35366249406395067</v>
      </c>
      <c r="G169" s="127">
        <f t="shared" si="29"/>
        <v>-1.7745341682692761E-2</v>
      </c>
      <c r="J169" s="122">
        <v>8.1999999999999993</v>
      </c>
      <c r="K169" s="122">
        <v>239.3</v>
      </c>
      <c r="L169" s="122">
        <v>28.1</v>
      </c>
      <c r="M169" s="122">
        <f t="shared" si="22"/>
        <v>0.15560000000000151</v>
      </c>
      <c r="N169" s="128">
        <f t="shared" si="23"/>
        <v>0.36993154291732488</v>
      </c>
      <c r="O169" s="124">
        <f t="shared" si="27"/>
        <v>-7.0238095238096321E-2</v>
      </c>
      <c r="P169" s="125">
        <f t="shared" si="24"/>
        <v>-6.6714285714285495</v>
      </c>
      <c r="Q169" s="124">
        <f t="shared" si="28"/>
        <v>0.40619047619048132</v>
      </c>
      <c r="U169" s="119">
        <v>7.81</v>
      </c>
      <c r="V169" s="129">
        <f t="shared" si="30"/>
        <v>-0.460238095238096</v>
      </c>
      <c r="W169" s="119"/>
      <c r="X169" s="126"/>
      <c r="Y169" s="119">
        <v>45373</v>
      </c>
      <c r="Z169" s="126">
        <v>-0.39</v>
      </c>
      <c r="AA169" s="108">
        <v>45373</v>
      </c>
      <c r="AB169" s="108">
        <v>-0.33</v>
      </c>
      <c r="AC169" s="108">
        <v>45373</v>
      </c>
      <c r="AD169" s="108">
        <v>-0.63</v>
      </c>
    </row>
    <row r="170" spans="1:30">
      <c r="A170" s="99">
        <v>30651</v>
      </c>
      <c r="B170" s="119">
        <v>7.8719047619047604</v>
      </c>
      <c r="C170" s="120">
        <v>219.6</v>
      </c>
      <c r="D170" s="119">
        <v>27.416666666666668</v>
      </c>
      <c r="E170" s="120">
        <f t="shared" si="25"/>
        <v>0.41432857142857138</v>
      </c>
      <c r="F170" s="121">
        <f t="shared" si="26"/>
        <v>0.36395708544694616</v>
      </c>
      <c r="G170" s="127">
        <f t="shared" si="29"/>
        <v>1.0294591382995488E-2</v>
      </c>
      <c r="J170" s="122">
        <v>7.77</v>
      </c>
      <c r="K170" s="122">
        <v>231.25</v>
      </c>
      <c r="L170" s="122">
        <v>27.3</v>
      </c>
      <c r="M170" s="122">
        <f t="shared" si="22"/>
        <v>0.3205000000000009</v>
      </c>
      <c r="N170" s="128">
        <f t="shared" si="23"/>
        <v>0.37117607070020392</v>
      </c>
      <c r="O170" s="124">
        <f t="shared" si="27"/>
        <v>-0.10190476190476083</v>
      </c>
      <c r="P170" s="125">
        <f t="shared" si="24"/>
        <v>-2.3499999999999943</v>
      </c>
      <c r="Q170" s="124">
        <f t="shared" si="28"/>
        <v>-0.11666666666666714</v>
      </c>
      <c r="U170" s="119">
        <v>7.75</v>
      </c>
      <c r="V170" s="129">
        <f t="shared" si="30"/>
        <v>-0.12190476190476041</v>
      </c>
      <c r="W170" s="119"/>
      <c r="X170" s="126"/>
      <c r="Y170" s="119">
        <v>45376</v>
      </c>
      <c r="Z170" s="126">
        <v>-0.39</v>
      </c>
      <c r="AA170" s="108">
        <v>45376</v>
      </c>
      <c r="AB170" s="108">
        <v>-0.33</v>
      </c>
      <c r="AC170" s="108">
        <v>45376</v>
      </c>
      <c r="AD170" s="108">
        <v>-0.63</v>
      </c>
    </row>
    <row r="171" spans="1:30">
      <c r="A171" s="99">
        <v>30682</v>
      </c>
      <c r="B171" s="119">
        <v>7.6113095238095241</v>
      </c>
      <c r="C171" s="120">
        <v>201.99047619047619</v>
      </c>
      <c r="D171" s="119">
        <v>28.387142857142855</v>
      </c>
      <c r="E171" s="120">
        <f t="shared" si="25"/>
        <v>0.35904761904761884</v>
      </c>
      <c r="F171" s="121">
        <f t="shared" si="26"/>
        <v>0.39177488013621897</v>
      </c>
      <c r="G171" s="127">
        <f t="shared" si="29"/>
        <v>2.7817794689272812E-2</v>
      </c>
      <c r="J171" s="122">
        <v>7.67</v>
      </c>
      <c r="K171" s="122">
        <v>216.7</v>
      </c>
      <c r="L171" s="122">
        <v>28.3</v>
      </c>
      <c r="M171" s="122">
        <f t="shared" si="22"/>
        <v>0.21039999999999992</v>
      </c>
      <c r="N171" s="128">
        <f t="shared" si="23"/>
        <v>0.39503070910106092</v>
      </c>
      <c r="O171" s="124">
        <f t="shared" si="27"/>
        <v>5.8690476190475849E-2</v>
      </c>
      <c r="P171" s="125">
        <f t="shared" si="24"/>
        <v>0.70952380952380167</v>
      </c>
      <c r="Q171" s="124">
        <f t="shared" si="28"/>
        <v>-8.7142857142854524E-2</v>
      </c>
      <c r="U171" s="119">
        <v>7.85</v>
      </c>
      <c r="V171" s="129">
        <f t="shared" si="30"/>
        <v>0.23869047619047556</v>
      </c>
      <c r="W171" s="119"/>
      <c r="X171" s="126"/>
      <c r="Y171" s="119">
        <v>45377</v>
      </c>
      <c r="Z171" s="126">
        <v>-0.39</v>
      </c>
      <c r="AA171" s="108">
        <v>45377</v>
      </c>
      <c r="AB171" s="108">
        <v>-0.33</v>
      </c>
      <c r="AC171" s="108">
        <v>45377</v>
      </c>
      <c r="AD171" s="108">
        <v>-0.63</v>
      </c>
    </row>
    <row r="172" spans="1:30">
      <c r="A172" s="99">
        <v>30713</v>
      </c>
      <c r="B172" s="119">
        <v>7.224750000000002</v>
      </c>
      <c r="C172" s="120">
        <v>190.51</v>
      </c>
      <c r="D172" s="119">
        <v>26.791999999999994</v>
      </c>
      <c r="E172" s="120">
        <f t="shared" si="25"/>
        <v>0.29460999999999693</v>
      </c>
      <c r="F172" s="121">
        <f t="shared" si="26"/>
        <v>0.39193761171163499</v>
      </c>
      <c r="G172" s="127">
        <f t="shared" si="29"/>
        <v>1.6273157541601968E-4</v>
      </c>
      <c r="J172" s="122">
        <v>7.37</v>
      </c>
      <c r="K172" s="122">
        <v>198.5</v>
      </c>
      <c r="L172" s="122">
        <v>27.2</v>
      </c>
      <c r="M172" s="122">
        <f t="shared" si="22"/>
        <v>-1.1000000000000121E-2</v>
      </c>
      <c r="N172" s="128">
        <f t="shared" si="23"/>
        <v>0.40657698056801195</v>
      </c>
      <c r="O172" s="124">
        <f t="shared" si="27"/>
        <v>0.1452499999999981</v>
      </c>
      <c r="P172" s="125">
        <f t="shared" si="24"/>
        <v>-6.0099999999999909</v>
      </c>
      <c r="Q172" s="124">
        <f t="shared" si="28"/>
        <v>0.4080000000000048</v>
      </c>
      <c r="U172" s="119">
        <v>7.28</v>
      </c>
      <c r="V172" s="129">
        <f t="shared" si="30"/>
        <v>5.5249999999998245E-2</v>
      </c>
      <c r="W172" s="119"/>
      <c r="X172" s="126"/>
      <c r="Y172" s="119">
        <v>45378</v>
      </c>
      <c r="Z172" s="126">
        <v>-0.39</v>
      </c>
      <c r="AA172" s="108">
        <v>45378</v>
      </c>
      <c r="AB172" s="108">
        <v>-0.33</v>
      </c>
      <c r="AC172" s="108">
        <v>45378</v>
      </c>
      <c r="AD172" s="108">
        <v>-0.57999999999999996</v>
      </c>
    </row>
    <row r="173" spans="1:30">
      <c r="A173" s="99">
        <v>30742</v>
      </c>
      <c r="B173" s="119">
        <v>7.8906818181818181</v>
      </c>
      <c r="C173" s="120">
        <v>204.90454545454543</v>
      </c>
      <c r="D173" s="119">
        <v>29.625</v>
      </c>
      <c r="E173" s="120">
        <f t="shared" si="25"/>
        <v>0.28577727272727316</v>
      </c>
      <c r="F173" s="121">
        <f t="shared" si="26"/>
        <v>0.39855271869741343</v>
      </c>
      <c r="G173" s="127">
        <f t="shared" si="29"/>
        <v>6.6151069857784406E-3</v>
      </c>
      <c r="J173" s="122">
        <v>7.94</v>
      </c>
      <c r="K173" s="122">
        <v>211.25</v>
      </c>
      <c r="L173" s="122">
        <v>30.1</v>
      </c>
      <c r="M173" s="122">
        <f t="shared" si="22"/>
        <v>1.8499999999999517E-2</v>
      </c>
      <c r="N173" s="128">
        <f t="shared" si="23"/>
        <v>0.41603317208016588</v>
      </c>
      <c r="O173" s="124">
        <f t="shared" si="27"/>
        <v>4.9318181818182261E-2</v>
      </c>
      <c r="P173" s="125">
        <f t="shared" si="24"/>
        <v>-7.6545454545454277</v>
      </c>
      <c r="Q173" s="124">
        <f t="shared" si="28"/>
        <v>0.47500000000000142</v>
      </c>
      <c r="U173" s="119">
        <v>7.68</v>
      </c>
      <c r="V173" s="129">
        <f t="shared" si="30"/>
        <v>-0.21068181818181841</v>
      </c>
      <c r="W173" s="119"/>
      <c r="X173" s="126"/>
      <c r="Y173" s="119">
        <v>45379</v>
      </c>
      <c r="Z173" s="126">
        <v>-0.39</v>
      </c>
      <c r="AA173" s="108">
        <v>45379</v>
      </c>
      <c r="AB173" s="108">
        <v>-0.33</v>
      </c>
      <c r="AC173" s="108">
        <v>45379</v>
      </c>
      <c r="AD173" s="108">
        <v>-0.57999999999999996</v>
      </c>
    </row>
    <row r="174" spans="1:30">
      <c r="A174" s="99">
        <v>30773</v>
      </c>
      <c r="B174" s="119">
        <v>7.8737500000000002</v>
      </c>
      <c r="C174" s="120">
        <v>195.34</v>
      </c>
      <c r="D174" s="119">
        <v>31.402000000000008</v>
      </c>
      <c r="E174" s="120">
        <f t="shared" si="25"/>
        <v>0.26863000000000081</v>
      </c>
      <c r="F174" s="121">
        <f t="shared" si="26"/>
        <v>0.42422731437245625</v>
      </c>
      <c r="G174" s="127">
        <f t="shared" si="29"/>
        <v>2.5674595675042822E-2</v>
      </c>
      <c r="J174" s="122">
        <v>7.98</v>
      </c>
      <c r="K174" s="122">
        <v>205.75</v>
      </c>
      <c r="L174" s="122">
        <v>32.1</v>
      </c>
      <c r="M174" s="122">
        <f t="shared" si="22"/>
        <v>7.7499999999998792E-2</v>
      </c>
      <c r="N174" s="128">
        <f t="shared" si="23"/>
        <v>0.43822525597269629</v>
      </c>
      <c r="O174" s="124">
        <f t="shared" si="27"/>
        <v>0.10625000000000018</v>
      </c>
      <c r="P174" s="125">
        <f t="shared" si="24"/>
        <v>-3.5900000000000034</v>
      </c>
      <c r="Q174" s="124">
        <f t="shared" si="28"/>
        <v>0.69799999999999329</v>
      </c>
      <c r="U174" s="119">
        <v>7.83</v>
      </c>
      <c r="V174" s="129">
        <f t="shared" si="30"/>
        <v>-4.3750000000000178E-2</v>
      </c>
      <c r="W174" s="119"/>
      <c r="X174" s="126"/>
      <c r="Y174" s="119">
        <v>45383</v>
      </c>
      <c r="Z174" s="126">
        <v>-0.38</v>
      </c>
      <c r="AA174" s="108">
        <v>45383</v>
      </c>
      <c r="AB174" s="108">
        <v>-0.26</v>
      </c>
      <c r="AC174" s="108">
        <v>45383</v>
      </c>
      <c r="AD174" s="108">
        <v>-0.48</v>
      </c>
    </row>
    <row r="175" spans="1:30">
      <c r="A175" s="99">
        <v>30803</v>
      </c>
      <c r="B175" s="119">
        <v>8.5365909090909078</v>
      </c>
      <c r="C175" s="120">
        <v>197.63181818181818</v>
      </c>
      <c r="D175" s="119">
        <v>37.05590909090909</v>
      </c>
      <c r="E175" s="120">
        <f t="shared" si="25"/>
        <v>0.28272272727272885</v>
      </c>
      <c r="F175" s="121">
        <f t="shared" si="26"/>
        <v>0.46218449281509744</v>
      </c>
      <c r="G175" s="127">
        <f t="shared" si="29"/>
        <v>3.7957178442641182E-2</v>
      </c>
      <c r="J175" s="122">
        <v>8.61</v>
      </c>
      <c r="K175" s="122">
        <v>203.6</v>
      </c>
      <c r="L175" s="122">
        <v>39</v>
      </c>
      <c r="M175" s="122">
        <f t="shared" si="22"/>
        <v>0.15920000000000201</v>
      </c>
      <c r="N175" s="128">
        <f t="shared" si="23"/>
        <v>0.48921224284997483</v>
      </c>
      <c r="O175" s="124">
        <f t="shared" si="27"/>
        <v>7.3409090909091645E-2</v>
      </c>
      <c r="P175" s="125">
        <f t="shared" si="24"/>
        <v>-8.0318181818181813</v>
      </c>
      <c r="Q175" s="124">
        <f t="shared" si="28"/>
        <v>1.9440909090909102</v>
      </c>
      <c r="U175" s="119">
        <v>8.1199999999999992</v>
      </c>
      <c r="V175" s="129">
        <f t="shared" si="30"/>
        <v>-0.41659090909090857</v>
      </c>
      <c r="W175" s="119"/>
      <c r="X175" s="126"/>
      <c r="Y175" s="119">
        <v>45384</v>
      </c>
      <c r="Z175" s="126">
        <v>-0.38</v>
      </c>
      <c r="AA175" s="108">
        <v>45384</v>
      </c>
      <c r="AB175" s="108">
        <v>-0.26</v>
      </c>
      <c r="AC175" s="108">
        <v>45384</v>
      </c>
      <c r="AD175" s="108">
        <v>-0.48</v>
      </c>
    </row>
    <row r="176" spans="1:30">
      <c r="A176" s="99">
        <v>30834</v>
      </c>
      <c r="B176" s="119">
        <v>7.8202380952380945</v>
      </c>
      <c r="C176" s="120">
        <v>183.99047619047622</v>
      </c>
      <c r="D176" s="119">
        <v>34.043333333333322</v>
      </c>
      <c r="E176" s="120">
        <f t="shared" si="25"/>
        <v>0.34029999999999916</v>
      </c>
      <c r="F176" s="121">
        <f t="shared" si="26"/>
        <v>0.45888722323983061</v>
      </c>
      <c r="G176" s="127">
        <f t="shared" si="29"/>
        <v>-3.2972695752668257E-3</v>
      </c>
      <c r="J176" s="122">
        <v>7.91</v>
      </c>
      <c r="K176" s="122">
        <v>190.75</v>
      </c>
      <c r="L176" s="122">
        <v>35.9</v>
      </c>
      <c r="M176" s="122">
        <f t="shared" si="22"/>
        <v>0.23550000000000004</v>
      </c>
      <c r="N176" s="128">
        <f t="shared" si="23"/>
        <v>0.48480756245779877</v>
      </c>
      <c r="O176" s="124">
        <f t="shared" si="27"/>
        <v>8.9761904761905598E-2</v>
      </c>
      <c r="P176" s="125">
        <f t="shared" si="24"/>
        <v>-7.2404761904762154</v>
      </c>
      <c r="Q176" s="124">
        <f t="shared" si="28"/>
        <v>1.8566666666666762</v>
      </c>
      <c r="U176" s="119">
        <v>7.99</v>
      </c>
      <c r="V176" s="129">
        <f t="shared" si="30"/>
        <v>0.16976190476190567</v>
      </c>
      <c r="W176" s="119"/>
      <c r="X176" s="126"/>
      <c r="Y176" s="119">
        <v>45385</v>
      </c>
      <c r="Z176" s="126">
        <v>-0.38</v>
      </c>
      <c r="AA176" s="108">
        <v>45385</v>
      </c>
      <c r="AB176" s="108">
        <v>-0.26</v>
      </c>
      <c r="AC176" s="108">
        <v>45385</v>
      </c>
      <c r="AD176" s="108">
        <v>-0.48</v>
      </c>
    </row>
    <row r="177" spans="1:30">
      <c r="A177" s="99">
        <v>30864</v>
      </c>
      <c r="B177" s="119">
        <v>6.6502380952380955</v>
      </c>
      <c r="C177" s="120">
        <v>165.47142857142859</v>
      </c>
      <c r="D177" s="119">
        <v>28.153809523809521</v>
      </c>
      <c r="E177" s="120">
        <f t="shared" si="25"/>
        <v>0.41799523809523809</v>
      </c>
      <c r="F177" s="121">
        <f t="shared" si="26"/>
        <v>0.43814612528624036</v>
      </c>
      <c r="G177" s="127">
        <f t="shared" si="29"/>
        <v>-2.0741097953590248E-2</v>
      </c>
      <c r="J177" s="122">
        <v>6.85</v>
      </c>
      <c r="K177" s="122">
        <v>173</v>
      </c>
      <c r="L177" s="122">
        <v>30.9</v>
      </c>
      <c r="M177" s="122">
        <f t="shared" si="22"/>
        <v>0.35500000000000043</v>
      </c>
      <c r="N177" s="128">
        <f t="shared" si="23"/>
        <v>0.47175572519083969</v>
      </c>
      <c r="O177" s="124">
        <f t="shared" si="27"/>
        <v>0.19976190476190414</v>
      </c>
      <c r="P177" s="125">
        <f t="shared" si="24"/>
        <v>-6.4714285714285893</v>
      </c>
      <c r="Q177" s="124">
        <f t="shared" si="28"/>
        <v>2.7461904761904776</v>
      </c>
      <c r="U177" s="119">
        <v>6.95</v>
      </c>
      <c r="V177" s="129">
        <f t="shared" si="30"/>
        <v>0.29976190476190467</v>
      </c>
      <c r="W177" s="119"/>
      <c r="X177" s="126"/>
      <c r="Y177" s="119">
        <v>45386</v>
      </c>
      <c r="Z177" s="126">
        <v>-0.38</v>
      </c>
      <c r="AA177" s="108">
        <v>45386</v>
      </c>
      <c r="AB177" s="108">
        <v>-0.26</v>
      </c>
      <c r="AC177" s="108">
        <v>45386</v>
      </c>
      <c r="AD177" s="108">
        <v>-0.48</v>
      </c>
    </row>
    <row r="178" spans="1:30">
      <c r="A178" s="99">
        <v>30895</v>
      </c>
      <c r="B178" s="119">
        <v>6.3757608695652168</v>
      </c>
      <c r="C178" s="120">
        <v>156.77391304347827</v>
      </c>
      <c r="D178" s="119">
        <v>27.253043478260881</v>
      </c>
      <c r="E178" s="120">
        <f t="shared" si="25"/>
        <v>0.38464782608695813</v>
      </c>
      <c r="F178" s="121">
        <f t="shared" si="26"/>
        <v>0.44343987435799492</v>
      </c>
      <c r="G178" s="127">
        <f t="shared" si="29"/>
        <v>5.293749071754561E-3</v>
      </c>
      <c r="J178" s="122">
        <v>6.63</v>
      </c>
      <c r="K178" s="122">
        <v>165.5</v>
      </c>
      <c r="L178" s="122">
        <v>29</v>
      </c>
      <c r="M178" s="122">
        <f t="shared" si="22"/>
        <v>0.20099999999999962</v>
      </c>
      <c r="N178" s="128">
        <f t="shared" si="23"/>
        <v>0.4669887278582931</v>
      </c>
      <c r="O178" s="124">
        <f t="shared" si="27"/>
        <v>0.25423913043478308</v>
      </c>
      <c r="P178" s="125">
        <f t="shared" si="24"/>
        <v>-5.2739130434782737</v>
      </c>
      <c r="Q178" s="124">
        <f t="shared" si="28"/>
        <v>1.7469565217391185</v>
      </c>
      <c r="U178" s="119">
        <v>6.5</v>
      </c>
      <c r="V178" s="129">
        <f t="shared" si="30"/>
        <v>0.12423913043478318</v>
      </c>
      <c r="W178" s="119"/>
      <c r="X178" s="126"/>
      <c r="Y178" s="119">
        <v>45387</v>
      </c>
      <c r="Z178" s="126">
        <v>-0.38</v>
      </c>
      <c r="AA178" s="108">
        <v>45387</v>
      </c>
      <c r="AB178" s="108">
        <v>-0.26</v>
      </c>
      <c r="AC178" s="108">
        <v>45387</v>
      </c>
      <c r="AD178" s="108">
        <v>-0.48</v>
      </c>
    </row>
    <row r="179" spans="1:30">
      <c r="A179" s="99">
        <v>30926</v>
      </c>
      <c r="B179" s="119">
        <v>6.1057894736842098</v>
      </c>
      <c r="C179" s="120">
        <v>149.02105263157893</v>
      </c>
      <c r="D179" s="119">
        <v>26.062631578947368</v>
      </c>
      <c r="E179" s="120">
        <f t="shared" si="25"/>
        <v>0.33760526315789452</v>
      </c>
      <c r="F179" s="121">
        <f t="shared" si="26"/>
        <v>0.44493463318208371</v>
      </c>
      <c r="G179" s="127">
        <f t="shared" si="29"/>
        <v>1.4947588240887821E-3</v>
      </c>
      <c r="J179" s="122">
        <v>6.21</v>
      </c>
      <c r="K179" s="122">
        <v>159.69999999999999</v>
      </c>
      <c r="L179" s="122">
        <v>27.9</v>
      </c>
      <c r="M179" s="122">
        <f t="shared" si="22"/>
        <v>0.37239999999999895</v>
      </c>
      <c r="N179" s="128">
        <f t="shared" si="23"/>
        <v>0.46624331550802139</v>
      </c>
      <c r="O179" s="124">
        <f t="shared" si="27"/>
        <v>0.1042105263157902</v>
      </c>
      <c r="P179" s="125">
        <f t="shared" si="24"/>
        <v>-3.3210526315789366</v>
      </c>
      <c r="Q179" s="124">
        <f t="shared" si="28"/>
        <v>1.8373684210526307</v>
      </c>
      <c r="U179" s="119">
        <v>6.09</v>
      </c>
      <c r="V179" s="129">
        <f t="shared" si="30"/>
        <v>-1.5789473684209909E-2</v>
      </c>
      <c r="W179" s="119"/>
      <c r="X179" s="126"/>
      <c r="Y179" s="119">
        <v>45390</v>
      </c>
      <c r="Z179" s="126">
        <v>-0.38</v>
      </c>
      <c r="AA179" s="108">
        <v>45390</v>
      </c>
      <c r="AB179" s="108">
        <v>-0.26</v>
      </c>
      <c r="AC179" s="108">
        <v>45390</v>
      </c>
      <c r="AD179" s="108">
        <v>-0.45</v>
      </c>
    </row>
    <row r="180" spans="1:30">
      <c r="A180" s="99">
        <v>30956</v>
      </c>
      <c r="B180" s="119">
        <v>6.1383695652173902</v>
      </c>
      <c r="C180" s="120">
        <v>154.03043478260869</v>
      </c>
      <c r="D180" s="119">
        <v>26.118695652173916</v>
      </c>
      <c r="E180" s="120">
        <f t="shared" si="25"/>
        <v>0.43141739130434953</v>
      </c>
      <c r="F180" s="121">
        <f t="shared" si="26"/>
        <v>0.43731349901492411</v>
      </c>
      <c r="G180" s="127">
        <f t="shared" si="29"/>
        <v>-7.6211341671595934E-3</v>
      </c>
      <c r="J180" s="122">
        <v>6.27</v>
      </c>
      <c r="K180" s="122">
        <v>156.5</v>
      </c>
      <c r="L180" s="122">
        <v>30.5</v>
      </c>
      <c r="M180" s="122">
        <f t="shared" si="22"/>
        <v>0.52800000000000047</v>
      </c>
      <c r="N180" s="128">
        <f t="shared" si="23"/>
        <v>0.49352750809061491</v>
      </c>
      <c r="O180" s="124">
        <f t="shared" si="27"/>
        <v>0.13163043478260938</v>
      </c>
      <c r="P180" s="125">
        <f t="shared" si="24"/>
        <v>-11.530434782608694</v>
      </c>
      <c r="Q180" s="124">
        <f t="shared" si="28"/>
        <v>4.3813043478260845</v>
      </c>
      <c r="U180" s="119">
        <v>6.07</v>
      </c>
      <c r="V180" s="129">
        <f t="shared" si="30"/>
        <v>-6.8369565217389905E-2</v>
      </c>
      <c r="W180" s="119"/>
      <c r="X180" s="126"/>
      <c r="Y180" s="119">
        <v>45391</v>
      </c>
      <c r="Z180" s="126">
        <v>-0.38</v>
      </c>
      <c r="AA180" s="108">
        <v>45391</v>
      </c>
      <c r="AB180" s="108">
        <v>-0.24</v>
      </c>
      <c r="AC180" s="108">
        <v>45391</v>
      </c>
      <c r="AD180" s="108">
        <v>-0.45</v>
      </c>
    </row>
    <row r="181" spans="1:30">
      <c r="A181" s="99">
        <v>30987</v>
      </c>
      <c r="B181" s="119">
        <v>6.2233333333333336</v>
      </c>
      <c r="C181" s="120">
        <v>152.38095238095244</v>
      </c>
      <c r="D181" s="119">
        <v>28.158095238095239</v>
      </c>
      <c r="E181" s="120">
        <f t="shared" si="25"/>
        <v>0.531200000000001</v>
      </c>
      <c r="F181" s="121">
        <f t="shared" si="26"/>
        <v>0.45856468882979468</v>
      </c>
      <c r="G181" s="127">
        <f t="shared" si="29"/>
        <v>2.1251189814870564E-2</v>
      </c>
      <c r="J181" s="122">
        <v>6.25</v>
      </c>
      <c r="K181" s="122">
        <v>150</v>
      </c>
      <c r="L181" s="122">
        <v>31.7</v>
      </c>
      <c r="M181" s="122">
        <f t="shared" ref="M181:M244" si="31">(K181/2000*44)+(L181/100*11)-J181</f>
        <v>0.53699999999999992</v>
      </c>
      <c r="N181" s="128">
        <f t="shared" ref="N181:N244" si="32">L181/100*11/(J181+M181)</f>
        <v>0.51377633711507298</v>
      </c>
      <c r="O181" s="124">
        <f t="shared" si="27"/>
        <v>2.6666666666666394E-2</v>
      </c>
      <c r="P181" s="125">
        <f t="shared" ref="P181:P244" si="33">K181-(C181+14)</f>
        <v>-16.380952380952436</v>
      </c>
      <c r="Q181" s="124">
        <f t="shared" si="28"/>
        <v>3.5419047619047603</v>
      </c>
      <c r="U181" s="119">
        <v>6.01</v>
      </c>
      <c r="V181" s="129">
        <f t="shared" si="30"/>
        <v>-0.21333333333333382</v>
      </c>
      <c r="W181" s="119"/>
      <c r="X181" s="126"/>
      <c r="Y181" s="119">
        <v>45392</v>
      </c>
      <c r="Z181" s="126">
        <v>-0.38</v>
      </c>
      <c r="AA181" s="108">
        <v>45392</v>
      </c>
      <c r="AB181" s="108">
        <v>-0.24</v>
      </c>
      <c r="AC181" s="108">
        <v>45392</v>
      </c>
      <c r="AD181" s="108">
        <v>-0.45</v>
      </c>
    </row>
    <row r="182" spans="1:30">
      <c r="A182" s="99">
        <v>31017</v>
      </c>
      <c r="B182" s="119">
        <v>5.9067500000000006</v>
      </c>
      <c r="C182" s="120">
        <v>146.41499999999999</v>
      </c>
      <c r="D182" s="119">
        <v>25.876999999999999</v>
      </c>
      <c r="E182" s="120">
        <f t="shared" si="25"/>
        <v>0.45367999999999942</v>
      </c>
      <c r="F182" s="121">
        <f t="shared" si="26"/>
        <v>0.44752791870989855</v>
      </c>
      <c r="G182" s="127">
        <f t="shared" si="29"/>
        <v>-1.1036770119896122E-2</v>
      </c>
      <c r="J182" s="122">
        <v>6.07</v>
      </c>
      <c r="K182" s="122">
        <v>150.5</v>
      </c>
      <c r="L182" s="122">
        <v>28.4</v>
      </c>
      <c r="M182" s="122">
        <f t="shared" si="31"/>
        <v>0.36499999999999932</v>
      </c>
      <c r="N182" s="128">
        <f t="shared" si="32"/>
        <v>0.48547008547008547</v>
      </c>
      <c r="O182" s="124">
        <f t="shared" si="27"/>
        <v>0.16324999999999967</v>
      </c>
      <c r="P182" s="125">
        <f t="shared" si="33"/>
        <v>-9.914999999999992</v>
      </c>
      <c r="Q182" s="124">
        <f t="shared" si="28"/>
        <v>2.5229999999999997</v>
      </c>
      <c r="U182" s="119">
        <v>5.82</v>
      </c>
      <c r="V182" s="129">
        <f t="shared" si="30"/>
        <v>-8.6750000000000327E-2</v>
      </c>
      <c r="W182" s="119"/>
      <c r="X182" s="126"/>
      <c r="Y182" s="119">
        <v>45393</v>
      </c>
      <c r="Z182" s="126">
        <v>-0.38</v>
      </c>
      <c r="AA182" s="108">
        <v>45393</v>
      </c>
      <c r="AB182" s="108">
        <v>-0.24</v>
      </c>
      <c r="AC182" s="108">
        <v>45393</v>
      </c>
      <c r="AD182" s="108">
        <v>-0.45</v>
      </c>
    </row>
    <row r="183" spans="1:30">
      <c r="A183" s="99">
        <v>31048</v>
      </c>
      <c r="B183" s="119">
        <v>5.9395454545454553</v>
      </c>
      <c r="C183" s="120">
        <v>144.32272727272724</v>
      </c>
      <c r="D183" s="119">
        <v>25.991363636363634</v>
      </c>
      <c r="E183" s="120">
        <f t="shared" si="25"/>
        <v>0.38324999999999854</v>
      </c>
      <c r="F183" s="121">
        <f t="shared" si="26"/>
        <v>0.45218132083406726</v>
      </c>
      <c r="G183" s="127">
        <f t="shared" si="29"/>
        <v>4.653402124168704E-3</v>
      </c>
      <c r="J183" s="122">
        <v>6.04</v>
      </c>
      <c r="K183" s="122">
        <v>146.80000000000001</v>
      </c>
      <c r="L183" s="122">
        <v>28</v>
      </c>
      <c r="M183" s="122">
        <f t="shared" si="31"/>
        <v>0.26960000000000051</v>
      </c>
      <c r="N183" s="128">
        <f t="shared" si="32"/>
        <v>0.48814504881450488</v>
      </c>
      <c r="O183" s="124">
        <f t="shared" si="27"/>
        <v>0.10045454545454469</v>
      </c>
      <c r="P183" s="125">
        <f t="shared" si="33"/>
        <v>-11.522727272727224</v>
      </c>
      <c r="Q183" s="124">
        <f t="shared" si="28"/>
        <v>2.0086363636363664</v>
      </c>
      <c r="U183" s="119">
        <v>5.91</v>
      </c>
      <c r="V183" s="129">
        <f t="shared" si="30"/>
        <v>-2.9545454545455208E-2</v>
      </c>
      <c r="W183" s="119"/>
      <c r="X183" s="126"/>
      <c r="Y183" s="119">
        <v>45394</v>
      </c>
      <c r="Z183" s="126">
        <v>-0.38</v>
      </c>
      <c r="AA183" s="108">
        <v>45394</v>
      </c>
      <c r="AB183" s="108">
        <v>-0.24</v>
      </c>
      <c r="AC183" s="108">
        <v>45394</v>
      </c>
      <c r="AD183" s="108">
        <v>-0.38</v>
      </c>
    </row>
    <row r="184" spans="1:30">
      <c r="A184" s="99">
        <v>31079</v>
      </c>
      <c r="B184" s="119">
        <v>5.8198684210526315</v>
      </c>
      <c r="C184" s="120">
        <v>132.34736842105264</v>
      </c>
      <c r="D184" s="119">
        <v>28.06421052631579</v>
      </c>
      <c r="E184" s="120">
        <f t="shared" si="25"/>
        <v>0.44353157894736839</v>
      </c>
      <c r="F184" s="121">
        <f t="shared" si="26"/>
        <v>0.49287338472630471</v>
      </c>
      <c r="G184" s="127">
        <f t="shared" si="29"/>
        <v>4.0692063892237451E-2</v>
      </c>
      <c r="J184" s="122">
        <v>5.97</v>
      </c>
      <c r="K184" s="122">
        <v>137.4</v>
      </c>
      <c r="L184" s="122">
        <v>29.6</v>
      </c>
      <c r="M184" s="122">
        <f t="shared" si="31"/>
        <v>0.30880000000000063</v>
      </c>
      <c r="N184" s="128">
        <f t="shared" si="32"/>
        <v>0.5185704274702172</v>
      </c>
      <c r="O184" s="124">
        <f t="shared" si="27"/>
        <v>0.15013157894736828</v>
      </c>
      <c r="P184" s="125">
        <f t="shared" si="33"/>
        <v>-8.9473684210526301</v>
      </c>
      <c r="Q184" s="124">
        <f t="shared" si="28"/>
        <v>1.5357894736842113</v>
      </c>
      <c r="U184" s="119">
        <v>5.77</v>
      </c>
      <c r="V184" s="129">
        <f t="shared" si="30"/>
        <v>-4.9868421052631895E-2</v>
      </c>
      <c r="W184" s="119"/>
      <c r="X184" s="126"/>
      <c r="Y184" s="119">
        <v>45397</v>
      </c>
      <c r="Z184" s="126">
        <v>-0.38</v>
      </c>
      <c r="AA184" s="108">
        <v>45397</v>
      </c>
      <c r="AB184" s="108">
        <v>-0.24</v>
      </c>
      <c r="AC184" s="108">
        <v>45397</v>
      </c>
      <c r="AD184" s="108">
        <v>-0.38</v>
      </c>
    </row>
    <row r="185" spans="1:30">
      <c r="A185" s="99">
        <v>31107</v>
      </c>
      <c r="B185" s="119">
        <v>5.939761904761907</v>
      </c>
      <c r="C185" s="120">
        <v>135.62380952380951</v>
      </c>
      <c r="D185" s="119">
        <v>28.658571428571431</v>
      </c>
      <c r="E185" s="120">
        <f t="shared" si="25"/>
        <v>0.46765238095237915</v>
      </c>
      <c r="F185" s="121">
        <f t="shared" si="26"/>
        <v>0.49199922411313685</v>
      </c>
      <c r="G185" s="127">
        <f t="shared" si="29"/>
        <v>-8.7416061316786253E-4</v>
      </c>
      <c r="J185" s="122">
        <v>6.08</v>
      </c>
      <c r="K185" s="122">
        <v>137.5</v>
      </c>
      <c r="L185" s="122">
        <v>31.3</v>
      </c>
      <c r="M185" s="122">
        <f t="shared" si="31"/>
        <v>0.3879999999999999</v>
      </c>
      <c r="N185" s="128">
        <f t="shared" si="32"/>
        <v>0.53231292517006801</v>
      </c>
      <c r="O185" s="124">
        <f t="shared" si="27"/>
        <v>0.14023809523809305</v>
      </c>
      <c r="P185" s="125">
        <f t="shared" si="33"/>
        <v>-12.123809523809513</v>
      </c>
      <c r="Q185" s="124">
        <f t="shared" si="28"/>
        <v>2.6414285714285697</v>
      </c>
      <c r="U185" s="119">
        <v>5.88</v>
      </c>
      <c r="V185" s="129">
        <f t="shared" si="30"/>
        <v>-5.9761904761907125E-2</v>
      </c>
      <c r="W185" s="119"/>
      <c r="X185" s="126"/>
      <c r="Y185" s="119">
        <v>45398</v>
      </c>
      <c r="Z185" s="126">
        <v>-0.38</v>
      </c>
      <c r="AA185" s="108">
        <v>45398</v>
      </c>
      <c r="AB185" s="108">
        <v>-0.27</v>
      </c>
      <c r="AC185" s="108">
        <v>45398</v>
      </c>
      <c r="AD185" s="108">
        <v>-0.38</v>
      </c>
    </row>
    <row r="186" spans="1:30">
      <c r="A186" s="99">
        <v>31138</v>
      </c>
      <c r="B186" s="119">
        <v>5.9850000000000003</v>
      </c>
      <c r="C186" s="120">
        <v>128.39047619047619</v>
      </c>
      <c r="D186" s="119">
        <v>32.095714285714287</v>
      </c>
      <c r="E186" s="120">
        <f t="shared" si="25"/>
        <v>0.62690000000000001</v>
      </c>
      <c r="F186" s="121">
        <f t="shared" si="26"/>
        <v>0.5339658148835541</v>
      </c>
      <c r="G186" s="127">
        <f t="shared" si="29"/>
        <v>4.1966590770417256E-2</v>
      </c>
      <c r="J186" s="122">
        <v>6.13</v>
      </c>
      <c r="K186" s="122">
        <v>128.6</v>
      </c>
      <c r="L186" s="122">
        <v>33.6</v>
      </c>
      <c r="M186" s="122">
        <f t="shared" si="31"/>
        <v>0.3952</v>
      </c>
      <c r="N186" s="128">
        <f t="shared" si="32"/>
        <v>0.56641942009440327</v>
      </c>
      <c r="O186" s="124">
        <f t="shared" si="27"/>
        <v>0.14499999999999957</v>
      </c>
      <c r="P186" s="125">
        <f t="shared" si="33"/>
        <v>-13.790476190476198</v>
      </c>
      <c r="Q186" s="124">
        <f t="shared" si="28"/>
        <v>1.5042857142857144</v>
      </c>
      <c r="U186" s="119">
        <v>5.88</v>
      </c>
      <c r="V186" s="129">
        <f t="shared" si="30"/>
        <v>-0.10500000000000043</v>
      </c>
      <c r="W186" s="119"/>
      <c r="X186" s="126"/>
      <c r="Y186" s="119">
        <v>45399</v>
      </c>
      <c r="Z186" s="126">
        <v>-0.38</v>
      </c>
      <c r="AA186" s="108">
        <v>45399</v>
      </c>
      <c r="AB186" s="108">
        <v>-0.27</v>
      </c>
      <c r="AC186" s="108">
        <v>45399</v>
      </c>
      <c r="AD186" s="108">
        <v>-0.38</v>
      </c>
    </row>
    <row r="187" spans="1:30">
      <c r="A187" s="99">
        <v>31168</v>
      </c>
      <c r="B187" s="119">
        <v>5.7646590909090909</v>
      </c>
      <c r="C187" s="120">
        <v>124.35454545454544</v>
      </c>
      <c r="D187" s="119">
        <v>30.246818181818188</v>
      </c>
      <c r="E187" s="120">
        <f t="shared" si="25"/>
        <v>0.54699999999999971</v>
      </c>
      <c r="F187" s="121">
        <f t="shared" si="26"/>
        <v>0.5271434898618359</v>
      </c>
      <c r="G187" s="127">
        <f t="shared" si="29"/>
        <v>-6.8223250217182008E-3</v>
      </c>
      <c r="J187" s="122">
        <v>5.95</v>
      </c>
      <c r="K187" s="122">
        <v>120.75</v>
      </c>
      <c r="L187" s="122">
        <v>32.5</v>
      </c>
      <c r="M187" s="122">
        <f t="shared" si="31"/>
        <v>0.28150000000000031</v>
      </c>
      <c r="N187" s="128">
        <f t="shared" si="32"/>
        <v>0.57369814651368045</v>
      </c>
      <c r="O187" s="124">
        <f t="shared" si="27"/>
        <v>0.18534090909090928</v>
      </c>
      <c r="P187" s="125">
        <f t="shared" si="33"/>
        <v>-17.604545454545445</v>
      </c>
      <c r="Q187" s="124">
        <f t="shared" si="28"/>
        <v>2.2531818181818117</v>
      </c>
      <c r="U187" s="119">
        <v>5.7</v>
      </c>
      <c r="V187" s="129">
        <f t="shared" si="30"/>
        <v>-6.4659090909090722E-2</v>
      </c>
      <c r="W187" s="119"/>
      <c r="X187" s="126"/>
      <c r="Y187" s="119">
        <v>45400</v>
      </c>
      <c r="Z187" s="126">
        <v>-0.38</v>
      </c>
      <c r="AA187" s="108">
        <v>45400</v>
      </c>
      <c r="AB187" s="108">
        <v>-0.27</v>
      </c>
      <c r="AC187" s="108">
        <v>45400</v>
      </c>
      <c r="AD187" s="108">
        <v>-0.38</v>
      </c>
    </row>
    <row r="188" spans="1:30">
      <c r="A188" s="99">
        <v>31199</v>
      </c>
      <c r="B188" s="119">
        <v>5.766</v>
      </c>
      <c r="C188" s="120">
        <v>121.765</v>
      </c>
      <c r="D188" s="119">
        <v>30.481999999999999</v>
      </c>
      <c r="E188" s="120">
        <f t="shared" si="25"/>
        <v>0.50938000000000017</v>
      </c>
      <c r="F188" s="121">
        <f t="shared" si="26"/>
        <v>0.53431345990202983</v>
      </c>
      <c r="G188" s="127">
        <f t="shared" si="29"/>
        <v>7.1699700401939293E-3</v>
      </c>
      <c r="J188" s="122">
        <v>5.88</v>
      </c>
      <c r="K188" s="122">
        <v>119.4</v>
      </c>
      <c r="L188" s="122">
        <v>32.5</v>
      </c>
      <c r="M188" s="122">
        <f t="shared" si="31"/>
        <v>0.32180000000000053</v>
      </c>
      <c r="N188" s="128">
        <f t="shared" si="32"/>
        <v>0.57644554806669035</v>
      </c>
      <c r="O188" s="124">
        <f t="shared" si="27"/>
        <v>0.11399999999999988</v>
      </c>
      <c r="P188" s="125">
        <f t="shared" si="33"/>
        <v>-16.364999999999981</v>
      </c>
      <c r="Q188" s="124">
        <f t="shared" si="28"/>
        <v>2.0180000000000007</v>
      </c>
      <c r="U188" s="119">
        <v>5.62</v>
      </c>
      <c r="V188" s="129">
        <f t="shared" si="30"/>
        <v>-0.14599999999999991</v>
      </c>
      <c r="W188" s="119"/>
      <c r="X188" s="126"/>
      <c r="Y188" s="119">
        <v>45401</v>
      </c>
      <c r="Z188" s="126">
        <v>-0.38</v>
      </c>
      <c r="AA188" s="108">
        <v>45401</v>
      </c>
      <c r="AB188" s="108">
        <v>-0.26</v>
      </c>
      <c r="AC188" s="108">
        <v>45401</v>
      </c>
      <c r="AD188" s="108">
        <v>-0.38</v>
      </c>
    </row>
    <row r="189" spans="1:30">
      <c r="A189" s="99">
        <v>31229</v>
      </c>
      <c r="B189" s="119">
        <v>5.5181818181818167</v>
      </c>
      <c r="C189" s="120">
        <v>125.71363636363638</v>
      </c>
      <c r="D189" s="119">
        <v>26.950909090909089</v>
      </c>
      <c r="E189" s="120">
        <f t="shared" si="25"/>
        <v>0.46354545454545626</v>
      </c>
      <c r="F189" s="121">
        <f t="shared" si="26"/>
        <v>0.49560935576528514</v>
      </c>
      <c r="G189" s="127">
        <f t="shared" si="29"/>
        <v>-3.8704104136744688E-2</v>
      </c>
      <c r="J189" s="122">
        <v>5.65</v>
      </c>
      <c r="K189" s="122">
        <v>122.75</v>
      </c>
      <c r="L189" s="122">
        <v>29.1</v>
      </c>
      <c r="M189" s="122">
        <f t="shared" si="31"/>
        <v>0.25150000000000006</v>
      </c>
      <c r="N189" s="128">
        <f t="shared" si="32"/>
        <v>0.54240447343895626</v>
      </c>
      <c r="O189" s="124">
        <f t="shared" si="27"/>
        <v>0.13181818181818361</v>
      </c>
      <c r="P189" s="125">
        <f t="shared" si="33"/>
        <v>-16.963636363636397</v>
      </c>
      <c r="Q189" s="124">
        <f t="shared" si="28"/>
        <v>2.149090909090912</v>
      </c>
      <c r="U189" s="119">
        <v>5.42</v>
      </c>
      <c r="V189" s="129">
        <f t="shared" si="30"/>
        <v>-9.8181818181816816E-2</v>
      </c>
      <c r="W189" s="119"/>
      <c r="X189" s="126"/>
      <c r="Y189" s="119">
        <v>45404</v>
      </c>
      <c r="Z189" s="126">
        <v>-0.38</v>
      </c>
      <c r="AA189" s="108">
        <v>45404</v>
      </c>
      <c r="AB189" s="108">
        <v>-0.26</v>
      </c>
      <c r="AC189" s="108">
        <v>45404</v>
      </c>
      <c r="AD189" s="108">
        <v>-0.38</v>
      </c>
    </row>
    <row r="190" spans="1:30">
      <c r="A190" s="99">
        <v>31260</v>
      </c>
      <c r="B190" s="119">
        <v>5.1398863636363643</v>
      </c>
      <c r="C190" s="120">
        <v>124.2318181818182</v>
      </c>
      <c r="D190" s="119">
        <v>23.020454545454545</v>
      </c>
      <c r="E190" s="120">
        <f t="shared" si="25"/>
        <v>0.373927272727272</v>
      </c>
      <c r="F190" s="121">
        <f t="shared" si="26"/>
        <v>0.45925563811221237</v>
      </c>
      <c r="G190" s="127">
        <f t="shared" si="29"/>
        <v>-3.635371765307277E-2</v>
      </c>
      <c r="J190" s="122">
        <v>5.28</v>
      </c>
      <c r="K190" s="122">
        <v>128.75</v>
      </c>
      <c r="L190" s="122">
        <v>24.1</v>
      </c>
      <c r="M190" s="122">
        <f t="shared" si="31"/>
        <v>0.20350000000000001</v>
      </c>
      <c r="N190" s="128">
        <f t="shared" si="32"/>
        <v>0.48345035105315948</v>
      </c>
      <c r="O190" s="124">
        <f t="shared" si="27"/>
        <v>0.14011363636363594</v>
      </c>
      <c r="P190" s="125">
        <f t="shared" si="33"/>
        <v>-9.4818181818181984</v>
      </c>
      <c r="Q190" s="124">
        <f t="shared" si="28"/>
        <v>1.0795454545454568</v>
      </c>
      <c r="U190" s="119">
        <v>5.0999999999999996</v>
      </c>
      <c r="V190" s="129">
        <f t="shared" si="30"/>
        <v>-3.9886363636364663E-2</v>
      </c>
      <c r="W190" s="119"/>
      <c r="X190" s="126"/>
      <c r="Y190" s="119">
        <v>45405</v>
      </c>
      <c r="Z190" s="126">
        <v>-0.33</v>
      </c>
      <c r="AA190" s="108">
        <v>45405</v>
      </c>
      <c r="AB190" s="108">
        <v>-0.22</v>
      </c>
      <c r="AC190" s="108">
        <v>45405</v>
      </c>
      <c r="AD190" s="108">
        <v>-0.38</v>
      </c>
    </row>
    <row r="191" spans="1:30">
      <c r="A191" s="99">
        <v>31291</v>
      </c>
      <c r="B191" s="119">
        <v>5.1236249999999997</v>
      </c>
      <c r="C191" s="120">
        <v>130.01499999999999</v>
      </c>
      <c r="D191" s="119">
        <v>21.305999999999997</v>
      </c>
      <c r="E191" s="120">
        <f t="shared" si="25"/>
        <v>0.340395</v>
      </c>
      <c r="F191" s="121">
        <f t="shared" si="26"/>
        <v>0.42892595561509655</v>
      </c>
      <c r="G191" s="127">
        <f t="shared" si="29"/>
        <v>-3.0329682497115817E-2</v>
      </c>
      <c r="J191" s="122">
        <v>5.19</v>
      </c>
      <c r="K191" s="122">
        <v>137.9</v>
      </c>
      <c r="L191" s="122">
        <v>22.5</v>
      </c>
      <c r="M191" s="122">
        <f t="shared" si="31"/>
        <v>0.31879999999999953</v>
      </c>
      <c r="N191" s="128">
        <f t="shared" si="32"/>
        <v>0.44928115015974446</v>
      </c>
      <c r="O191" s="124">
        <f t="shared" si="27"/>
        <v>6.6375000000000739E-2</v>
      </c>
      <c r="P191" s="125">
        <f t="shared" si="33"/>
        <v>-6.1149999999999807</v>
      </c>
      <c r="Q191" s="124">
        <f t="shared" si="28"/>
        <v>1.1940000000000026</v>
      </c>
      <c r="U191" s="119">
        <v>4.99</v>
      </c>
      <c r="V191" s="129">
        <f t="shared" si="30"/>
        <v>-0.13362499999999944</v>
      </c>
      <c r="W191" s="119"/>
      <c r="X191" s="126"/>
      <c r="Y191" s="119">
        <v>45406</v>
      </c>
      <c r="Z191" s="126">
        <v>-0.33</v>
      </c>
      <c r="AA191" s="108">
        <v>45406</v>
      </c>
      <c r="AB191" s="108">
        <v>-0.22</v>
      </c>
      <c r="AC191" s="108">
        <v>45406</v>
      </c>
      <c r="AD191" s="108">
        <v>-0.38</v>
      </c>
    </row>
    <row r="192" spans="1:30">
      <c r="A192" s="99">
        <v>31321</v>
      </c>
      <c r="B192" s="119">
        <v>5.0489130434782608</v>
      </c>
      <c r="C192" s="120">
        <v>141.33043478260871</v>
      </c>
      <c r="D192" s="119">
        <v>19.858260869565218</v>
      </c>
      <c r="E192" s="120">
        <f t="shared" si="25"/>
        <v>0.52742608695652216</v>
      </c>
      <c r="F192" s="121">
        <f t="shared" si="26"/>
        <v>0.39172809338836917</v>
      </c>
      <c r="G192" s="127">
        <f t="shared" si="29"/>
        <v>-3.7197862226727385E-2</v>
      </c>
      <c r="J192" s="122">
        <v>5.05</v>
      </c>
      <c r="K192" s="122">
        <v>146.4</v>
      </c>
      <c r="L192" s="122">
        <v>20.7</v>
      </c>
      <c r="M192" s="122">
        <f t="shared" si="31"/>
        <v>0.44779999999999998</v>
      </c>
      <c r="N192" s="128">
        <f t="shared" si="32"/>
        <v>0.41416566626650658</v>
      </c>
      <c r="O192" s="124">
        <f t="shared" si="27"/>
        <v>1.0869565217390686E-3</v>
      </c>
      <c r="P192" s="125">
        <f t="shared" si="33"/>
        <v>-8.9304347826086996</v>
      </c>
      <c r="Q192" s="124">
        <f t="shared" si="28"/>
        <v>0.84173913043478166</v>
      </c>
      <c r="U192" s="119">
        <v>4.8499999999999996</v>
      </c>
      <c r="V192" s="129">
        <f t="shared" si="30"/>
        <v>-0.19891304347826111</v>
      </c>
      <c r="W192" s="119"/>
      <c r="X192" s="126"/>
      <c r="Y192" s="119">
        <v>45407</v>
      </c>
      <c r="Z192" s="126">
        <v>-0.33</v>
      </c>
      <c r="AA192" s="108">
        <v>45407</v>
      </c>
      <c r="AB192" s="108">
        <v>-0.2</v>
      </c>
      <c r="AC192" s="108">
        <v>45407</v>
      </c>
      <c r="AD192" s="108">
        <v>-0.38</v>
      </c>
    </row>
    <row r="193" spans="1:30">
      <c r="A193" s="99">
        <v>31352</v>
      </c>
      <c r="B193" s="119">
        <v>5.1094999999999997</v>
      </c>
      <c r="C193" s="120">
        <v>143.62</v>
      </c>
      <c r="D193" s="119">
        <v>19.940000000000001</v>
      </c>
      <c r="E193" s="120">
        <f t="shared" si="25"/>
        <v>0.53078000000000092</v>
      </c>
      <c r="F193" s="121">
        <f t="shared" si="26"/>
        <v>0.3888814030509124</v>
      </c>
      <c r="G193" s="127">
        <f t="shared" si="29"/>
        <v>-2.8466903374567698E-3</v>
      </c>
      <c r="J193" s="122">
        <v>5.19</v>
      </c>
      <c r="K193" s="122">
        <v>152.25</v>
      </c>
      <c r="L193" s="122">
        <v>20.6</v>
      </c>
      <c r="M193" s="122">
        <f t="shared" si="31"/>
        <v>0.42549999999999955</v>
      </c>
      <c r="N193" s="128">
        <f t="shared" si="32"/>
        <v>0.40352595494613125</v>
      </c>
      <c r="O193" s="124">
        <f t="shared" si="27"/>
        <v>8.0500000000000682E-2</v>
      </c>
      <c r="P193" s="125">
        <f t="shared" si="33"/>
        <v>-5.3700000000000045</v>
      </c>
      <c r="Q193" s="124">
        <f t="shared" si="28"/>
        <v>0.66000000000000014</v>
      </c>
      <c r="U193" s="119">
        <v>4.92</v>
      </c>
      <c r="V193" s="129">
        <f t="shared" si="30"/>
        <v>-0.18949999999999978</v>
      </c>
      <c r="W193" s="119"/>
      <c r="X193" s="126"/>
      <c r="Y193" s="119">
        <v>45408</v>
      </c>
      <c r="Z193" s="126">
        <v>-0.33</v>
      </c>
      <c r="AA193" s="108">
        <v>45408</v>
      </c>
      <c r="AB193" s="108">
        <v>-0.19</v>
      </c>
      <c r="AC193" s="108">
        <v>45408</v>
      </c>
      <c r="AD193" s="108">
        <v>-0.33</v>
      </c>
    </row>
    <row r="194" spans="1:30">
      <c r="A194" s="99">
        <v>31382</v>
      </c>
      <c r="B194" s="119">
        <v>5.2169047619047619</v>
      </c>
      <c r="C194" s="120">
        <v>145.1</v>
      </c>
      <c r="D194" s="119">
        <v>20.983809523809523</v>
      </c>
      <c r="E194" s="120">
        <f t="shared" si="25"/>
        <v>0.57371428571428584</v>
      </c>
      <c r="F194" s="121">
        <f t="shared" si="26"/>
        <v>0.39861352104800046</v>
      </c>
      <c r="G194" s="127">
        <f t="shared" si="29"/>
        <v>9.7321179970880634E-3</v>
      </c>
      <c r="J194" s="122">
        <v>5.32</v>
      </c>
      <c r="K194" s="122">
        <v>153.6</v>
      </c>
      <c r="L194" s="122">
        <v>21.4</v>
      </c>
      <c r="M194" s="122">
        <f t="shared" si="31"/>
        <v>0.41319999999999979</v>
      </c>
      <c r="N194" s="128">
        <f t="shared" si="32"/>
        <v>0.41059094397544132</v>
      </c>
      <c r="O194" s="124">
        <f t="shared" si="27"/>
        <v>0.10309523809523835</v>
      </c>
      <c r="P194" s="125">
        <f t="shared" si="33"/>
        <v>-5.5</v>
      </c>
      <c r="Q194" s="124">
        <f t="shared" si="28"/>
        <v>0.41619047619047578</v>
      </c>
      <c r="U194" s="119">
        <v>5.01</v>
      </c>
      <c r="V194" s="129">
        <f t="shared" si="30"/>
        <v>-0.20690476190476215</v>
      </c>
      <c r="W194" s="119"/>
      <c r="X194" s="126"/>
      <c r="Y194" s="119">
        <v>45411</v>
      </c>
      <c r="Z194" s="126">
        <v>-0.33</v>
      </c>
      <c r="AA194" s="108">
        <v>45411</v>
      </c>
      <c r="AB194" s="108">
        <v>-0.14000000000000001</v>
      </c>
      <c r="AC194" s="108">
        <v>45411</v>
      </c>
      <c r="AD194" s="108">
        <v>-0.33</v>
      </c>
    </row>
    <row r="195" spans="1:30">
      <c r="A195" s="99">
        <v>31413</v>
      </c>
      <c r="B195" s="119">
        <v>5.4209090909090909</v>
      </c>
      <c r="C195" s="120">
        <v>154.4818181818182</v>
      </c>
      <c r="D195" s="119">
        <v>20.376363636363639</v>
      </c>
      <c r="E195" s="120">
        <f t="shared" ref="E195:E258" si="34">(C195/2000*48)+(D195/100*11)-B195</f>
        <v>0.52805454545454644</v>
      </c>
      <c r="F195" s="121">
        <f t="shared" ref="F195:F258" si="35">D195/100*11/(B195+E195)</f>
        <v>0.37677150794790842</v>
      </c>
      <c r="G195" s="127">
        <f t="shared" si="29"/>
        <v>-2.1842013100092039E-2</v>
      </c>
      <c r="J195" s="122">
        <v>5.45</v>
      </c>
      <c r="K195" s="122">
        <v>162</v>
      </c>
      <c r="L195" s="122">
        <v>20.6</v>
      </c>
      <c r="M195" s="122">
        <f t="shared" si="31"/>
        <v>0.37999999999999989</v>
      </c>
      <c r="N195" s="128">
        <f t="shared" si="32"/>
        <v>0.38867924528301889</v>
      </c>
      <c r="O195" s="124">
        <f t="shared" ref="O195:O258" si="36">J195-B195</f>
        <v>2.9090909090909278E-2</v>
      </c>
      <c r="P195" s="125">
        <f t="shared" si="33"/>
        <v>-6.4818181818181984</v>
      </c>
      <c r="Q195" s="124">
        <f t="shared" ref="Q195:Q258" si="37">L195-D195</f>
        <v>0.22363636363636274</v>
      </c>
      <c r="U195" s="119">
        <v>5.16</v>
      </c>
      <c r="V195" s="129">
        <f t="shared" si="30"/>
        <v>-0.26090909090909076</v>
      </c>
      <c r="W195" s="119"/>
      <c r="X195" s="126"/>
      <c r="Y195" s="119">
        <v>45412</v>
      </c>
      <c r="Z195" s="126">
        <v>-0.33</v>
      </c>
      <c r="AA195" s="108">
        <v>45412</v>
      </c>
      <c r="AB195" s="108">
        <v>-0.14000000000000001</v>
      </c>
      <c r="AC195" s="108">
        <v>45412</v>
      </c>
      <c r="AD195" s="108">
        <v>-0.33</v>
      </c>
    </row>
    <row r="196" spans="1:30">
      <c r="A196" s="99">
        <v>31444</v>
      </c>
      <c r="B196" s="119">
        <v>5.2601315789473677</v>
      </c>
      <c r="C196" s="120">
        <v>153.19999999999999</v>
      </c>
      <c r="D196" s="119">
        <v>18.594736842105263</v>
      </c>
      <c r="E196" s="120">
        <f t="shared" si="34"/>
        <v>0.46208947368421072</v>
      </c>
      <c r="F196" s="121">
        <f t="shared" si="35"/>
        <v>0.35745229585126137</v>
      </c>
      <c r="G196" s="127">
        <f t="shared" ref="G196:G259" si="38">F196-F195</f>
        <v>-1.9319212096647054E-2</v>
      </c>
      <c r="J196" s="122">
        <v>5.38</v>
      </c>
      <c r="K196" s="122">
        <v>162.5</v>
      </c>
      <c r="L196" s="122">
        <v>18.600000000000001</v>
      </c>
      <c r="M196" s="122">
        <f t="shared" si="31"/>
        <v>0.24100000000000055</v>
      </c>
      <c r="N196" s="128">
        <f t="shared" si="32"/>
        <v>0.36399217221135033</v>
      </c>
      <c r="O196" s="124">
        <f t="shared" si="36"/>
        <v>0.11986842105263218</v>
      </c>
      <c r="P196" s="125">
        <f t="shared" si="33"/>
        <v>-4.6999999999999886</v>
      </c>
      <c r="Q196" s="124">
        <f t="shared" si="37"/>
        <v>5.2631578947384128E-3</v>
      </c>
      <c r="U196" s="119">
        <v>5.18</v>
      </c>
      <c r="V196" s="129">
        <f t="shared" si="30"/>
        <v>-8.0131578947367998E-2</v>
      </c>
      <c r="W196" s="119"/>
      <c r="X196" s="126"/>
      <c r="Y196" s="119">
        <v>45413</v>
      </c>
      <c r="Z196" s="126">
        <v>-0.4</v>
      </c>
      <c r="AA196" s="108">
        <v>45413</v>
      </c>
      <c r="AB196" s="108">
        <v>-0.26</v>
      </c>
      <c r="AC196" s="108">
        <v>45413</v>
      </c>
      <c r="AD196" s="108">
        <v>-0.4</v>
      </c>
    </row>
    <row r="197" spans="1:30">
      <c r="A197" s="99">
        <v>31472</v>
      </c>
      <c r="B197" s="119">
        <v>5.3580000000000005</v>
      </c>
      <c r="C197" s="120">
        <v>159.97499999999999</v>
      </c>
      <c r="D197" s="119">
        <v>17.7315</v>
      </c>
      <c r="E197" s="120">
        <f t="shared" si="34"/>
        <v>0.43186500000000017</v>
      </c>
      <c r="F197" s="121">
        <f t="shared" si="35"/>
        <v>0.33687573026314077</v>
      </c>
      <c r="G197" s="127">
        <f t="shared" si="38"/>
        <v>-2.0576565588120599E-2</v>
      </c>
      <c r="J197" s="122">
        <v>5.47</v>
      </c>
      <c r="K197" s="122">
        <v>174.9</v>
      </c>
      <c r="L197" s="122">
        <v>17.600000000000001</v>
      </c>
      <c r="M197" s="122">
        <f t="shared" si="31"/>
        <v>0.31380000000000052</v>
      </c>
      <c r="N197" s="128">
        <f t="shared" si="32"/>
        <v>0.33472803347280333</v>
      </c>
      <c r="O197" s="124">
        <f t="shared" si="36"/>
        <v>0.11199999999999921</v>
      </c>
      <c r="P197" s="125">
        <f t="shared" si="33"/>
        <v>0.92500000000001137</v>
      </c>
      <c r="Q197" s="124">
        <f t="shared" si="37"/>
        <v>-0.13149999999999906</v>
      </c>
      <c r="U197" s="119">
        <v>5.23</v>
      </c>
      <c r="V197" s="129">
        <f t="shared" si="30"/>
        <v>-0.12800000000000011</v>
      </c>
      <c r="W197" s="119"/>
      <c r="X197" s="126"/>
      <c r="Y197" s="119">
        <v>45414</v>
      </c>
      <c r="Z197" s="126">
        <v>-0.4</v>
      </c>
      <c r="AA197" s="108">
        <v>45414</v>
      </c>
      <c r="AB197" s="108">
        <v>-0.25</v>
      </c>
      <c r="AC197" s="108">
        <v>45414</v>
      </c>
      <c r="AD197" s="108">
        <v>-0.4</v>
      </c>
    </row>
    <row r="198" spans="1:30">
      <c r="A198" s="99">
        <v>31503</v>
      </c>
      <c r="B198" s="119">
        <v>5.2813636363636354</v>
      </c>
      <c r="C198" s="120">
        <v>153.44999999999999</v>
      </c>
      <c r="D198" s="119">
        <v>17.649999999999999</v>
      </c>
      <c r="E198" s="120">
        <f t="shared" si="34"/>
        <v>0.34293636363636448</v>
      </c>
      <c r="F198" s="121">
        <f t="shared" si="35"/>
        <v>0.34519851359280268</v>
      </c>
      <c r="G198" s="127">
        <f t="shared" si="38"/>
        <v>8.3227833296619091E-3</v>
      </c>
      <c r="J198" s="122">
        <v>5.4</v>
      </c>
      <c r="K198" s="122">
        <v>167.9</v>
      </c>
      <c r="L198" s="122">
        <v>17.7</v>
      </c>
      <c r="M198" s="122">
        <f t="shared" si="31"/>
        <v>0.24079999999999924</v>
      </c>
      <c r="N198" s="128">
        <f t="shared" si="32"/>
        <v>0.34516380655226209</v>
      </c>
      <c r="O198" s="124">
        <f t="shared" si="36"/>
        <v>0.11863636363636498</v>
      </c>
      <c r="P198" s="125">
        <f t="shared" si="33"/>
        <v>0.45000000000001705</v>
      </c>
      <c r="Q198" s="124">
        <f t="shared" si="37"/>
        <v>5.0000000000000711E-2</v>
      </c>
      <c r="U198" s="119">
        <v>5.23</v>
      </c>
      <c r="V198" s="129">
        <f t="shared" si="30"/>
        <v>-5.1363636363634946E-2</v>
      </c>
      <c r="W198" s="119"/>
      <c r="X198" s="126"/>
      <c r="Y198" s="119">
        <v>45415</v>
      </c>
      <c r="Z198" s="126">
        <v>-0.4</v>
      </c>
      <c r="AA198" s="108">
        <v>45415</v>
      </c>
      <c r="AB198" s="108">
        <v>-0.25</v>
      </c>
      <c r="AC198" s="108">
        <v>45415</v>
      </c>
      <c r="AD198" s="108">
        <v>-0.45</v>
      </c>
    </row>
    <row r="199" spans="1:30">
      <c r="A199" s="99">
        <v>31533</v>
      </c>
      <c r="B199" s="119">
        <v>5.3389285714285721</v>
      </c>
      <c r="C199" s="120">
        <v>151.20476190476188</v>
      </c>
      <c r="D199" s="119">
        <v>17.974761904761905</v>
      </c>
      <c r="E199" s="120">
        <f t="shared" si="34"/>
        <v>0.26720952380952223</v>
      </c>
      <c r="F199" s="121">
        <f t="shared" si="35"/>
        <v>0.35268910182631458</v>
      </c>
      <c r="G199" s="127">
        <f t="shared" si="38"/>
        <v>7.4905882335118967E-3</v>
      </c>
      <c r="J199" s="122">
        <v>5.44</v>
      </c>
      <c r="K199" s="122">
        <v>168.9</v>
      </c>
      <c r="L199" s="122">
        <v>17.8</v>
      </c>
      <c r="M199" s="122">
        <f t="shared" si="31"/>
        <v>0.23379999999999956</v>
      </c>
      <c r="N199" s="128">
        <f t="shared" si="32"/>
        <v>0.34509499806126409</v>
      </c>
      <c r="O199" s="124">
        <f t="shared" si="36"/>
        <v>0.10107142857142826</v>
      </c>
      <c r="P199" s="125">
        <f t="shared" si="33"/>
        <v>3.6952380952381247</v>
      </c>
      <c r="Q199" s="124">
        <f t="shared" si="37"/>
        <v>-0.17476190476190467</v>
      </c>
      <c r="U199" s="119">
        <v>5.25</v>
      </c>
      <c r="V199" s="129">
        <f t="shared" si="30"/>
        <v>-8.8928571428572134E-2</v>
      </c>
      <c r="W199" s="119"/>
      <c r="X199" s="126"/>
      <c r="Y199" s="119">
        <v>45418</v>
      </c>
      <c r="Z199" s="126">
        <v>-0.4</v>
      </c>
      <c r="AA199" s="108">
        <v>45418</v>
      </c>
      <c r="AB199" s="108">
        <v>-0.25</v>
      </c>
      <c r="AC199" s="108">
        <v>45418</v>
      </c>
      <c r="AD199" s="108">
        <v>-0.5</v>
      </c>
    </row>
    <row r="200" spans="1:30">
      <c r="A200" s="99">
        <v>31564</v>
      </c>
      <c r="B200" s="119">
        <v>5.2816666666666663</v>
      </c>
      <c r="C200" s="120">
        <v>148.89523809523811</v>
      </c>
      <c r="D200" s="119">
        <v>16.862380952380956</v>
      </c>
      <c r="E200" s="120">
        <f t="shared" si="34"/>
        <v>0.14668095238095358</v>
      </c>
      <c r="F200" s="121">
        <f t="shared" si="35"/>
        <v>0.34169917531687716</v>
      </c>
      <c r="G200" s="127">
        <f t="shared" si="38"/>
        <v>-1.098992650943742E-2</v>
      </c>
      <c r="J200" s="122">
        <v>5.43</v>
      </c>
      <c r="K200" s="122">
        <v>170.4</v>
      </c>
      <c r="L200" s="122">
        <v>16.8</v>
      </c>
      <c r="M200" s="122">
        <f t="shared" si="31"/>
        <v>0.16680000000000028</v>
      </c>
      <c r="N200" s="128">
        <f t="shared" si="32"/>
        <v>0.33018867924528306</v>
      </c>
      <c r="O200" s="124">
        <f t="shared" si="36"/>
        <v>0.14833333333333343</v>
      </c>
      <c r="P200" s="125">
        <f t="shared" si="33"/>
        <v>7.5047619047618923</v>
      </c>
      <c r="Q200" s="124">
        <f t="shared" si="37"/>
        <v>-6.2380952380955534E-2</v>
      </c>
      <c r="U200" s="119">
        <v>5.19</v>
      </c>
      <c r="V200" s="129">
        <f t="shared" si="30"/>
        <v>-9.1666666666665897E-2</v>
      </c>
      <c r="W200" s="119"/>
      <c r="X200" s="126"/>
      <c r="Y200" s="119">
        <v>45419</v>
      </c>
      <c r="Z200" s="126">
        <v>-0.4</v>
      </c>
      <c r="AA200" s="108">
        <v>45419</v>
      </c>
      <c r="AB200" s="108">
        <v>-0.27</v>
      </c>
      <c r="AC200" s="108">
        <v>45419</v>
      </c>
      <c r="AD200" s="108">
        <v>-0.6</v>
      </c>
    </row>
    <row r="201" spans="1:30">
      <c r="A201" s="99">
        <v>31594</v>
      </c>
      <c r="B201" s="119">
        <v>5.1485227272727281</v>
      </c>
      <c r="C201" s="120">
        <v>147.69545454545457</v>
      </c>
      <c r="D201" s="119">
        <v>16.353636363636369</v>
      </c>
      <c r="E201" s="120">
        <f t="shared" si="34"/>
        <v>0.19506818181818186</v>
      </c>
      <c r="F201" s="121">
        <f t="shared" si="35"/>
        <v>0.33664627974038575</v>
      </c>
      <c r="G201" s="127">
        <f t="shared" si="38"/>
        <v>-5.0528955764914119E-3</v>
      </c>
      <c r="J201" s="122">
        <v>5.33</v>
      </c>
      <c r="K201" s="122">
        <v>174.4</v>
      </c>
      <c r="L201" s="122">
        <v>16.2</v>
      </c>
      <c r="M201" s="122">
        <f t="shared" si="31"/>
        <v>0.28880000000000017</v>
      </c>
      <c r="N201" s="128">
        <f t="shared" si="32"/>
        <v>0.31714956930305405</v>
      </c>
      <c r="O201" s="124">
        <f t="shared" si="36"/>
        <v>0.18147727272727199</v>
      </c>
      <c r="P201" s="125">
        <f t="shared" si="33"/>
        <v>12.704545454545439</v>
      </c>
      <c r="Q201" s="124">
        <f t="shared" si="37"/>
        <v>-0.15363636363636957</v>
      </c>
      <c r="U201" s="119">
        <v>5.1100000000000003</v>
      </c>
      <c r="V201" s="129">
        <f t="shared" si="30"/>
        <v>-3.8522727272727764E-2</v>
      </c>
      <c r="W201" s="119"/>
      <c r="X201" s="126"/>
      <c r="Y201" s="119">
        <v>45420</v>
      </c>
      <c r="Z201" s="126">
        <v>-0.4</v>
      </c>
      <c r="AA201" s="108">
        <v>45420</v>
      </c>
      <c r="AB201" s="108">
        <v>-0.27</v>
      </c>
      <c r="AC201" s="108">
        <v>45420</v>
      </c>
      <c r="AD201" s="108">
        <v>-0.65</v>
      </c>
    </row>
    <row r="202" spans="1:30">
      <c r="A202" s="99">
        <v>31625</v>
      </c>
      <c r="B202" s="119">
        <v>4.8053571428571429</v>
      </c>
      <c r="C202" s="120">
        <v>148.9</v>
      </c>
      <c r="D202" s="119">
        <v>14.418095238095237</v>
      </c>
      <c r="E202" s="120">
        <f t="shared" si="34"/>
        <v>0.35423333333333318</v>
      </c>
      <c r="F202" s="121">
        <f t="shared" si="35"/>
        <v>0.30738689117076473</v>
      </c>
      <c r="G202" s="127">
        <f t="shared" si="38"/>
        <v>-2.9259388569621014E-2</v>
      </c>
      <c r="J202" s="122">
        <v>5</v>
      </c>
      <c r="K202" s="122">
        <v>178.75</v>
      </c>
      <c r="L202" s="122">
        <v>14.3</v>
      </c>
      <c r="M202" s="122">
        <f t="shared" si="31"/>
        <v>0.50549999999999962</v>
      </c>
      <c r="N202" s="128">
        <f t="shared" si="32"/>
        <v>0.28571428571428575</v>
      </c>
      <c r="O202" s="124">
        <f t="shared" si="36"/>
        <v>0.19464285714285712</v>
      </c>
      <c r="P202" s="125">
        <f t="shared" si="33"/>
        <v>15.849999999999994</v>
      </c>
      <c r="Q202" s="124">
        <f t="shared" si="37"/>
        <v>-0.11809523809523625</v>
      </c>
      <c r="U202" s="119">
        <v>4.99</v>
      </c>
      <c r="V202" s="129">
        <f t="shared" si="30"/>
        <v>0.18464285714285733</v>
      </c>
      <c r="W202" s="119"/>
      <c r="X202" s="126"/>
      <c r="Y202" s="119">
        <v>45421</v>
      </c>
      <c r="Z202" s="126">
        <v>-0.4</v>
      </c>
      <c r="AA202" s="108">
        <v>45421</v>
      </c>
      <c r="AB202" s="108">
        <v>-0.32</v>
      </c>
      <c r="AC202" s="108">
        <v>45421</v>
      </c>
      <c r="AD202" s="108">
        <v>-0.65</v>
      </c>
    </row>
    <row r="203" spans="1:30">
      <c r="A203" s="99">
        <v>31656</v>
      </c>
      <c r="B203" s="119">
        <v>4.7952380952380951</v>
      </c>
      <c r="C203" s="120">
        <v>150.66666666666671</v>
      </c>
      <c r="D203" s="119">
        <v>13.759523809523809</v>
      </c>
      <c r="E203" s="120">
        <f t="shared" si="34"/>
        <v>0.33430952380952572</v>
      </c>
      <c r="F203" s="121">
        <f t="shared" si="35"/>
        <v>0.2950645420323893</v>
      </c>
      <c r="G203" s="127">
        <f t="shared" si="38"/>
        <v>-1.2322349138375432E-2</v>
      </c>
      <c r="J203" s="122">
        <v>4.96</v>
      </c>
      <c r="K203" s="122">
        <v>182.4</v>
      </c>
      <c r="L203" s="122">
        <v>13.94</v>
      </c>
      <c r="M203" s="122">
        <f t="shared" si="31"/>
        <v>0.58620000000000072</v>
      </c>
      <c r="N203" s="128">
        <f t="shared" si="32"/>
        <v>0.27647758825862745</v>
      </c>
      <c r="O203" s="124">
        <f t="shared" si="36"/>
        <v>0.16476190476190489</v>
      </c>
      <c r="P203" s="125">
        <f t="shared" si="33"/>
        <v>17.733333333333292</v>
      </c>
      <c r="Q203" s="124">
        <f t="shared" si="37"/>
        <v>0.18047619047619001</v>
      </c>
      <c r="U203" s="119">
        <v>4.8499999999999996</v>
      </c>
      <c r="V203" s="129">
        <f t="shared" si="30"/>
        <v>5.4761904761904567E-2</v>
      </c>
      <c r="W203" s="119"/>
      <c r="X203" s="126"/>
      <c r="Y203" s="119">
        <v>45422</v>
      </c>
      <c r="Z203" s="126">
        <v>-0.4</v>
      </c>
      <c r="AA203" s="108">
        <v>45422</v>
      </c>
      <c r="AB203" s="108">
        <v>-0.33</v>
      </c>
      <c r="AC203" s="108">
        <v>45422</v>
      </c>
      <c r="AD203" s="108">
        <v>-0.65</v>
      </c>
    </row>
    <row r="204" spans="1:30">
      <c r="A204" s="99">
        <v>31686</v>
      </c>
      <c r="B204" s="119">
        <v>4.8168478260869572</v>
      </c>
      <c r="C204" s="120">
        <v>148.60434782608695</v>
      </c>
      <c r="D204" s="119">
        <v>14.916956521739129</v>
      </c>
      <c r="E204" s="120">
        <f t="shared" si="34"/>
        <v>0.39052173913043386</v>
      </c>
      <c r="F204" s="121">
        <f t="shared" si="35"/>
        <v>0.31510442975882841</v>
      </c>
      <c r="G204" s="127">
        <f t="shared" si="38"/>
        <v>2.003988772643911E-2</v>
      </c>
      <c r="J204" s="122">
        <v>4.8899999999999997</v>
      </c>
      <c r="K204" s="122">
        <v>165.4</v>
      </c>
      <c r="L204" s="122">
        <v>14.63</v>
      </c>
      <c r="M204" s="122">
        <f t="shared" si="31"/>
        <v>0.3581000000000012</v>
      </c>
      <c r="N204" s="128">
        <f t="shared" si="32"/>
        <v>0.30664430936910497</v>
      </c>
      <c r="O204" s="124">
        <f t="shared" si="36"/>
        <v>7.3152173913042517E-2</v>
      </c>
      <c r="P204" s="125">
        <f t="shared" si="33"/>
        <v>2.7956521739130551</v>
      </c>
      <c r="Q204" s="124">
        <f t="shared" si="37"/>
        <v>-0.28695652173912833</v>
      </c>
      <c r="U204" s="119">
        <v>4.55</v>
      </c>
      <c r="V204" s="129">
        <f t="shared" si="30"/>
        <v>-0.26684782608695734</v>
      </c>
      <c r="W204" s="119"/>
      <c r="X204" s="126"/>
      <c r="Y204" s="119">
        <v>45425</v>
      </c>
      <c r="Z204" s="126">
        <v>-0.4</v>
      </c>
      <c r="AA204" s="108">
        <v>45425</v>
      </c>
      <c r="AB204" s="108">
        <v>-0.34</v>
      </c>
      <c r="AC204" s="108">
        <v>45425</v>
      </c>
      <c r="AD204" s="108">
        <v>-0.65</v>
      </c>
    </row>
    <row r="205" spans="1:30">
      <c r="A205" s="99">
        <v>31717</v>
      </c>
      <c r="B205" s="119">
        <v>5.0030263157894739</v>
      </c>
      <c r="C205" s="120">
        <v>149.94736842105266</v>
      </c>
      <c r="D205" s="119">
        <v>15.134736842105264</v>
      </c>
      <c r="E205" s="120">
        <f t="shared" si="34"/>
        <v>0.26053157894736945</v>
      </c>
      <c r="F205" s="121">
        <f t="shared" si="35"/>
        <v>0.31629196181090236</v>
      </c>
      <c r="G205" s="127">
        <f t="shared" si="38"/>
        <v>1.1875320520739474E-3</v>
      </c>
      <c r="J205" s="122">
        <v>5.08</v>
      </c>
      <c r="K205" s="122">
        <v>167.4</v>
      </c>
      <c r="L205" s="122">
        <v>14.88</v>
      </c>
      <c r="M205" s="122">
        <f t="shared" si="31"/>
        <v>0.23960000000000026</v>
      </c>
      <c r="N205" s="128">
        <f t="shared" si="32"/>
        <v>0.30769230769230771</v>
      </c>
      <c r="O205" s="124">
        <f t="shared" si="36"/>
        <v>7.6973684210526194E-2</v>
      </c>
      <c r="P205" s="125">
        <f t="shared" si="33"/>
        <v>3.4526315789473472</v>
      </c>
      <c r="Q205" s="124">
        <f t="shared" si="37"/>
        <v>-0.25473684210526315</v>
      </c>
      <c r="U205" s="119">
        <v>4.6399999999999997</v>
      </c>
      <c r="V205" s="129">
        <f t="shared" si="30"/>
        <v>-0.3630263157894742</v>
      </c>
      <c r="W205" s="119"/>
      <c r="X205" s="126"/>
      <c r="Y205" s="119">
        <v>45426</v>
      </c>
      <c r="Z205" s="126">
        <v>-0.4</v>
      </c>
      <c r="AA205" s="108">
        <v>45426</v>
      </c>
      <c r="AB205" s="108">
        <v>-0.34</v>
      </c>
      <c r="AC205" s="108">
        <v>45426</v>
      </c>
      <c r="AD205" s="108">
        <v>-0.65</v>
      </c>
    </row>
    <row r="206" spans="1:30">
      <c r="A206" s="99">
        <v>31747</v>
      </c>
      <c r="B206" s="119">
        <v>4.9186363636363648</v>
      </c>
      <c r="C206" s="120">
        <v>143.85</v>
      </c>
      <c r="D206" s="119">
        <v>15.305909090909092</v>
      </c>
      <c r="E206" s="120">
        <f t="shared" si="34"/>
        <v>0.2174136363636352</v>
      </c>
      <c r="F206" s="121">
        <f t="shared" si="35"/>
        <v>0.3278102822207728</v>
      </c>
      <c r="G206" s="127">
        <f t="shared" si="38"/>
        <v>1.1518320409870442E-2</v>
      </c>
      <c r="J206" s="122">
        <v>4.96</v>
      </c>
      <c r="K206" s="122">
        <v>164.3</v>
      </c>
      <c r="L206" s="122">
        <v>14.94</v>
      </c>
      <c r="M206" s="122">
        <f t="shared" si="31"/>
        <v>0.29800000000000004</v>
      </c>
      <c r="N206" s="128">
        <f t="shared" si="32"/>
        <v>0.31255230125523015</v>
      </c>
      <c r="O206" s="124">
        <f t="shared" si="36"/>
        <v>4.1363636363635159E-2</v>
      </c>
      <c r="P206" s="125">
        <f t="shared" si="33"/>
        <v>6.4500000000000171</v>
      </c>
      <c r="Q206" s="124">
        <f t="shared" si="37"/>
        <v>-0.36590909090909207</v>
      </c>
      <c r="U206" s="119">
        <v>4.67</v>
      </c>
      <c r="V206" s="129">
        <f t="shared" si="30"/>
        <v>-0.24863636363636488</v>
      </c>
      <c r="W206" s="119"/>
      <c r="X206" s="126"/>
      <c r="Y206" s="119">
        <v>45427</v>
      </c>
      <c r="Z206" s="126">
        <v>-0.4</v>
      </c>
      <c r="AA206" s="108">
        <v>45427</v>
      </c>
      <c r="AB206" s="108">
        <v>-0.32</v>
      </c>
      <c r="AC206" s="108">
        <v>45427</v>
      </c>
      <c r="AD206" s="108">
        <v>-0.65</v>
      </c>
    </row>
    <row r="207" spans="1:30">
      <c r="A207" s="99">
        <v>31778</v>
      </c>
      <c r="B207" s="119">
        <v>4.9664285714285716</v>
      </c>
      <c r="C207" s="120">
        <v>143.5333333333333</v>
      </c>
      <c r="D207" s="119">
        <v>16.190000000000001</v>
      </c>
      <c r="E207" s="120">
        <f t="shared" si="34"/>
        <v>0.25927142857142726</v>
      </c>
      <c r="F207" s="121">
        <f t="shared" si="35"/>
        <v>0.34079644832271283</v>
      </c>
      <c r="G207" s="127">
        <f t="shared" si="38"/>
        <v>1.2986166101940033E-2</v>
      </c>
      <c r="J207" s="122">
        <v>4.9800000000000004</v>
      </c>
      <c r="K207" s="122">
        <v>158</v>
      </c>
      <c r="L207" s="122">
        <v>15.6</v>
      </c>
      <c r="M207" s="122">
        <f t="shared" si="31"/>
        <v>0.21199999999999974</v>
      </c>
      <c r="N207" s="128">
        <f t="shared" si="32"/>
        <v>0.33050847457627119</v>
      </c>
      <c r="O207" s="124">
        <f t="shared" si="36"/>
        <v>1.357142857142879E-2</v>
      </c>
      <c r="P207" s="125">
        <f t="shared" si="33"/>
        <v>0.46666666666669698</v>
      </c>
      <c r="Q207" s="124">
        <f t="shared" si="37"/>
        <v>-0.59000000000000163</v>
      </c>
      <c r="U207" s="119">
        <v>4.7</v>
      </c>
      <c r="V207" s="129">
        <f t="shared" si="30"/>
        <v>-0.26642857142857146</v>
      </c>
      <c r="W207" s="119"/>
      <c r="X207" s="126"/>
      <c r="Y207" s="119">
        <v>45428</v>
      </c>
      <c r="Z207" s="126">
        <v>-0.4</v>
      </c>
      <c r="AA207" s="108">
        <v>45428</v>
      </c>
      <c r="AB207" s="108">
        <v>-0.32</v>
      </c>
      <c r="AC207" s="108">
        <v>45428</v>
      </c>
      <c r="AD207" s="108">
        <v>-0.65</v>
      </c>
    </row>
    <row r="208" spans="1:30">
      <c r="A208" s="99">
        <v>31809</v>
      </c>
      <c r="B208" s="119">
        <v>4.8951315789473684</v>
      </c>
      <c r="C208" s="120">
        <v>144.23684210526315</v>
      </c>
      <c r="D208" s="119">
        <v>15.82842105263158</v>
      </c>
      <c r="E208" s="120">
        <f t="shared" si="34"/>
        <v>0.30767894736842116</v>
      </c>
      <c r="F208" s="121">
        <f t="shared" si="35"/>
        <v>0.33465110962293659</v>
      </c>
      <c r="G208" s="127">
        <f t="shared" si="38"/>
        <v>-6.1453386997762371E-3</v>
      </c>
      <c r="J208" s="122">
        <v>4.8899999999999997</v>
      </c>
      <c r="K208" s="122">
        <v>169.25</v>
      </c>
      <c r="L208" s="122">
        <v>15.4</v>
      </c>
      <c r="M208" s="122">
        <f t="shared" si="31"/>
        <v>0.52750000000000075</v>
      </c>
      <c r="N208" s="128">
        <f t="shared" si="32"/>
        <v>0.31269035532994921</v>
      </c>
      <c r="O208" s="124">
        <f t="shared" si="36"/>
        <v>-5.131578947368709E-3</v>
      </c>
      <c r="P208" s="125">
        <f t="shared" si="33"/>
        <v>11.01315789473685</v>
      </c>
      <c r="Q208" s="124">
        <f t="shared" si="37"/>
        <v>-0.42842105263157926</v>
      </c>
      <c r="U208" s="119">
        <v>4.6900000000000004</v>
      </c>
      <c r="V208" s="129">
        <f t="shared" si="30"/>
        <v>-0.205131578947368</v>
      </c>
      <c r="W208" s="119"/>
      <c r="X208" s="126"/>
      <c r="Y208" s="119">
        <v>45429</v>
      </c>
      <c r="Z208" s="126">
        <v>-0.4</v>
      </c>
      <c r="AA208" s="108">
        <v>45429</v>
      </c>
      <c r="AB208" s="108">
        <v>-0.32</v>
      </c>
      <c r="AC208" s="108">
        <v>45429</v>
      </c>
      <c r="AD208" s="108">
        <v>-0.65</v>
      </c>
    </row>
    <row r="209" spans="1:30">
      <c r="A209" s="99">
        <v>31837</v>
      </c>
      <c r="B209" s="119">
        <v>4.9074999999999998</v>
      </c>
      <c r="C209" s="120">
        <v>139.56363636363633</v>
      </c>
      <c r="D209" s="119">
        <v>15.77090909090909</v>
      </c>
      <c r="E209" s="120">
        <f t="shared" si="34"/>
        <v>0.17682727272727217</v>
      </c>
      <c r="F209" s="121">
        <f t="shared" si="35"/>
        <v>0.34120541557299083</v>
      </c>
      <c r="G209" s="127">
        <f t="shared" si="38"/>
        <v>6.55430595005424E-3</v>
      </c>
      <c r="J209" s="122">
        <v>4.92</v>
      </c>
      <c r="K209" s="122">
        <v>161.19999999999999</v>
      </c>
      <c r="L209" s="122">
        <v>15.21</v>
      </c>
      <c r="M209" s="122">
        <f t="shared" si="31"/>
        <v>0.2995000000000001</v>
      </c>
      <c r="N209" s="128">
        <f t="shared" si="32"/>
        <v>0.32054794520547952</v>
      </c>
      <c r="O209" s="124">
        <f t="shared" si="36"/>
        <v>1.2500000000000178E-2</v>
      </c>
      <c r="P209" s="125">
        <f t="shared" si="33"/>
        <v>7.6363636363636545</v>
      </c>
      <c r="Q209" s="124">
        <f t="shared" si="37"/>
        <v>-0.5609090909090888</v>
      </c>
      <c r="U209" s="119">
        <v>4.7300000000000004</v>
      </c>
      <c r="V209" s="129">
        <f t="shared" si="30"/>
        <v>-0.17749999999999932</v>
      </c>
      <c r="W209" s="119"/>
      <c r="X209" s="126"/>
      <c r="Y209" s="119">
        <v>45432</v>
      </c>
      <c r="Z209" s="126">
        <v>-0.4</v>
      </c>
      <c r="AA209" s="108">
        <v>45432</v>
      </c>
      <c r="AB209" s="108">
        <v>-0.32</v>
      </c>
      <c r="AC209" s="108">
        <v>45432</v>
      </c>
      <c r="AD209" s="108">
        <v>-0.65</v>
      </c>
    </row>
    <row r="210" spans="1:30">
      <c r="A210" s="99">
        <v>31868</v>
      </c>
      <c r="B210" s="119">
        <v>5.1315476190476188</v>
      </c>
      <c r="C210" s="120">
        <v>150.64285714285714</v>
      </c>
      <c r="D210" s="119">
        <v>15.687619047619048</v>
      </c>
      <c r="E210" s="120">
        <f t="shared" si="34"/>
        <v>0.2095190476190476</v>
      </c>
      <c r="F210" s="121">
        <f t="shared" si="35"/>
        <v>0.32308866429391669</v>
      </c>
      <c r="G210" s="127">
        <f t="shared" si="38"/>
        <v>-1.8116751279074139E-2</v>
      </c>
      <c r="J210" s="122">
        <v>5.12</v>
      </c>
      <c r="K210" s="122">
        <v>173.4</v>
      </c>
      <c r="L210" s="122">
        <v>15.31</v>
      </c>
      <c r="M210" s="122">
        <f t="shared" si="31"/>
        <v>0.37889999999999979</v>
      </c>
      <c r="N210" s="128">
        <f t="shared" si="32"/>
        <v>0.30626125225045014</v>
      </c>
      <c r="O210" s="124">
        <f t="shared" si="36"/>
        <v>-1.1547619047618696E-2</v>
      </c>
      <c r="P210" s="125">
        <f t="shared" si="33"/>
        <v>8.7571428571428669</v>
      </c>
      <c r="Q210" s="124">
        <f t="shared" si="37"/>
        <v>-0.37761904761904752</v>
      </c>
      <c r="U210" s="119">
        <v>4.9000000000000004</v>
      </c>
      <c r="V210" s="129">
        <f t="shared" si="30"/>
        <v>-0.23154761904761845</v>
      </c>
      <c r="W210" s="119"/>
      <c r="X210" s="126"/>
      <c r="Y210" s="119">
        <v>45433</v>
      </c>
      <c r="Z210" s="126">
        <v>-0.4</v>
      </c>
      <c r="AA210" s="108">
        <v>45433</v>
      </c>
      <c r="AB210" s="108">
        <v>-0.32</v>
      </c>
      <c r="AC210" s="108">
        <v>45433</v>
      </c>
      <c r="AD210" s="108">
        <v>-0.65</v>
      </c>
    </row>
    <row r="211" spans="1:30">
      <c r="A211" s="99">
        <v>31898</v>
      </c>
      <c r="B211" s="119">
        <v>5.5656249999999998</v>
      </c>
      <c r="C211" s="120">
        <v>166.11500000000001</v>
      </c>
      <c r="D211" s="119">
        <v>16.897500000000001</v>
      </c>
      <c r="E211" s="120">
        <f t="shared" si="34"/>
        <v>0.27986000000000022</v>
      </c>
      <c r="F211" s="121">
        <f t="shared" si="35"/>
        <v>0.31797618161709423</v>
      </c>
      <c r="G211" s="127">
        <f t="shared" si="38"/>
        <v>-5.1124826768224607E-3</v>
      </c>
      <c r="J211" s="122">
        <v>5.52</v>
      </c>
      <c r="K211" s="122">
        <v>190</v>
      </c>
      <c r="L211" s="122">
        <v>16.22</v>
      </c>
      <c r="M211" s="122">
        <f t="shared" si="31"/>
        <v>0.44420000000000037</v>
      </c>
      <c r="N211" s="128">
        <f t="shared" si="32"/>
        <v>0.2991516045739579</v>
      </c>
      <c r="O211" s="124">
        <f t="shared" si="36"/>
        <v>-4.5625000000000249E-2</v>
      </c>
      <c r="P211" s="125">
        <f t="shared" si="33"/>
        <v>9.8849999999999909</v>
      </c>
      <c r="Q211" s="124">
        <f t="shared" si="37"/>
        <v>-0.67750000000000199</v>
      </c>
      <c r="U211" s="119">
        <v>5.2</v>
      </c>
      <c r="V211" s="129">
        <f t="shared" si="30"/>
        <v>-0.36562499999999964</v>
      </c>
      <c r="W211" s="119"/>
      <c r="X211" s="126"/>
      <c r="Y211" s="119">
        <v>45434</v>
      </c>
      <c r="Z211" s="126">
        <v>-0.4</v>
      </c>
      <c r="AA211" s="108">
        <v>45434</v>
      </c>
      <c r="AB211" s="108">
        <v>-0.28999999999999998</v>
      </c>
      <c r="AC211" s="108">
        <v>45434</v>
      </c>
      <c r="AD211" s="108">
        <v>-0.65</v>
      </c>
    </row>
    <row r="212" spans="1:30">
      <c r="A212" s="99">
        <v>31929</v>
      </c>
      <c r="B212" s="119">
        <v>5.6007954545454552</v>
      </c>
      <c r="C212" s="120">
        <v>176.40454545454543</v>
      </c>
      <c r="D212" s="119">
        <v>16.635000000000002</v>
      </c>
      <c r="E212" s="120">
        <f t="shared" si="34"/>
        <v>0.46276363636363538</v>
      </c>
      <c r="F212" s="121">
        <f t="shared" si="35"/>
        <v>0.30177820856787535</v>
      </c>
      <c r="G212" s="127">
        <f t="shared" si="38"/>
        <v>-1.6197973049218883E-2</v>
      </c>
      <c r="J212" s="122">
        <v>5.63</v>
      </c>
      <c r="K212" s="122">
        <v>200.7</v>
      </c>
      <c r="L212" s="122">
        <v>15.96</v>
      </c>
      <c r="M212" s="122">
        <f t="shared" si="31"/>
        <v>0.54100000000000037</v>
      </c>
      <c r="N212" s="128">
        <f t="shared" si="32"/>
        <v>0.28449197860962572</v>
      </c>
      <c r="O212" s="124">
        <f t="shared" si="36"/>
        <v>2.920454545454465E-2</v>
      </c>
      <c r="P212" s="125">
        <f t="shared" si="33"/>
        <v>10.295454545454561</v>
      </c>
      <c r="Q212" s="124">
        <f t="shared" si="37"/>
        <v>-0.67500000000000071</v>
      </c>
      <c r="U212" s="119">
        <v>5.36</v>
      </c>
      <c r="V212" s="129">
        <f t="shared" si="30"/>
        <v>-0.24079545454545492</v>
      </c>
      <c r="W212" s="119"/>
      <c r="X212" s="126"/>
      <c r="Y212" s="119">
        <v>45435</v>
      </c>
      <c r="Z212" s="126">
        <v>-0.4</v>
      </c>
      <c r="AA212" s="108">
        <v>45435</v>
      </c>
      <c r="AB212" s="108">
        <v>-0.28999999999999998</v>
      </c>
      <c r="AC212" s="108">
        <v>45435</v>
      </c>
      <c r="AD212" s="108">
        <v>-0.65</v>
      </c>
    </row>
    <row r="213" spans="1:30">
      <c r="A213" s="99">
        <v>31959</v>
      </c>
      <c r="B213" s="119">
        <v>5.3525</v>
      </c>
      <c r="C213" s="120">
        <v>165.94090909090909</v>
      </c>
      <c r="D213" s="119">
        <v>16.172272727272727</v>
      </c>
      <c r="E213" s="120">
        <f t="shared" si="34"/>
        <v>0.409031818181818</v>
      </c>
      <c r="F213" s="121">
        <f t="shared" si="35"/>
        <v>0.30876337337687187</v>
      </c>
      <c r="G213" s="127">
        <f t="shared" si="38"/>
        <v>6.9851648089965246E-3</v>
      </c>
      <c r="J213" s="122">
        <v>5.47</v>
      </c>
      <c r="K213" s="122">
        <v>196.5</v>
      </c>
      <c r="L213" s="122">
        <v>15.41</v>
      </c>
      <c r="M213" s="122">
        <f t="shared" si="31"/>
        <v>0.5481000000000007</v>
      </c>
      <c r="N213" s="128">
        <f t="shared" si="32"/>
        <v>0.2816669713032352</v>
      </c>
      <c r="O213" s="124">
        <f t="shared" si="36"/>
        <v>0.11749999999999972</v>
      </c>
      <c r="P213" s="125">
        <f t="shared" si="33"/>
        <v>16.559090909090912</v>
      </c>
      <c r="Q213" s="124">
        <f t="shared" si="37"/>
        <v>-0.76227272727272677</v>
      </c>
      <c r="U213" s="119">
        <v>5.25</v>
      </c>
      <c r="V213" s="129">
        <f t="shared" si="30"/>
        <v>-0.10250000000000004</v>
      </c>
      <c r="W213" s="119"/>
      <c r="X213" s="126"/>
      <c r="Y213" s="119">
        <v>45436</v>
      </c>
      <c r="Z213" s="126">
        <v>-0.4</v>
      </c>
      <c r="AA213" s="108">
        <v>45436</v>
      </c>
      <c r="AB213" s="108">
        <v>-0.28000000000000003</v>
      </c>
      <c r="AC213" s="108">
        <v>45436</v>
      </c>
      <c r="AD213" s="108">
        <v>-0.65</v>
      </c>
    </row>
    <row r="214" spans="1:30">
      <c r="A214" s="99">
        <v>31990</v>
      </c>
      <c r="B214" s="119">
        <v>5.0779761904761909</v>
      </c>
      <c r="C214" s="120">
        <v>157.85714285714286</v>
      </c>
      <c r="D214" s="119">
        <v>15.844285714285714</v>
      </c>
      <c r="E214" s="120">
        <f t="shared" si="34"/>
        <v>0.45346666666666646</v>
      </c>
      <c r="F214" s="121">
        <f t="shared" si="35"/>
        <v>0.31508441352165928</v>
      </c>
      <c r="G214" s="127">
        <f t="shared" si="38"/>
        <v>6.3210401447874043E-3</v>
      </c>
      <c r="J214" s="122">
        <v>5.28</v>
      </c>
      <c r="K214" s="122">
        <v>186.4</v>
      </c>
      <c r="L214" s="122">
        <v>15.16</v>
      </c>
      <c r="M214" s="122">
        <f t="shared" si="31"/>
        <v>0.48840000000000039</v>
      </c>
      <c r="N214" s="128">
        <f t="shared" si="32"/>
        <v>0.28909229595728453</v>
      </c>
      <c r="O214" s="124">
        <f t="shared" si="36"/>
        <v>0.20202380952380938</v>
      </c>
      <c r="P214" s="125">
        <f t="shared" si="33"/>
        <v>14.542857142857144</v>
      </c>
      <c r="Q214" s="124">
        <f t="shared" si="37"/>
        <v>-0.68428571428571416</v>
      </c>
      <c r="U214" s="119">
        <v>5.0199999999999996</v>
      </c>
      <c r="V214" s="129">
        <f t="shared" si="30"/>
        <v>-5.7976190476191292E-2</v>
      </c>
      <c r="W214" s="119"/>
      <c r="X214" s="126"/>
      <c r="Y214" s="119">
        <v>45440</v>
      </c>
      <c r="Z214" s="126">
        <v>-0.4</v>
      </c>
      <c r="AA214" s="108">
        <v>45440</v>
      </c>
      <c r="AB214" s="108">
        <v>-0.28999999999999998</v>
      </c>
      <c r="AC214" s="108">
        <v>45440</v>
      </c>
      <c r="AD214" s="108">
        <v>-0.65</v>
      </c>
    </row>
    <row r="215" spans="1:30">
      <c r="A215" s="99">
        <v>32021</v>
      </c>
      <c r="B215" s="119">
        <v>5.2472619047619045</v>
      </c>
      <c r="C215" s="120">
        <v>168.84285714285713</v>
      </c>
      <c r="D215" s="119">
        <v>16.144285714285711</v>
      </c>
      <c r="E215" s="120">
        <f t="shared" si="34"/>
        <v>0.58083809523809471</v>
      </c>
      <c r="F215" s="121">
        <f t="shared" si="35"/>
        <v>0.304708469067351</v>
      </c>
      <c r="G215" s="127">
        <f t="shared" si="38"/>
        <v>-1.0375944454308283E-2</v>
      </c>
      <c r="J215" s="122">
        <v>5.27</v>
      </c>
      <c r="K215" s="122">
        <v>195.2</v>
      </c>
      <c r="L215" s="122">
        <v>15.58</v>
      </c>
      <c r="M215" s="122">
        <f t="shared" si="31"/>
        <v>0.73819999999999997</v>
      </c>
      <c r="N215" s="128">
        <f t="shared" si="32"/>
        <v>0.28524350054924941</v>
      </c>
      <c r="O215" s="124">
        <f t="shared" si="36"/>
        <v>2.2738095238095113E-2</v>
      </c>
      <c r="P215" s="125">
        <f t="shared" si="33"/>
        <v>12.357142857142861</v>
      </c>
      <c r="Q215" s="124">
        <f t="shared" si="37"/>
        <v>-0.56428571428571139</v>
      </c>
      <c r="U215" s="119">
        <v>5.0199999999999996</v>
      </c>
      <c r="V215" s="129">
        <f t="shared" si="30"/>
        <v>-0.22726190476190489</v>
      </c>
      <c r="W215" s="119"/>
      <c r="X215" s="126"/>
      <c r="Y215" s="119">
        <v>45441</v>
      </c>
      <c r="Z215" s="126">
        <v>-0.38</v>
      </c>
      <c r="AA215" s="108">
        <v>45441</v>
      </c>
      <c r="AB215" s="108">
        <v>-0.31</v>
      </c>
      <c r="AC215" s="108">
        <v>45441</v>
      </c>
      <c r="AD215" s="108">
        <v>-0.65</v>
      </c>
    </row>
    <row r="216" spans="1:30">
      <c r="A216" s="99">
        <v>32051</v>
      </c>
      <c r="B216" s="119">
        <v>5.38375</v>
      </c>
      <c r="C216" s="120">
        <v>174.85</v>
      </c>
      <c r="D216" s="119">
        <v>17.593636363636364</v>
      </c>
      <c r="E216" s="120">
        <f t="shared" si="34"/>
        <v>0.74795000000000034</v>
      </c>
      <c r="F216" s="121">
        <f t="shared" si="35"/>
        <v>0.31562209501443317</v>
      </c>
      <c r="G216" s="127">
        <f t="shared" si="38"/>
        <v>1.0913625947082173E-2</v>
      </c>
      <c r="J216" s="122">
        <v>5.32</v>
      </c>
      <c r="K216" s="122">
        <v>201.6</v>
      </c>
      <c r="L216" s="122">
        <v>17.03</v>
      </c>
      <c r="M216" s="122">
        <f t="shared" si="31"/>
        <v>0.98850000000000016</v>
      </c>
      <c r="N216" s="128">
        <f t="shared" si="32"/>
        <v>0.29694856146469045</v>
      </c>
      <c r="O216" s="124">
        <f t="shared" si="36"/>
        <v>-6.3749999999999751E-2</v>
      </c>
      <c r="P216" s="125">
        <f t="shared" si="33"/>
        <v>12.75</v>
      </c>
      <c r="Q216" s="124">
        <f t="shared" si="37"/>
        <v>-0.5636363636363626</v>
      </c>
      <c r="U216" s="119">
        <v>5.04</v>
      </c>
      <c r="V216" s="129">
        <f t="shared" si="30"/>
        <v>-0.34375</v>
      </c>
      <c r="W216" s="119"/>
      <c r="X216" s="126"/>
      <c r="Y216" s="119">
        <v>45442</v>
      </c>
      <c r="Z216" s="126">
        <v>-0.38</v>
      </c>
      <c r="AA216" s="108">
        <v>45442</v>
      </c>
      <c r="AB216" s="108">
        <v>-0.28999999999999998</v>
      </c>
      <c r="AC216" s="108">
        <v>45442</v>
      </c>
      <c r="AD216" s="108">
        <v>-0.65</v>
      </c>
    </row>
    <row r="217" spans="1:30">
      <c r="A217" s="99">
        <v>32082</v>
      </c>
      <c r="B217" s="119">
        <v>5.6911249999999995</v>
      </c>
      <c r="C217" s="120">
        <v>197.97</v>
      </c>
      <c r="D217" s="119">
        <v>17.7195</v>
      </c>
      <c r="E217" s="120">
        <f t="shared" si="34"/>
        <v>1.0093000000000005</v>
      </c>
      <c r="F217" s="121">
        <f t="shared" si="35"/>
        <v>0.29089871164888792</v>
      </c>
      <c r="G217" s="127">
        <f t="shared" si="38"/>
        <v>-2.4723383365545248E-2</v>
      </c>
      <c r="J217" s="122">
        <v>5.64</v>
      </c>
      <c r="K217" s="122">
        <v>224.75</v>
      </c>
      <c r="L217" s="122">
        <v>17.55</v>
      </c>
      <c r="M217" s="122">
        <f t="shared" si="31"/>
        <v>1.2350000000000003</v>
      </c>
      <c r="N217" s="128">
        <f t="shared" si="32"/>
        <v>0.28079999999999999</v>
      </c>
      <c r="O217" s="124">
        <f t="shared" si="36"/>
        <v>-5.1124999999999865E-2</v>
      </c>
      <c r="P217" s="125">
        <f t="shared" si="33"/>
        <v>12.780000000000001</v>
      </c>
      <c r="Q217" s="124">
        <f t="shared" si="37"/>
        <v>-0.16949999999999932</v>
      </c>
      <c r="U217" s="119">
        <v>5.36</v>
      </c>
      <c r="V217" s="129">
        <f t="shared" si="30"/>
        <v>-0.33112499999999923</v>
      </c>
      <c r="W217" s="119"/>
      <c r="X217" s="126"/>
      <c r="Y217" s="119">
        <v>45443</v>
      </c>
      <c r="Z217" s="126">
        <v>-0.38</v>
      </c>
      <c r="AA217" s="108">
        <v>45443</v>
      </c>
      <c r="AB217" s="108">
        <v>-0.28999999999999998</v>
      </c>
      <c r="AC217" s="108">
        <v>45443</v>
      </c>
      <c r="AD217" s="108">
        <v>-0.63</v>
      </c>
    </row>
    <row r="218" spans="1:30">
      <c r="A218" s="99">
        <v>32112</v>
      </c>
      <c r="B218" s="119">
        <v>5.9577272727272721</v>
      </c>
      <c r="C218" s="120">
        <v>200.44545454545457</v>
      </c>
      <c r="D218" s="119">
        <v>19.573181818181819</v>
      </c>
      <c r="E218" s="120">
        <f t="shared" si="34"/>
        <v>1.0060136363636376</v>
      </c>
      <c r="F218" s="121">
        <f t="shared" si="35"/>
        <v>0.30918008411100878</v>
      </c>
      <c r="G218" s="127">
        <f t="shared" si="38"/>
        <v>1.828137246212086E-2</v>
      </c>
      <c r="J218" s="122">
        <v>5.94</v>
      </c>
      <c r="K218" s="122">
        <v>231.7</v>
      </c>
      <c r="L218" s="122">
        <v>19</v>
      </c>
      <c r="M218" s="122">
        <f t="shared" si="31"/>
        <v>1.247399999999999</v>
      </c>
      <c r="N218" s="128">
        <f t="shared" si="32"/>
        <v>0.29078665442301804</v>
      </c>
      <c r="O218" s="124">
        <f t="shared" si="36"/>
        <v>-1.7727272727271703E-2</v>
      </c>
      <c r="P218" s="125">
        <f t="shared" si="33"/>
        <v>17.254545454545422</v>
      </c>
      <c r="Q218" s="124">
        <f t="shared" si="37"/>
        <v>-0.57318181818181912</v>
      </c>
      <c r="U218" s="119">
        <v>5.63</v>
      </c>
      <c r="V218" s="129">
        <f t="shared" si="30"/>
        <v>-0.3277272727272722</v>
      </c>
      <c r="W218" s="119"/>
      <c r="X218" s="126"/>
      <c r="Y218" s="119">
        <v>45446</v>
      </c>
      <c r="Z218" s="126">
        <v>-0.35</v>
      </c>
      <c r="AA218" s="108">
        <v>45446</v>
      </c>
      <c r="AB218" s="108">
        <v>-0.31</v>
      </c>
      <c r="AC218" s="108">
        <v>45446</v>
      </c>
      <c r="AD218" s="108">
        <v>-0.57999999999999996</v>
      </c>
    </row>
    <row r="219" spans="1:30">
      <c r="A219" s="99">
        <v>32143</v>
      </c>
      <c r="B219" s="119">
        <v>6.235125</v>
      </c>
      <c r="C219" s="120">
        <v>183.845</v>
      </c>
      <c r="D219" s="119">
        <v>22.166500000000003</v>
      </c>
      <c r="E219" s="120">
        <f t="shared" si="34"/>
        <v>0.61547000000000018</v>
      </c>
      <c r="F219" s="121">
        <f t="shared" si="35"/>
        <v>0.35592747783221751</v>
      </c>
      <c r="G219" s="127">
        <f t="shared" si="38"/>
        <v>4.674739372120873E-2</v>
      </c>
      <c r="J219" s="122">
        <v>6.17</v>
      </c>
      <c r="K219" s="122">
        <v>211.75</v>
      </c>
      <c r="L219" s="122">
        <v>21.98</v>
      </c>
      <c r="M219" s="122">
        <f t="shared" si="31"/>
        <v>0.90629999999999988</v>
      </c>
      <c r="N219" s="128">
        <f t="shared" si="32"/>
        <v>0.34167573449401523</v>
      </c>
      <c r="O219" s="124">
        <f t="shared" si="36"/>
        <v>-6.5125000000000099E-2</v>
      </c>
      <c r="P219" s="125">
        <f t="shared" si="33"/>
        <v>13.905000000000001</v>
      </c>
      <c r="Q219" s="124">
        <f t="shared" si="37"/>
        <v>-0.18650000000000233</v>
      </c>
      <c r="U219" s="119">
        <v>5.73</v>
      </c>
      <c r="V219" s="129">
        <f t="shared" ref="V219:V282" si="39">U219-B219</f>
        <v>-0.5051249999999996</v>
      </c>
      <c r="W219" s="119"/>
      <c r="X219" s="126"/>
      <c r="Y219" s="119">
        <v>45447</v>
      </c>
      <c r="Z219" s="126">
        <v>-0.35</v>
      </c>
      <c r="AA219" s="108">
        <v>45447</v>
      </c>
      <c r="AB219" s="108">
        <v>-0.31</v>
      </c>
      <c r="AC219" s="108">
        <v>45447</v>
      </c>
      <c r="AD219" s="108">
        <v>-0.57999999999999996</v>
      </c>
    </row>
    <row r="220" spans="1:30">
      <c r="A220" s="99">
        <v>32174</v>
      </c>
      <c r="B220" s="119">
        <v>6.1867499999999982</v>
      </c>
      <c r="C220" s="120">
        <v>182.85</v>
      </c>
      <c r="D220" s="119">
        <v>21.0975</v>
      </c>
      <c r="E220" s="120">
        <f t="shared" si="34"/>
        <v>0.52237500000000203</v>
      </c>
      <c r="F220" s="121">
        <f t="shared" si="35"/>
        <v>0.34590576267397011</v>
      </c>
      <c r="G220" s="127">
        <f t="shared" si="38"/>
        <v>-1.0021715158247402E-2</v>
      </c>
      <c r="J220" s="122">
        <v>6.21</v>
      </c>
      <c r="K220" s="122">
        <v>199.6</v>
      </c>
      <c r="L220" s="122">
        <v>20.94</v>
      </c>
      <c r="M220" s="122">
        <f t="shared" si="31"/>
        <v>0.48459999999999948</v>
      </c>
      <c r="N220" s="128">
        <f t="shared" si="32"/>
        <v>0.34406835359842264</v>
      </c>
      <c r="O220" s="124">
        <f t="shared" si="36"/>
        <v>2.3250000000001769E-2</v>
      </c>
      <c r="P220" s="125">
        <f t="shared" si="33"/>
        <v>2.75</v>
      </c>
      <c r="Q220" s="124">
        <f t="shared" si="37"/>
        <v>-0.15749999999999886</v>
      </c>
      <c r="U220" s="119">
        <v>5.96</v>
      </c>
      <c r="V220" s="129">
        <f t="shared" si="39"/>
        <v>-0.22674999999999823</v>
      </c>
      <c r="W220" s="119"/>
      <c r="X220" s="126"/>
      <c r="Y220" s="119">
        <v>45448</v>
      </c>
      <c r="Z220" s="126">
        <v>-0.35</v>
      </c>
      <c r="AA220" s="108">
        <v>45448</v>
      </c>
      <c r="AB220" s="108">
        <v>-0.31</v>
      </c>
      <c r="AC220" s="108">
        <v>45448</v>
      </c>
      <c r="AD220" s="108">
        <v>-0.57999999999999996</v>
      </c>
    </row>
    <row r="221" spans="1:30">
      <c r="A221" s="99">
        <v>32203</v>
      </c>
      <c r="B221" s="119">
        <v>6.3321739130434791</v>
      </c>
      <c r="C221" s="120">
        <v>188.07826086956527</v>
      </c>
      <c r="D221" s="119">
        <v>20.64</v>
      </c>
      <c r="E221" s="120">
        <f t="shared" si="34"/>
        <v>0.45210434782608733</v>
      </c>
      <c r="F221" s="121">
        <f t="shared" si="35"/>
        <v>0.3346560846560846</v>
      </c>
      <c r="G221" s="127">
        <f t="shared" si="38"/>
        <v>-1.1249678017885512E-2</v>
      </c>
      <c r="J221" s="122">
        <v>6.3</v>
      </c>
      <c r="K221" s="122">
        <v>207.6</v>
      </c>
      <c r="L221" s="122">
        <v>20.22</v>
      </c>
      <c r="M221" s="122">
        <f t="shared" si="31"/>
        <v>0.49139999999999961</v>
      </c>
      <c r="N221" s="128">
        <f t="shared" si="32"/>
        <v>0.32750242954324588</v>
      </c>
      <c r="O221" s="124">
        <f t="shared" si="36"/>
        <v>-3.2173913043479274E-2</v>
      </c>
      <c r="P221" s="125">
        <f t="shared" si="33"/>
        <v>5.5217391304347245</v>
      </c>
      <c r="Q221" s="124">
        <f t="shared" si="37"/>
        <v>-0.42000000000000171</v>
      </c>
      <c r="U221" s="119">
        <v>6.05</v>
      </c>
      <c r="V221" s="129">
        <f t="shared" si="39"/>
        <v>-0.28217391304347927</v>
      </c>
      <c r="W221" s="119"/>
      <c r="X221" s="126"/>
      <c r="Y221" s="119">
        <v>45449</v>
      </c>
      <c r="Z221" s="126">
        <v>-0.35</v>
      </c>
      <c r="AA221" s="108">
        <v>45449</v>
      </c>
      <c r="AB221" s="108">
        <v>-0.31</v>
      </c>
      <c r="AC221" s="108">
        <v>45449</v>
      </c>
      <c r="AD221" s="108">
        <v>-0.57999999999999996</v>
      </c>
    </row>
    <row r="222" spans="1:30">
      <c r="A222" s="99">
        <v>32234</v>
      </c>
      <c r="B222" s="119">
        <v>6.719875</v>
      </c>
      <c r="C222" s="120">
        <v>198.45</v>
      </c>
      <c r="D222" s="119">
        <v>22.060500000000005</v>
      </c>
      <c r="E222" s="120">
        <f t="shared" si="34"/>
        <v>0.46958000000000055</v>
      </c>
      <c r="F222" s="121">
        <f t="shared" si="35"/>
        <v>0.33752975712345379</v>
      </c>
      <c r="G222" s="127">
        <f t="shared" si="38"/>
        <v>2.8736724673691927E-3</v>
      </c>
      <c r="J222" s="122">
        <v>6.71</v>
      </c>
      <c r="K222" s="122">
        <v>218.25</v>
      </c>
      <c r="L222" s="122">
        <v>21.67</v>
      </c>
      <c r="M222" s="122">
        <f t="shared" si="31"/>
        <v>0.47520000000000007</v>
      </c>
      <c r="N222" s="128">
        <f t="shared" si="32"/>
        <v>0.33175137783221065</v>
      </c>
      <c r="O222" s="124">
        <f t="shared" si="36"/>
        <v>-9.8750000000000782E-3</v>
      </c>
      <c r="P222" s="125">
        <f t="shared" si="33"/>
        <v>5.8000000000000114</v>
      </c>
      <c r="Q222" s="124">
        <f t="shared" si="37"/>
        <v>-0.39050000000000296</v>
      </c>
      <c r="U222" s="119">
        <v>6.39</v>
      </c>
      <c r="V222" s="129">
        <f t="shared" si="39"/>
        <v>-0.32987500000000036</v>
      </c>
      <c r="W222" s="119"/>
      <c r="X222" s="126"/>
      <c r="Y222" s="119">
        <v>45450</v>
      </c>
      <c r="Z222" s="126">
        <v>-0.35</v>
      </c>
      <c r="AA222" s="108">
        <v>45450</v>
      </c>
      <c r="AB222" s="108">
        <v>-0.31</v>
      </c>
      <c r="AC222" s="108">
        <v>45450</v>
      </c>
      <c r="AD222" s="108">
        <v>-0.53</v>
      </c>
    </row>
    <row r="223" spans="1:30">
      <c r="A223" s="99">
        <v>32264</v>
      </c>
      <c r="B223" s="119">
        <v>7.3980952380952374</v>
      </c>
      <c r="C223" s="120">
        <v>220.49047619047619</v>
      </c>
      <c r="D223" s="119">
        <v>24.138095238095243</v>
      </c>
      <c r="E223" s="120">
        <f t="shared" si="34"/>
        <v>0.54886666666666706</v>
      </c>
      <c r="F223" s="121">
        <f t="shared" si="35"/>
        <v>0.33411390516411787</v>
      </c>
      <c r="G223" s="127">
        <f t="shared" si="38"/>
        <v>-3.4158519593359138E-3</v>
      </c>
      <c r="J223" s="122">
        <v>7.31</v>
      </c>
      <c r="K223" s="122">
        <v>238.6</v>
      </c>
      <c r="L223" s="122">
        <v>26.55</v>
      </c>
      <c r="M223" s="122">
        <f t="shared" si="31"/>
        <v>0.85970000000000102</v>
      </c>
      <c r="N223" s="128">
        <f t="shared" si="32"/>
        <v>0.35747946681028675</v>
      </c>
      <c r="O223" s="124">
        <f t="shared" si="36"/>
        <v>-8.8095238095237782E-2</v>
      </c>
      <c r="P223" s="125">
        <f t="shared" si="33"/>
        <v>4.1095238095238074</v>
      </c>
      <c r="Q223" s="124">
        <f t="shared" si="37"/>
        <v>2.4119047619047578</v>
      </c>
      <c r="U223" s="119">
        <v>6.98</v>
      </c>
      <c r="V223" s="129">
        <f t="shared" si="39"/>
        <v>-0.41809523809523697</v>
      </c>
      <c r="W223" s="119"/>
      <c r="X223" s="126"/>
      <c r="Y223" s="119">
        <v>45453</v>
      </c>
      <c r="Z223" s="126">
        <v>-0.35</v>
      </c>
      <c r="AA223" s="108">
        <v>45453</v>
      </c>
      <c r="AB223" s="108">
        <v>-0.31</v>
      </c>
      <c r="AC223" s="108">
        <v>45453</v>
      </c>
      <c r="AD223" s="108">
        <v>-0.53</v>
      </c>
    </row>
    <row r="224" spans="1:30">
      <c r="A224" s="99">
        <v>32295</v>
      </c>
      <c r="B224" s="119">
        <v>9.3712499999999999</v>
      </c>
      <c r="C224" s="120">
        <v>290.8</v>
      </c>
      <c r="D224" s="119">
        <v>27.900454545454547</v>
      </c>
      <c r="E224" s="120">
        <f t="shared" si="34"/>
        <v>0.6769999999999996</v>
      </c>
      <c r="F224" s="121">
        <f t="shared" si="35"/>
        <v>0.30543129400641905</v>
      </c>
      <c r="G224" s="127">
        <f t="shared" si="38"/>
        <v>-2.8682611157698823E-2</v>
      </c>
      <c r="J224" s="122">
        <v>9.1300000000000008</v>
      </c>
      <c r="K224" s="122">
        <v>305.39999999999998</v>
      </c>
      <c r="L224" s="122">
        <v>27.68</v>
      </c>
      <c r="M224" s="122">
        <f t="shared" si="31"/>
        <v>0.6335999999999995</v>
      </c>
      <c r="N224" s="128">
        <f t="shared" si="32"/>
        <v>0.31185218566922035</v>
      </c>
      <c r="O224" s="124">
        <f t="shared" si="36"/>
        <v>-0.24124999999999908</v>
      </c>
      <c r="P224" s="125">
        <f t="shared" si="33"/>
        <v>0.59999999999996589</v>
      </c>
      <c r="Q224" s="124">
        <f t="shared" si="37"/>
        <v>-0.22045454545454746</v>
      </c>
      <c r="U224" s="119">
        <v>8.18</v>
      </c>
      <c r="V224" s="129">
        <f t="shared" si="39"/>
        <v>-1.1912500000000001</v>
      </c>
      <c r="W224" s="119"/>
      <c r="X224" s="126"/>
      <c r="Y224" s="119">
        <v>45454</v>
      </c>
      <c r="Z224" s="126">
        <v>-0.35</v>
      </c>
      <c r="AA224" s="108">
        <v>45454</v>
      </c>
      <c r="AB224" s="108">
        <v>-0.3</v>
      </c>
      <c r="AC224" s="108">
        <v>45454</v>
      </c>
      <c r="AD224" s="108">
        <v>-0.53</v>
      </c>
    </row>
    <row r="225" spans="1:30">
      <c r="A225" s="99">
        <v>32325</v>
      </c>
      <c r="B225" s="119">
        <v>8.8247499999999981</v>
      </c>
      <c r="C225" s="120">
        <v>263.065</v>
      </c>
      <c r="D225" s="119">
        <v>29.456500000000005</v>
      </c>
      <c r="E225" s="120">
        <f t="shared" si="34"/>
        <v>0.72902500000000359</v>
      </c>
      <c r="F225" s="121">
        <f t="shared" si="35"/>
        <v>0.33915546472467695</v>
      </c>
      <c r="G225" s="127">
        <f t="shared" si="38"/>
        <v>3.3724170718257895E-2</v>
      </c>
      <c r="J225" s="122">
        <v>8.59</v>
      </c>
      <c r="K225" s="122">
        <v>275.10000000000002</v>
      </c>
      <c r="L225" s="122">
        <v>29.65</v>
      </c>
      <c r="M225" s="122">
        <f t="shared" si="31"/>
        <v>0.7237000000000009</v>
      </c>
      <c r="N225" s="128">
        <f t="shared" si="32"/>
        <v>0.350183063658911</v>
      </c>
      <c r="O225" s="124">
        <f t="shared" si="36"/>
        <v>-0.23474999999999824</v>
      </c>
      <c r="P225" s="125">
        <f t="shared" si="33"/>
        <v>-1.964999999999975</v>
      </c>
      <c r="Q225" s="124">
        <f t="shared" si="37"/>
        <v>0.19349999999999312</v>
      </c>
      <c r="U225" s="119">
        <v>8.5</v>
      </c>
      <c r="V225" s="129">
        <f t="shared" si="39"/>
        <v>-0.3247499999999981</v>
      </c>
      <c r="W225" s="119"/>
      <c r="X225" s="126"/>
      <c r="Y225" s="119">
        <v>45455</v>
      </c>
      <c r="Z225" s="126">
        <v>-0.35</v>
      </c>
      <c r="AA225" s="108">
        <v>45455</v>
      </c>
      <c r="AB225" s="108">
        <v>-0.3</v>
      </c>
      <c r="AC225" s="108">
        <v>45455</v>
      </c>
      <c r="AD225" s="108">
        <v>-0.48</v>
      </c>
    </row>
    <row r="226" spans="1:30">
      <c r="A226" s="99">
        <v>32356</v>
      </c>
      <c r="B226" s="119">
        <v>8.5211956521739118</v>
      </c>
      <c r="C226" s="120">
        <v>264.50869565217386</v>
      </c>
      <c r="D226" s="119">
        <v>26.970869565217388</v>
      </c>
      <c r="E226" s="120">
        <f t="shared" si="34"/>
        <v>0.7938086956521726</v>
      </c>
      <c r="F226" s="121">
        <f t="shared" si="35"/>
        <v>0.31849643235714614</v>
      </c>
      <c r="G226" s="127">
        <f t="shared" si="38"/>
        <v>-2.0659032367530805E-2</v>
      </c>
      <c r="J226" s="122">
        <v>8.52</v>
      </c>
      <c r="K226" s="120">
        <v>273.3</v>
      </c>
      <c r="L226" s="122">
        <v>27.16</v>
      </c>
      <c r="M226" s="122">
        <f t="shared" si="31"/>
        <v>0.48019999999999996</v>
      </c>
      <c r="N226" s="128">
        <f t="shared" si="32"/>
        <v>0.33194817892935713</v>
      </c>
      <c r="O226" s="124">
        <f t="shared" si="36"/>
        <v>-1.195652173912265E-3</v>
      </c>
      <c r="P226" s="125">
        <f t="shared" si="33"/>
        <v>-5.2086956521738443</v>
      </c>
      <c r="Q226" s="124">
        <f t="shared" si="37"/>
        <v>0.18913043478261216</v>
      </c>
      <c r="U226" s="119">
        <v>8.33</v>
      </c>
      <c r="V226" s="129">
        <f t="shared" si="39"/>
        <v>-0.19119565217391177</v>
      </c>
      <c r="W226" s="119"/>
      <c r="X226" s="126"/>
      <c r="Y226" s="119">
        <v>45456</v>
      </c>
      <c r="Z226" s="126">
        <v>-0.35</v>
      </c>
      <c r="AA226" s="108">
        <v>45456</v>
      </c>
      <c r="AB226" s="108">
        <v>-0.3</v>
      </c>
      <c r="AC226" s="108">
        <v>45456</v>
      </c>
      <c r="AD226" s="108">
        <v>-0.48</v>
      </c>
    </row>
    <row r="227" spans="1:30">
      <c r="A227" s="99">
        <v>32387</v>
      </c>
      <c r="B227" s="119">
        <v>8.5691666666666659</v>
      </c>
      <c r="C227" s="120">
        <v>267.16666666666663</v>
      </c>
      <c r="D227" s="119">
        <v>25.565714285714286</v>
      </c>
      <c r="E227" s="120">
        <f t="shared" si="34"/>
        <v>0.6550619047619044</v>
      </c>
      <c r="F227" s="121">
        <f t="shared" si="35"/>
        <v>0.3048741203290713</v>
      </c>
      <c r="G227" s="127">
        <f t="shared" si="38"/>
        <v>-1.3622312028074846E-2</v>
      </c>
      <c r="J227" s="122">
        <v>8.52</v>
      </c>
      <c r="K227" s="122">
        <v>284</v>
      </c>
      <c r="L227" s="122">
        <v>25.6</v>
      </c>
      <c r="M227" s="122">
        <f t="shared" si="31"/>
        <v>0.54400000000000048</v>
      </c>
      <c r="N227" s="128">
        <f t="shared" si="32"/>
        <v>0.31067961165048541</v>
      </c>
      <c r="O227" s="124">
        <f t="shared" si="36"/>
        <v>-4.9166666666666359E-2</v>
      </c>
      <c r="P227" s="125">
        <f t="shared" si="33"/>
        <v>2.8333333333333712</v>
      </c>
      <c r="Q227" s="124">
        <f t="shared" si="37"/>
        <v>3.4285714285715585E-2</v>
      </c>
      <c r="U227" s="119">
        <v>7.93</v>
      </c>
      <c r="V227" s="129">
        <f t="shared" si="39"/>
        <v>-0.63916666666666622</v>
      </c>
      <c r="W227" s="119"/>
      <c r="X227" s="126"/>
      <c r="Y227" s="119">
        <v>45457</v>
      </c>
      <c r="Z227" s="126">
        <v>-0.35</v>
      </c>
      <c r="AA227" s="108">
        <v>45457</v>
      </c>
      <c r="AB227" s="108">
        <v>-0.3</v>
      </c>
      <c r="AC227" s="108">
        <v>45457</v>
      </c>
      <c r="AD227" s="108">
        <v>-0.48</v>
      </c>
    </row>
    <row r="228" spans="1:30">
      <c r="A228" s="99">
        <v>32417</v>
      </c>
      <c r="B228" s="119">
        <v>7.925595238095239</v>
      </c>
      <c r="C228" s="120">
        <v>256.54761904761904</v>
      </c>
      <c r="D228" s="119">
        <v>24.052380952380954</v>
      </c>
      <c r="E228" s="120">
        <f t="shared" si="34"/>
        <v>0.87730952380952232</v>
      </c>
      <c r="F228" s="121">
        <f t="shared" si="35"/>
        <v>0.30055555255029459</v>
      </c>
      <c r="G228" s="127">
        <f t="shared" si="38"/>
        <v>-4.3185677787767052E-3</v>
      </c>
      <c r="J228" s="122">
        <v>7.92</v>
      </c>
      <c r="K228" s="122">
        <v>280.10000000000002</v>
      </c>
      <c r="L228" s="122">
        <v>23.4</v>
      </c>
      <c r="M228" s="122">
        <f t="shared" si="31"/>
        <v>0.81620000000000026</v>
      </c>
      <c r="N228" s="128">
        <f t="shared" si="32"/>
        <v>0.29463611181062704</v>
      </c>
      <c r="O228" s="124">
        <f t="shared" si="36"/>
        <v>-5.5952380952390968E-3</v>
      </c>
      <c r="P228" s="125">
        <f t="shared" si="33"/>
        <v>9.5523809523809859</v>
      </c>
      <c r="Q228" s="124">
        <f t="shared" si="37"/>
        <v>-0.65238095238095539</v>
      </c>
      <c r="U228" s="119">
        <v>7.53</v>
      </c>
      <c r="V228" s="129">
        <f t="shared" si="39"/>
        <v>-0.39559523809523878</v>
      </c>
      <c r="W228" s="119"/>
      <c r="X228" s="126"/>
      <c r="Y228" s="119">
        <v>45460</v>
      </c>
      <c r="Z228" s="126">
        <v>-0.35</v>
      </c>
      <c r="AA228" s="108">
        <v>45460</v>
      </c>
      <c r="AB228" s="108">
        <v>-0.3</v>
      </c>
      <c r="AC228" s="108">
        <v>45460</v>
      </c>
      <c r="AD228" s="108">
        <v>-0.4</v>
      </c>
    </row>
    <row r="229" spans="1:30">
      <c r="A229" s="99">
        <v>32448</v>
      </c>
      <c r="B229" s="119">
        <v>7.7217857142857138</v>
      </c>
      <c r="C229" s="120">
        <v>251.95714285714283</v>
      </c>
      <c r="D229" s="119">
        <v>22.231428571428573</v>
      </c>
      <c r="E229" s="120">
        <f t="shared" si="34"/>
        <v>0.77064285714285852</v>
      </c>
      <c r="F229" s="121">
        <f t="shared" si="35"/>
        <v>0.2879573401517318</v>
      </c>
      <c r="G229" s="127">
        <f t="shared" si="38"/>
        <v>-1.2598212398562791E-2</v>
      </c>
      <c r="J229" s="122">
        <v>7.67</v>
      </c>
      <c r="K229" s="122">
        <v>268.89999999999998</v>
      </c>
      <c r="L229" s="122">
        <v>21.6</v>
      </c>
      <c r="M229" s="122">
        <f t="shared" si="31"/>
        <v>0.62179999999999858</v>
      </c>
      <c r="N229" s="128">
        <f t="shared" si="32"/>
        <v>0.28654815600955169</v>
      </c>
      <c r="O229" s="124">
        <f t="shared" si="36"/>
        <v>-5.178571428571388E-2</v>
      </c>
      <c r="P229" s="125">
        <f t="shared" si="33"/>
        <v>2.9428571428571786</v>
      </c>
      <c r="Q229" s="124">
        <f t="shared" si="37"/>
        <v>-0.63142857142857167</v>
      </c>
      <c r="U229" s="119">
        <v>7.43</v>
      </c>
      <c r="V229" s="129">
        <f t="shared" si="39"/>
        <v>-0.29178571428571409</v>
      </c>
      <c r="W229" s="119"/>
      <c r="X229" s="126"/>
      <c r="Y229" s="119">
        <v>45461</v>
      </c>
      <c r="Z229" s="126">
        <v>-0.35</v>
      </c>
      <c r="AA229" s="108">
        <v>45461</v>
      </c>
      <c r="AB229" s="108">
        <v>-0.32</v>
      </c>
      <c r="AC229" s="108">
        <v>45461</v>
      </c>
      <c r="AD229" s="108">
        <v>-0.4</v>
      </c>
    </row>
    <row r="230" spans="1:30">
      <c r="A230" s="99">
        <v>32478</v>
      </c>
      <c r="B230" s="119">
        <v>7.8049999999999997</v>
      </c>
      <c r="C230" s="120">
        <v>251.36190476190473</v>
      </c>
      <c r="D230" s="119">
        <v>23.13095238095238</v>
      </c>
      <c r="E230" s="120">
        <f t="shared" si="34"/>
        <v>0.77209047619047588</v>
      </c>
      <c r="F230" s="121">
        <f t="shared" si="35"/>
        <v>0.29665126757936006</v>
      </c>
      <c r="G230" s="127">
        <f t="shared" si="38"/>
        <v>8.6939274276282563E-3</v>
      </c>
      <c r="J230" s="122">
        <v>7.83</v>
      </c>
      <c r="K230" s="122">
        <v>266.89999999999998</v>
      </c>
      <c r="L230" s="122">
        <v>22.2</v>
      </c>
      <c r="M230" s="122">
        <f t="shared" si="31"/>
        <v>0.48380000000000045</v>
      </c>
      <c r="N230" s="128">
        <f t="shared" si="32"/>
        <v>0.29372849960306957</v>
      </c>
      <c r="O230" s="124">
        <f t="shared" si="36"/>
        <v>2.5000000000000355E-2</v>
      </c>
      <c r="P230" s="125">
        <f t="shared" si="33"/>
        <v>1.5380952380952522</v>
      </c>
      <c r="Q230" s="124">
        <f t="shared" si="37"/>
        <v>-0.93095238095238031</v>
      </c>
      <c r="U230" s="119">
        <v>7.53</v>
      </c>
      <c r="V230" s="129">
        <f t="shared" si="39"/>
        <v>-0.27499999999999947</v>
      </c>
      <c r="W230" s="119"/>
      <c r="X230" s="126"/>
      <c r="Y230" s="119">
        <v>45463</v>
      </c>
      <c r="Z230" s="126">
        <v>-0.35</v>
      </c>
      <c r="AA230" s="108">
        <v>45463</v>
      </c>
      <c r="AB230" s="108">
        <v>-0.32</v>
      </c>
      <c r="AC230" s="108">
        <v>45463</v>
      </c>
      <c r="AD230" s="108">
        <v>-0.4</v>
      </c>
    </row>
    <row r="231" spans="1:30">
      <c r="A231" s="99">
        <v>32509</v>
      </c>
      <c r="B231" s="119">
        <v>7.8674999999999997</v>
      </c>
      <c r="C231" s="120">
        <v>254.71428571428572</v>
      </c>
      <c r="D231" s="119">
        <v>22.204285714285714</v>
      </c>
      <c r="E231" s="120">
        <f t="shared" si="34"/>
        <v>0.68811428571428657</v>
      </c>
      <c r="F231" s="121">
        <f t="shared" si="35"/>
        <v>0.28548171376189063</v>
      </c>
      <c r="G231" s="127">
        <f t="shared" si="38"/>
        <v>-1.1169553817469424E-2</v>
      </c>
      <c r="J231" s="122">
        <v>7.83</v>
      </c>
      <c r="K231" s="122">
        <v>270.10000000000002</v>
      </c>
      <c r="L231" s="122">
        <v>21.1</v>
      </c>
      <c r="M231" s="122">
        <f t="shared" si="31"/>
        <v>0.43319999999999936</v>
      </c>
      <c r="N231" s="128">
        <f t="shared" si="32"/>
        <v>0.28088391906283283</v>
      </c>
      <c r="O231" s="124">
        <f t="shared" si="36"/>
        <v>-3.7499999999999645E-2</v>
      </c>
      <c r="P231" s="125">
        <f t="shared" si="33"/>
        <v>1.3857142857143003</v>
      </c>
      <c r="Q231" s="124">
        <f t="shared" si="37"/>
        <v>-1.1042857142857123</v>
      </c>
      <c r="U231" s="119">
        <v>7.69</v>
      </c>
      <c r="V231" s="129">
        <f t="shared" si="39"/>
        <v>-0.17749999999999932</v>
      </c>
      <c r="W231" s="119"/>
      <c r="X231" s="126"/>
      <c r="Y231" s="119">
        <v>45464</v>
      </c>
      <c r="Z231" s="126">
        <v>-0.35</v>
      </c>
      <c r="AA231" s="108">
        <v>45464</v>
      </c>
      <c r="AB231" s="108">
        <v>-0.37</v>
      </c>
      <c r="AC231" s="108">
        <v>45464</v>
      </c>
      <c r="AD231" s="108">
        <v>-0.4</v>
      </c>
    </row>
    <row r="232" spans="1:30">
      <c r="A232" s="99">
        <v>32540</v>
      </c>
      <c r="B232" s="119">
        <v>7.5010526315789479</v>
      </c>
      <c r="C232" s="120">
        <v>238.94210526315783</v>
      </c>
      <c r="D232" s="119">
        <v>22.157894736842103</v>
      </c>
      <c r="E232" s="120">
        <f t="shared" si="34"/>
        <v>0.67092631578947159</v>
      </c>
      <c r="F232" s="121">
        <f t="shared" si="35"/>
        <v>0.2982592633620923</v>
      </c>
      <c r="G232" s="127">
        <f t="shared" si="38"/>
        <v>1.2777549600201665E-2</v>
      </c>
      <c r="J232" s="122">
        <v>7.6</v>
      </c>
      <c r="K232" s="122">
        <v>252.1</v>
      </c>
      <c r="L232" s="122">
        <v>21.2</v>
      </c>
      <c r="M232" s="122">
        <f t="shared" si="31"/>
        <v>0.2782</v>
      </c>
      <c r="N232" s="128">
        <f t="shared" si="32"/>
        <v>0.29600670203853674</v>
      </c>
      <c r="O232" s="124">
        <f t="shared" si="36"/>
        <v>9.8947368421051785E-2</v>
      </c>
      <c r="P232" s="125">
        <f t="shared" si="33"/>
        <v>-0.84210526315783341</v>
      </c>
      <c r="Q232" s="124">
        <f t="shared" si="37"/>
        <v>-0.95789473684210336</v>
      </c>
      <c r="U232" s="119">
        <v>7.41</v>
      </c>
      <c r="V232" s="129">
        <f t="shared" si="39"/>
        <v>-9.1052631578947718E-2</v>
      </c>
      <c r="W232" s="119"/>
      <c r="X232" s="126"/>
      <c r="Y232" s="119">
        <v>45467</v>
      </c>
      <c r="Z232" s="126">
        <v>-0.35</v>
      </c>
      <c r="AA232" s="108">
        <v>45467</v>
      </c>
      <c r="AB232" s="108">
        <v>-0.37</v>
      </c>
      <c r="AC232" s="108">
        <v>45467</v>
      </c>
      <c r="AD232" s="108">
        <v>-0.4</v>
      </c>
    </row>
    <row r="233" spans="1:30">
      <c r="A233" s="99">
        <v>32568</v>
      </c>
      <c r="B233" s="119">
        <v>7.7357954545454541</v>
      </c>
      <c r="C233" s="120">
        <v>238.5</v>
      </c>
      <c r="D233" s="119">
        <v>23.354090909090907</v>
      </c>
      <c r="E233" s="120">
        <f t="shared" si="34"/>
        <v>0.55715454545454701</v>
      </c>
      <c r="F233" s="121">
        <f t="shared" si="35"/>
        <v>0.30977517047612729</v>
      </c>
      <c r="G233" s="127">
        <f t="shared" si="38"/>
        <v>1.1515907114034996E-2</v>
      </c>
      <c r="J233" s="122">
        <v>7.78</v>
      </c>
      <c r="K233" s="122">
        <v>254</v>
      </c>
      <c r="L233" s="122">
        <v>22.1</v>
      </c>
      <c r="M233" s="122">
        <f t="shared" si="31"/>
        <v>0.23899999999999988</v>
      </c>
      <c r="N233" s="128">
        <f t="shared" si="32"/>
        <v>0.30315500685871055</v>
      </c>
      <c r="O233" s="124">
        <f t="shared" si="36"/>
        <v>4.4204545454546107E-2</v>
      </c>
      <c r="P233" s="125">
        <f t="shared" si="33"/>
        <v>1.5</v>
      </c>
      <c r="Q233" s="124">
        <f t="shared" si="37"/>
        <v>-1.2540909090909054</v>
      </c>
      <c r="U233" s="119">
        <v>7.51</v>
      </c>
      <c r="V233" s="129">
        <f t="shared" si="39"/>
        <v>-0.22579545454545435</v>
      </c>
      <c r="W233" s="119"/>
      <c r="X233" s="126"/>
      <c r="Y233" s="119">
        <v>45468</v>
      </c>
      <c r="Z233" s="126">
        <v>-0.28000000000000003</v>
      </c>
      <c r="AA233" s="108">
        <v>45468</v>
      </c>
      <c r="AB233" s="108">
        <v>-0.33</v>
      </c>
      <c r="AC233" s="108">
        <v>45468</v>
      </c>
      <c r="AD233" s="108">
        <v>-0.4</v>
      </c>
    </row>
    <row r="234" spans="1:30">
      <c r="A234" s="99">
        <v>32599</v>
      </c>
      <c r="B234" s="119">
        <v>7.3051249999999985</v>
      </c>
      <c r="C234" s="120">
        <v>224.625</v>
      </c>
      <c r="D234" s="119">
        <v>22.631999999999998</v>
      </c>
      <c r="E234" s="120">
        <f t="shared" si="34"/>
        <v>0.57539500000000121</v>
      </c>
      <c r="F234" s="121">
        <f t="shared" si="35"/>
        <v>0.31590808728358027</v>
      </c>
      <c r="G234" s="127">
        <f t="shared" si="38"/>
        <v>6.1329168074529816E-3</v>
      </c>
      <c r="J234" s="122">
        <v>7.39</v>
      </c>
      <c r="K234" s="122">
        <v>238</v>
      </c>
      <c r="L234" s="122">
        <v>22</v>
      </c>
      <c r="M234" s="122">
        <f t="shared" si="31"/>
        <v>0.26600000000000001</v>
      </c>
      <c r="N234" s="128">
        <f t="shared" si="32"/>
        <v>0.31609195402298851</v>
      </c>
      <c r="O234" s="124">
        <f t="shared" si="36"/>
        <v>8.4875000000001144E-2</v>
      </c>
      <c r="P234" s="125">
        <f t="shared" si="33"/>
        <v>-0.625</v>
      </c>
      <c r="Q234" s="124">
        <f t="shared" si="37"/>
        <v>-0.6319999999999979</v>
      </c>
      <c r="U234" s="119">
        <v>7.29</v>
      </c>
      <c r="V234" s="129">
        <f t="shared" si="39"/>
        <v>-1.5124999999998501E-2</v>
      </c>
      <c r="W234" s="119"/>
      <c r="X234" s="126"/>
      <c r="Y234" s="119">
        <v>45469</v>
      </c>
      <c r="Z234" s="126">
        <v>-0.28000000000000003</v>
      </c>
      <c r="AA234" s="108">
        <v>45469</v>
      </c>
      <c r="AB234" s="108">
        <v>-0.33</v>
      </c>
      <c r="AC234" s="108">
        <v>45469</v>
      </c>
      <c r="AD234" s="108">
        <v>-0.4</v>
      </c>
    </row>
    <row r="235" spans="1:30">
      <c r="A235" s="99">
        <v>32629</v>
      </c>
      <c r="B235" s="119">
        <v>7.2817045454545442</v>
      </c>
      <c r="C235" s="120">
        <v>216.56363636363639</v>
      </c>
      <c r="D235" s="119">
        <v>22.934090909090909</v>
      </c>
      <c r="E235" s="120">
        <f t="shared" si="34"/>
        <v>0.43857272727272978</v>
      </c>
      <c r="F235" s="121">
        <f t="shared" si="35"/>
        <v>0.32676935178376187</v>
      </c>
      <c r="G235" s="127">
        <f t="shared" si="38"/>
        <v>1.08612645001816E-2</v>
      </c>
      <c r="J235" s="122">
        <v>7.4</v>
      </c>
      <c r="K235" s="122">
        <v>232.3</v>
      </c>
      <c r="L235" s="122">
        <v>22.2</v>
      </c>
      <c r="M235" s="122">
        <f t="shared" si="31"/>
        <v>0.15259999999999962</v>
      </c>
      <c r="N235" s="128">
        <f t="shared" si="32"/>
        <v>0.32333236236527818</v>
      </c>
      <c r="O235" s="124">
        <f t="shared" si="36"/>
        <v>0.1182954545454562</v>
      </c>
      <c r="P235" s="125">
        <f t="shared" si="33"/>
        <v>1.7363636363636203</v>
      </c>
      <c r="Q235" s="124">
        <f t="shared" si="37"/>
        <v>-0.73409090909090935</v>
      </c>
      <c r="U235" s="119">
        <v>7.2</v>
      </c>
      <c r="V235" s="129">
        <f t="shared" si="39"/>
        <v>-8.1704545454543975E-2</v>
      </c>
      <c r="W235" s="119"/>
      <c r="X235" s="126"/>
      <c r="Y235" s="119">
        <v>45470</v>
      </c>
      <c r="Z235" s="126">
        <v>-0.28000000000000003</v>
      </c>
      <c r="AA235" s="108">
        <v>45470</v>
      </c>
      <c r="AB235" s="108">
        <v>-0.33</v>
      </c>
      <c r="AC235" s="108">
        <v>45470</v>
      </c>
      <c r="AD235" s="108">
        <v>-0.4</v>
      </c>
    </row>
    <row r="236" spans="1:30">
      <c r="A236" s="99">
        <v>32660</v>
      </c>
      <c r="B236" s="119">
        <v>7.2202272727272714</v>
      </c>
      <c r="C236" s="120">
        <v>212.09090909090909</v>
      </c>
      <c r="D236" s="119">
        <v>20.759545454545457</v>
      </c>
      <c r="E236" s="120">
        <f t="shared" si="34"/>
        <v>0.15350454545454628</v>
      </c>
      <c r="F236" s="121">
        <f t="shared" si="35"/>
        <v>0.30968715113415496</v>
      </c>
      <c r="G236" s="127">
        <f t="shared" si="38"/>
        <v>-1.7082200649606916E-2</v>
      </c>
      <c r="J236" s="122">
        <v>7.25</v>
      </c>
      <c r="K236" s="122">
        <v>246.25</v>
      </c>
      <c r="L236" s="122">
        <v>20.8</v>
      </c>
      <c r="M236" s="122">
        <f t="shared" si="31"/>
        <v>0.45549999999999979</v>
      </c>
      <c r="N236" s="128">
        <f t="shared" si="32"/>
        <v>0.29693076374018562</v>
      </c>
      <c r="O236" s="124">
        <f t="shared" si="36"/>
        <v>2.9772727272728616E-2</v>
      </c>
      <c r="P236" s="125">
        <f t="shared" si="33"/>
        <v>20.159090909090907</v>
      </c>
      <c r="Q236" s="124">
        <f t="shared" si="37"/>
        <v>4.0454545454544188E-2</v>
      </c>
      <c r="U236" s="119">
        <v>7.05</v>
      </c>
      <c r="V236" s="129">
        <f t="shared" si="39"/>
        <v>-0.17022727272727156</v>
      </c>
      <c r="W236" s="119"/>
      <c r="X236" s="126"/>
      <c r="Y236" s="119">
        <v>45471</v>
      </c>
      <c r="Z236" s="126">
        <v>-0.28000000000000003</v>
      </c>
      <c r="AA236" s="108">
        <v>45471</v>
      </c>
      <c r="AB236" s="108">
        <v>-0.27</v>
      </c>
      <c r="AC236" s="108">
        <v>45471</v>
      </c>
      <c r="AD236" s="108">
        <v>-0.4</v>
      </c>
    </row>
    <row r="237" spans="1:30">
      <c r="A237" s="99">
        <v>32690</v>
      </c>
      <c r="B237" s="119">
        <v>6.8305000000000007</v>
      </c>
      <c r="C237" s="120">
        <v>209.34</v>
      </c>
      <c r="D237" s="119">
        <v>19.743500000000001</v>
      </c>
      <c r="E237" s="120">
        <f t="shared" si="34"/>
        <v>0.36544499999999935</v>
      </c>
      <c r="F237" s="121">
        <f t="shared" si="35"/>
        <v>0.30180678145816842</v>
      </c>
      <c r="G237" s="127">
        <f t="shared" si="38"/>
        <v>-7.8803696759865427E-3</v>
      </c>
      <c r="J237" s="122">
        <v>7.08</v>
      </c>
      <c r="K237" s="122">
        <v>251</v>
      </c>
      <c r="L237" s="122">
        <v>19.7</v>
      </c>
      <c r="M237" s="122">
        <f t="shared" si="31"/>
        <v>0.60899999999999999</v>
      </c>
      <c r="N237" s="128">
        <f t="shared" si="32"/>
        <v>0.28183118741058655</v>
      </c>
      <c r="O237" s="124">
        <f t="shared" si="36"/>
        <v>0.24949999999999939</v>
      </c>
      <c r="P237" s="125">
        <f t="shared" si="33"/>
        <v>27.659999999999997</v>
      </c>
      <c r="Q237" s="124">
        <f t="shared" si="37"/>
        <v>-4.3500000000001648E-2</v>
      </c>
      <c r="U237" s="119">
        <v>6.83</v>
      </c>
      <c r="V237" s="129">
        <f t="shared" si="39"/>
        <v>-5.0000000000061107E-4</v>
      </c>
      <c r="W237" s="119"/>
      <c r="X237" s="126"/>
      <c r="Y237" s="119">
        <v>45474</v>
      </c>
      <c r="Z237" s="126">
        <v>-0.12</v>
      </c>
      <c r="AA237" s="108">
        <v>45474</v>
      </c>
      <c r="AB237" s="108">
        <v>-0.13</v>
      </c>
      <c r="AC237" s="108">
        <v>45474</v>
      </c>
      <c r="AD237" s="108">
        <v>-0.35</v>
      </c>
    </row>
    <row r="238" spans="1:30">
      <c r="A238" s="99">
        <v>32721</v>
      </c>
      <c r="B238" s="119">
        <v>5.8452173913043479</v>
      </c>
      <c r="C238" s="120">
        <v>188.79130434782607</v>
      </c>
      <c r="D238" s="119">
        <v>18.227391304347826</v>
      </c>
      <c r="E238" s="120">
        <f t="shared" si="34"/>
        <v>0.69078695652173838</v>
      </c>
      <c r="F238" s="121">
        <f t="shared" si="35"/>
        <v>0.30676433747250187</v>
      </c>
      <c r="G238" s="127">
        <f t="shared" si="38"/>
        <v>4.9575560143334529E-3</v>
      </c>
      <c r="J238" s="122">
        <v>6.06</v>
      </c>
      <c r="K238" s="122">
        <v>234.3</v>
      </c>
      <c r="L238" s="122">
        <v>18.100000000000001</v>
      </c>
      <c r="M238" s="122">
        <f t="shared" si="31"/>
        <v>1.0856000000000012</v>
      </c>
      <c r="N238" s="128">
        <f t="shared" si="32"/>
        <v>0.27863300492610837</v>
      </c>
      <c r="O238" s="124">
        <f t="shared" si="36"/>
        <v>0.21478260869565169</v>
      </c>
      <c r="P238" s="125">
        <f t="shared" si="33"/>
        <v>31.508695652173941</v>
      </c>
      <c r="Q238" s="124">
        <f t="shared" si="37"/>
        <v>-0.12739130434782453</v>
      </c>
      <c r="U238" s="119">
        <v>6.07</v>
      </c>
      <c r="V238" s="129">
        <f t="shared" si="39"/>
        <v>0.22478260869565236</v>
      </c>
      <c r="W238" s="119"/>
      <c r="X238" s="126"/>
      <c r="Y238" s="119">
        <v>45475</v>
      </c>
      <c r="Z238" s="126">
        <v>-0.12</v>
      </c>
      <c r="AA238" s="108">
        <v>45475</v>
      </c>
      <c r="AB238" s="108">
        <v>-0.18</v>
      </c>
      <c r="AC238" s="108">
        <v>45475</v>
      </c>
      <c r="AD238" s="108">
        <v>-0.35</v>
      </c>
    </row>
    <row r="239" spans="1:30">
      <c r="A239" s="99">
        <v>32752</v>
      </c>
      <c r="B239" s="119">
        <v>5.7684999999999986</v>
      </c>
      <c r="C239" s="120">
        <v>188.14500000000001</v>
      </c>
      <c r="D239" s="119">
        <v>18.9025</v>
      </c>
      <c r="E239" s="120">
        <f t="shared" si="34"/>
        <v>0.82625500000000152</v>
      </c>
      <c r="F239" s="121">
        <f t="shared" si="35"/>
        <v>0.31529222844518107</v>
      </c>
      <c r="G239" s="127">
        <f t="shared" si="38"/>
        <v>8.5278909726791974E-3</v>
      </c>
      <c r="J239" s="122">
        <v>6</v>
      </c>
      <c r="K239" s="120">
        <v>234.9</v>
      </c>
      <c r="L239" s="122">
        <v>18.77</v>
      </c>
      <c r="M239" s="122">
        <f t="shared" si="31"/>
        <v>1.2324999999999999</v>
      </c>
      <c r="N239" s="128">
        <f t="shared" si="32"/>
        <v>0.28547528517110271</v>
      </c>
      <c r="O239" s="124">
        <f t="shared" si="36"/>
        <v>0.23150000000000137</v>
      </c>
      <c r="P239" s="125">
        <f t="shared" si="33"/>
        <v>32.754999999999995</v>
      </c>
      <c r="Q239" s="124">
        <f t="shared" si="37"/>
        <v>-0.13250000000000028</v>
      </c>
      <c r="U239" s="119">
        <v>5.7</v>
      </c>
      <c r="V239" s="129">
        <f t="shared" si="39"/>
        <v>-6.8499999999998451E-2</v>
      </c>
      <c r="W239" s="119"/>
      <c r="X239" s="126"/>
      <c r="Y239" s="119">
        <v>45476</v>
      </c>
      <c r="Z239" s="126">
        <v>-0.12</v>
      </c>
      <c r="AA239" s="108">
        <v>45476</v>
      </c>
      <c r="AB239" s="108">
        <v>-0.18</v>
      </c>
      <c r="AC239" s="108">
        <v>45476</v>
      </c>
      <c r="AD239" s="108">
        <v>-0.35</v>
      </c>
    </row>
    <row r="240" spans="1:30">
      <c r="A240" s="99">
        <v>32782</v>
      </c>
      <c r="B240" s="119">
        <v>5.6169318181818175</v>
      </c>
      <c r="C240" s="120">
        <v>183.33636363636364</v>
      </c>
      <c r="D240" s="119">
        <v>18.933636363636364</v>
      </c>
      <c r="E240" s="120">
        <f t="shared" si="34"/>
        <v>0.86584090909090961</v>
      </c>
      <c r="F240" s="121">
        <f t="shared" si="35"/>
        <v>0.32126685410984357</v>
      </c>
      <c r="G240" s="127">
        <f t="shared" si="38"/>
        <v>5.9746256646625029E-3</v>
      </c>
      <c r="J240" s="122">
        <v>5.64</v>
      </c>
      <c r="K240" s="122">
        <v>208.1</v>
      </c>
      <c r="L240" s="122">
        <v>19.02</v>
      </c>
      <c r="M240" s="122">
        <f t="shared" si="31"/>
        <v>1.0304000000000002</v>
      </c>
      <c r="N240" s="128">
        <f t="shared" si="32"/>
        <v>0.31365435356200527</v>
      </c>
      <c r="O240" s="124">
        <f t="shared" si="36"/>
        <v>2.3068181818182154E-2</v>
      </c>
      <c r="P240" s="125">
        <f t="shared" si="33"/>
        <v>10.763636363636351</v>
      </c>
      <c r="Q240" s="124">
        <f t="shared" si="37"/>
        <v>8.6363636363635976E-2</v>
      </c>
      <c r="U240" s="119">
        <v>5.55</v>
      </c>
      <c r="V240" s="129">
        <f t="shared" si="39"/>
        <v>-6.6931818181817704E-2</v>
      </c>
      <c r="W240" s="119"/>
      <c r="X240" s="126"/>
      <c r="Y240" s="119">
        <v>45478</v>
      </c>
      <c r="Z240" s="126">
        <v>-0.12</v>
      </c>
      <c r="AA240" s="108">
        <v>45478</v>
      </c>
      <c r="AB240" s="108">
        <v>-0.24</v>
      </c>
      <c r="AC240" s="108">
        <v>45478</v>
      </c>
      <c r="AD240" s="108">
        <v>-0.35</v>
      </c>
    </row>
    <row r="241" spans="1:30">
      <c r="A241" s="99">
        <v>32813</v>
      </c>
      <c r="B241" s="119">
        <v>5.8436904761904778</v>
      </c>
      <c r="C241" s="120">
        <v>184.8238095238095</v>
      </c>
      <c r="D241" s="119">
        <v>19.363809523809522</v>
      </c>
      <c r="E241" s="120">
        <f t="shared" si="34"/>
        <v>0.72209999999999752</v>
      </c>
      <c r="F241" s="121">
        <f t="shared" si="35"/>
        <v>0.32441166914222058</v>
      </c>
      <c r="G241" s="127">
        <f t="shared" si="38"/>
        <v>3.144815032377013E-3</v>
      </c>
      <c r="J241" s="122">
        <v>5.7</v>
      </c>
      <c r="K241" s="122">
        <v>194.9</v>
      </c>
      <c r="L241" s="122">
        <v>18.68</v>
      </c>
      <c r="M241" s="122">
        <f t="shared" si="31"/>
        <v>0.64260000000000073</v>
      </c>
      <c r="N241" s="128">
        <f t="shared" si="32"/>
        <v>0.32396808879639255</v>
      </c>
      <c r="O241" s="124">
        <f t="shared" si="36"/>
        <v>-0.14369047619047759</v>
      </c>
      <c r="P241" s="125">
        <f t="shared" si="33"/>
        <v>-3.9238095238094957</v>
      </c>
      <c r="Q241" s="124">
        <f t="shared" si="37"/>
        <v>-0.68380952380952209</v>
      </c>
      <c r="U241" s="119">
        <v>5.66</v>
      </c>
      <c r="V241" s="129">
        <f t="shared" si="39"/>
        <v>-0.18369047619047763</v>
      </c>
      <c r="W241" s="119"/>
      <c r="X241" s="126"/>
      <c r="Y241" s="119">
        <v>45481</v>
      </c>
      <c r="Z241" s="126">
        <v>-0.12</v>
      </c>
      <c r="AA241" s="108">
        <v>45481</v>
      </c>
      <c r="AB241" s="108">
        <v>-0.24</v>
      </c>
      <c r="AC241" s="108">
        <v>45481</v>
      </c>
      <c r="AD241" s="108">
        <v>-0.35</v>
      </c>
    </row>
    <row r="242" spans="1:30">
      <c r="A242" s="99">
        <v>32843</v>
      </c>
      <c r="B242" s="119">
        <v>5.7544999999999984</v>
      </c>
      <c r="C242" s="120">
        <v>181.48</v>
      </c>
      <c r="D242" s="119">
        <v>19.038999999999998</v>
      </c>
      <c r="E242" s="120">
        <f t="shared" si="34"/>
        <v>0.69531000000000098</v>
      </c>
      <c r="F242" s="121">
        <f t="shared" si="35"/>
        <v>0.32470568900479235</v>
      </c>
      <c r="G242" s="127">
        <f t="shared" si="38"/>
        <v>2.9401986257177049E-4</v>
      </c>
      <c r="J242" s="122">
        <v>5.82</v>
      </c>
      <c r="K242" s="122">
        <v>191.6</v>
      </c>
      <c r="L242" s="122">
        <v>18.11</v>
      </c>
      <c r="M242" s="122">
        <f t="shared" si="31"/>
        <v>0.38729999999999887</v>
      </c>
      <c r="N242" s="128">
        <f t="shared" si="32"/>
        <v>0.32092858408647884</v>
      </c>
      <c r="O242" s="124">
        <f t="shared" si="36"/>
        <v>6.550000000000189E-2</v>
      </c>
      <c r="P242" s="125">
        <f t="shared" si="33"/>
        <v>-3.8799999999999955</v>
      </c>
      <c r="Q242" s="124">
        <f t="shared" si="37"/>
        <v>-0.92899999999999849</v>
      </c>
      <c r="U242" s="119">
        <v>5.64</v>
      </c>
      <c r="V242" s="129">
        <f t="shared" si="39"/>
        <v>-0.11449999999999871</v>
      </c>
      <c r="W242" s="119"/>
      <c r="X242" s="126"/>
      <c r="Y242" s="119">
        <v>45482</v>
      </c>
      <c r="Z242" s="126">
        <v>-0.12</v>
      </c>
      <c r="AA242" s="108">
        <v>45482</v>
      </c>
      <c r="AB242" s="108">
        <v>-0.24</v>
      </c>
      <c r="AC242" s="108">
        <v>45482</v>
      </c>
      <c r="AD242" s="108">
        <v>-0.35</v>
      </c>
    </row>
    <row r="243" spans="1:30">
      <c r="A243" s="99">
        <v>32874</v>
      </c>
      <c r="B243" s="119">
        <v>5.7102272727272725</v>
      </c>
      <c r="C243" s="120">
        <v>174.56818181818181</v>
      </c>
      <c r="D243" s="119">
        <v>19.191818181818185</v>
      </c>
      <c r="E243" s="120">
        <f t="shared" si="34"/>
        <v>0.59050909090909176</v>
      </c>
      <c r="F243" s="121">
        <f t="shared" si="35"/>
        <v>0.33505607569678009</v>
      </c>
      <c r="G243" s="127">
        <f t="shared" si="38"/>
        <v>1.0350386691987734E-2</v>
      </c>
      <c r="J243" s="122">
        <v>5.72</v>
      </c>
      <c r="K243" s="122">
        <v>183.8</v>
      </c>
      <c r="L243" s="122">
        <v>19.329999999999998</v>
      </c>
      <c r="M243" s="122">
        <f t="shared" si="31"/>
        <v>0.44990000000000041</v>
      </c>
      <c r="N243" s="128">
        <f t="shared" si="32"/>
        <v>0.34462471028703862</v>
      </c>
      <c r="O243" s="124">
        <f t="shared" si="36"/>
        <v>9.7727272727272663E-3</v>
      </c>
      <c r="P243" s="125">
        <f t="shared" si="33"/>
        <v>-4.7681818181818016</v>
      </c>
      <c r="Q243" s="124">
        <f t="shared" si="37"/>
        <v>0.1381818181818133</v>
      </c>
      <c r="U243" s="119">
        <v>5.65</v>
      </c>
      <c r="V243" s="129">
        <f t="shared" si="39"/>
        <v>-6.022727272727213E-2</v>
      </c>
      <c r="W243" s="119"/>
      <c r="X243" s="126"/>
      <c r="Y243" s="119">
        <v>45483</v>
      </c>
      <c r="Z243" s="126">
        <v>-0.12</v>
      </c>
      <c r="AA243" s="108">
        <v>45483</v>
      </c>
      <c r="AB243" s="108">
        <v>-0.24</v>
      </c>
      <c r="AC243" s="108">
        <v>45483</v>
      </c>
      <c r="AD243" s="108">
        <v>-0.35</v>
      </c>
    </row>
    <row r="244" spans="1:30">
      <c r="A244" s="99">
        <v>32905</v>
      </c>
      <c r="B244" s="119">
        <v>5.6511842105263161</v>
      </c>
      <c r="C244" s="120">
        <v>165.35263157894738</v>
      </c>
      <c r="D244" s="119">
        <v>19.895789473684211</v>
      </c>
      <c r="E244" s="120">
        <f t="shared" si="34"/>
        <v>0.50581578947368389</v>
      </c>
      <c r="F244" s="121">
        <f t="shared" si="35"/>
        <v>0.35545506612071842</v>
      </c>
      <c r="G244" s="127">
        <f t="shared" si="38"/>
        <v>2.0398990423938335E-2</v>
      </c>
      <c r="J244" s="122">
        <v>5.85</v>
      </c>
      <c r="K244" s="122">
        <v>172.9</v>
      </c>
      <c r="L244" s="122">
        <v>19.260000000000002</v>
      </c>
      <c r="M244" s="122">
        <f t="shared" si="31"/>
        <v>7.240000000000002E-2</v>
      </c>
      <c r="N244" s="128">
        <f t="shared" si="32"/>
        <v>0.35772659732540868</v>
      </c>
      <c r="O244" s="124">
        <f t="shared" si="36"/>
        <v>0.1988157894736835</v>
      </c>
      <c r="P244" s="125">
        <f t="shared" si="33"/>
        <v>-6.4526315789473756</v>
      </c>
      <c r="Q244" s="124">
        <f t="shared" si="37"/>
        <v>-0.63578947368420913</v>
      </c>
      <c r="U244" s="119">
        <v>5.56</v>
      </c>
      <c r="V244" s="129">
        <f t="shared" si="39"/>
        <v>-9.1184210526316534E-2</v>
      </c>
      <c r="W244" s="119"/>
      <c r="X244" s="126"/>
      <c r="Y244" s="119">
        <v>45484</v>
      </c>
      <c r="Z244" s="126">
        <v>-0.12</v>
      </c>
      <c r="AA244" s="108">
        <v>45484</v>
      </c>
      <c r="AB244" s="108">
        <v>-0.24</v>
      </c>
      <c r="AC244" s="108">
        <v>45484</v>
      </c>
      <c r="AD244" s="108">
        <v>-0.35</v>
      </c>
    </row>
    <row r="245" spans="1:30">
      <c r="A245" s="99">
        <v>32933</v>
      </c>
      <c r="B245" s="119">
        <v>5.94</v>
      </c>
      <c r="C245" s="120">
        <v>169.94090909090912</v>
      </c>
      <c r="D245" s="119">
        <v>22.173636363636362</v>
      </c>
      <c r="E245" s="120">
        <f t="shared" si="34"/>
        <v>0.57768181818181841</v>
      </c>
      <c r="F245" s="121">
        <f t="shared" si="35"/>
        <v>0.37422814860275189</v>
      </c>
      <c r="G245" s="127">
        <f t="shared" si="38"/>
        <v>1.8773082482033465E-2</v>
      </c>
      <c r="J245" s="122">
        <v>5.89</v>
      </c>
      <c r="K245" s="122">
        <v>176.4</v>
      </c>
      <c r="L245" s="122">
        <v>21.79</v>
      </c>
      <c r="M245" s="122">
        <f t="shared" ref="M245:M308" si="40">(K245/2000*44)+(L245/100*11)-J245</f>
        <v>0.38769999999999971</v>
      </c>
      <c r="N245" s="128">
        <f t="shared" ref="N245:N308" si="41">L245/100*11/(J245+M245)</f>
        <v>0.38181181005782372</v>
      </c>
      <c r="O245" s="124">
        <f t="shared" si="36"/>
        <v>-5.0000000000000711E-2</v>
      </c>
      <c r="P245" s="125">
        <f t="shared" ref="P245:P274" si="42">K245-(C245+14)</f>
        <v>-7.5409090909091105</v>
      </c>
      <c r="Q245" s="124">
        <f t="shared" si="37"/>
        <v>-0.38363636363636289</v>
      </c>
      <c r="U245" s="119">
        <v>5.65</v>
      </c>
      <c r="V245" s="129">
        <f t="shared" si="39"/>
        <v>-0.29000000000000004</v>
      </c>
      <c r="W245" s="119"/>
      <c r="X245" s="126"/>
      <c r="Y245" s="119">
        <v>45485</v>
      </c>
      <c r="Z245" s="126">
        <v>-0.12</v>
      </c>
      <c r="AA245" s="108">
        <v>45485</v>
      </c>
      <c r="AB245" s="108">
        <v>-0.24</v>
      </c>
      <c r="AC245" s="108">
        <v>45485</v>
      </c>
      <c r="AD245" s="108">
        <v>-0.35</v>
      </c>
    </row>
    <row r="246" spans="1:30">
      <c r="A246" s="99">
        <v>32964</v>
      </c>
      <c r="B246" s="119">
        <v>6.0052499999999993</v>
      </c>
      <c r="C246" s="120">
        <v>173.33500000000001</v>
      </c>
      <c r="D246" s="119">
        <v>22.595999999999997</v>
      </c>
      <c r="E246" s="120">
        <f t="shared" si="34"/>
        <v>0.64035000000000064</v>
      </c>
      <c r="F246" s="121">
        <f t="shared" si="35"/>
        <v>0.37401589021307324</v>
      </c>
      <c r="G246" s="127">
        <f t="shared" si="38"/>
        <v>-2.1225838967864341E-4</v>
      </c>
      <c r="J246" s="122">
        <v>6</v>
      </c>
      <c r="K246" s="122">
        <v>178</v>
      </c>
      <c r="L246" s="122">
        <v>22.24</v>
      </c>
      <c r="M246" s="122">
        <f t="shared" si="40"/>
        <v>0.36239999999999917</v>
      </c>
      <c r="N246" s="128">
        <f t="shared" si="41"/>
        <v>0.38450899031811897</v>
      </c>
      <c r="O246" s="124">
        <f t="shared" si="36"/>
        <v>-5.2499999999993108E-3</v>
      </c>
      <c r="P246" s="125">
        <f t="shared" si="42"/>
        <v>-9.335000000000008</v>
      </c>
      <c r="Q246" s="124">
        <f t="shared" si="37"/>
        <v>-0.3559999999999981</v>
      </c>
      <c r="U246" s="119">
        <v>5.82</v>
      </c>
      <c r="V246" s="129">
        <f t="shared" si="39"/>
        <v>-0.18524999999999903</v>
      </c>
      <c r="W246" s="119"/>
      <c r="X246" s="126"/>
      <c r="Y246" s="119">
        <v>45488</v>
      </c>
      <c r="Z246" s="126">
        <v>-0.12</v>
      </c>
      <c r="AA246" s="108">
        <v>45488</v>
      </c>
      <c r="AB246" s="108">
        <v>-0.24</v>
      </c>
      <c r="AC246" s="108">
        <v>45488</v>
      </c>
      <c r="AD246" s="108">
        <v>-0.35</v>
      </c>
    </row>
    <row r="247" spans="1:30">
      <c r="A247" s="99">
        <v>32994</v>
      </c>
      <c r="B247" s="119">
        <v>6.2998863636363645</v>
      </c>
      <c r="C247" s="120">
        <v>183.65909090909088</v>
      </c>
      <c r="D247" s="119">
        <v>23.902727272727269</v>
      </c>
      <c r="E247" s="120">
        <f t="shared" si="34"/>
        <v>0.73723181818181605</v>
      </c>
      <c r="F247" s="121">
        <f t="shared" si="35"/>
        <v>0.37363306002069546</v>
      </c>
      <c r="G247" s="127">
        <f t="shared" si="38"/>
        <v>-3.8283019237778104E-4</v>
      </c>
      <c r="J247" s="122">
        <v>6.2</v>
      </c>
      <c r="K247" s="122">
        <v>189.4</v>
      </c>
      <c r="L247" s="122">
        <v>23.65</v>
      </c>
      <c r="M247" s="122">
        <f t="shared" si="40"/>
        <v>0.56829999999999981</v>
      </c>
      <c r="N247" s="128">
        <f t="shared" si="41"/>
        <v>0.38436535023565738</v>
      </c>
      <c r="O247" s="124">
        <f t="shared" si="36"/>
        <v>-9.9886363636364273E-2</v>
      </c>
      <c r="P247" s="125">
        <f t="shared" si="42"/>
        <v>-8.2590909090908724</v>
      </c>
      <c r="Q247" s="124">
        <f t="shared" si="37"/>
        <v>-0.25272727272727025</v>
      </c>
      <c r="U247" s="119">
        <v>5.97</v>
      </c>
      <c r="V247" s="129">
        <f t="shared" si="39"/>
        <v>-0.3298863636363647</v>
      </c>
      <c r="W247" s="119"/>
      <c r="X247" s="126"/>
      <c r="Y247" s="119">
        <v>45489</v>
      </c>
      <c r="Z247" s="126">
        <v>-0.12</v>
      </c>
      <c r="AA247" s="108">
        <v>45489</v>
      </c>
      <c r="AB247" s="108">
        <v>-0.24</v>
      </c>
      <c r="AC247" s="108">
        <v>45489</v>
      </c>
      <c r="AD247" s="108">
        <v>-0.35</v>
      </c>
    </row>
    <row r="248" spans="1:30">
      <c r="A248" s="99">
        <v>33025</v>
      </c>
      <c r="B248" s="119">
        <v>6.0154761904761909</v>
      </c>
      <c r="C248" s="120">
        <v>174.62380952380948</v>
      </c>
      <c r="D248" s="119">
        <v>24.116666666666667</v>
      </c>
      <c r="E248" s="120">
        <f t="shared" si="34"/>
        <v>0.8283285714285693</v>
      </c>
      <c r="F248" s="121">
        <f t="shared" si="35"/>
        <v>0.3876255132379024</v>
      </c>
      <c r="G248" s="127">
        <f t="shared" si="38"/>
        <v>1.3992453217206935E-2</v>
      </c>
      <c r="J248" s="122">
        <v>6.09</v>
      </c>
      <c r="K248" s="122">
        <v>182</v>
      </c>
      <c r="L248" s="122">
        <v>23.53</v>
      </c>
      <c r="M248" s="122">
        <f t="shared" si="40"/>
        <v>0.50229999999999997</v>
      </c>
      <c r="N248" s="128">
        <f t="shared" si="41"/>
        <v>0.39262472885032546</v>
      </c>
      <c r="O248" s="124">
        <f t="shared" si="36"/>
        <v>7.4523809523808993E-2</v>
      </c>
      <c r="P248" s="125">
        <f t="shared" si="42"/>
        <v>-6.6238095238094843</v>
      </c>
      <c r="Q248" s="124">
        <f t="shared" si="37"/>
        <v>-0.586666666666666</v>
      </c>
      <c r="U248" s="119">
        <v>5.88</v>
      </c>
      <c r="V248" s="129">
        <f t="shared" si="39"/>
        <v>-0.13547619047619097</v>
      </c>
      <c r="W248" s="119"/>
      <c r="X248" s="126"/>
      <c r="Y248" s="119">
        <v>45490</v>
      </c>
      <c r="Z248" s="126">
        <v>-0.12</v>
      </c>
      <c r="AA248" s="108">
        <v>45490</v>
      </c>
      <c r="AB248" s="108">
        <v>-0.24</v>
      </c>
      <c r="AC248" s="108">
        <v>45490</v>
      </c>
      <c r="AD248" s="108">
        <v>-0.35</v>
      </c>
    </row>
    <row r="249" spans="1:30">
      <c r="A249" s="99">
        <v>33055</v>
      </c>
      <c r="B249" s="119">
        <v>6.0769047619047614</v>
      </c>
      <c r="C249" s="120">
        <v>176.62380952380951</v>
      </c>
      <c r="D249" s="119">
        <v>23.937619047619048</v>
      </c>
      <c r="E249" s="120">
        <f t="shared" si="34"/>
        <v>0.79520476190476241</v>
      </c>
      <c r="F249" s="121">
        <f t="shared" si="35"/>
        <v>0.38316299909295198</v>
      </c>
      <c r="G249" s="127">
        <f t="shared" si="38"/>
        <v>-4.4625141449504135E-3</v>
      </c>
      <c r="J249" s="122">
        <v>6.19</v>
      </c>
      <c r="K249" s="122">
        <v>183.92</v>
      </c>
      <c r="L249" s="122">
        <v>23.53</v>
      </c>
      <c r="M249" s="122">
        <f t="shared" si="40"/>
        <v>0.44453999999999994</v>
      </c>
      <c r="N249" s="128">
        <f t="shared" si="41"/>
        <v>0.39012501243492392</v>
      </c>
      <c r="O249" s="124">
        <f t="shared" si="36"/>
        <v>0.11309523809523903</v>
      </c>
      <c r="P249" s="125">
        <f t="shared" si="42"/>
        <v>-6.7038095238095252</v>
      </c>
      <c r="Q249" s="124">
        <f t="shared" si="37"/>
        <v>-0.40761904761904688</v>
      </c>
      <c r="U249" s="119">
        <v>5.97</v>
      </c>
      <c r="V249" s="129">
        <f t="shared" si="39"/>
        <v>-0.10690476190476161</v>
      </c>
      <c r="W249" s="119"/>
      <c r="X249" s="126"/>
      <c r="Y249" s="119">
        <v>45491</v>
      </c>
      <c r="Z249" s="126">
        <v>-0.12</v>
      </c>
      <c r="AA249" s="108">
        <v>45491</v>
      </c>
      <c r="AB249" s="108">
        <v>-0.24</v>
      </c>
      <c r="AC249" s="108">
        <v>45491</v>
      </c>
      <c r="AD249" s="108">
        <v>-0.35</v>
      </c>
    </row>
    <row r="250" spans="1:30">
      <c r="A250" s="99">
        <v>33086</v>
      </c>
      <c r="B250" s="119">
        <v>6.086847826086955</v>
      </c>
      <c r="C250" s="120">
        <v>175.6521739130435</v>
      </c>
      <c r="D250" s="119">
        <v>24.375652173913043</v>
      </c>
      <c r="E250" s="120">
        <f t="shared" si="34"/>
        <v>0.81012608695652411</v>
      </c>
      <c r="F250" s="121">
        <f t="shared" si="35"/>
        <v>0.38876785282014037</v>
      </c>
      <c r="G250" s="127">
        <f t="shared" si="38"/>
        <v>5.6048537271883858E-3</v>
      </c>
      <c r="J250" s="122">
        <v>6.26</v>
      </c>
      <c r="K250" s="122">
        <v>186.75</v>
      </c>
      <c r="L250" s="122">
        <v>25.01</v>
      </c>
      <c r="M250" s="122">
        <f t="shared" si="40"/>
        <v>0.59960000000000058</v>
      </c>
      <c r="N250" s="128">
        <f t="shared" si="41"/>
        <v>0.40105837075048106</v>
      </c>
      <c r="O250" s="124">
        <f t="shared" si="36"/>
        <v>0.17315217391304483</v>
      </c>
      <c r="P250" s="125">
        <f t="shared" si="42"/>
        <v>-2.902173913043498</v>
      </c>
      <c r="Q250" s="124">
        <f t="shared" si="37"/>
        <v>0.63434782608695883</v>
      </c>
      <c r="U250" s="119">
        <v>6</v>
      </c>
      <c r="V250" s="129">
        <f t="shared" si="39"/>
        <v>-8.684782608695496E-2</v>
      </c>
      <c r="W250" s="119"/>
      <c r="X250" s="126"/>
      <c r="Y250" s="119">
        <v>45492</v>
      </c>
      <c r="Z250" s="126">
        <v>-0.12</v>
      </c>
      <c r="AA250" s="108">
        <v>45492</v>
      </c>
      <c r="AB250" s="108">
        <v>-0.24</v>
      </c>
      <c r="AC250" s="108">
        <v>45492</v>
      </c>
      <c r="AD250" s="108">
        <v>-0.35</v>
      </c>
    </row>
    <row r="251" spans="1:30">
      <c r="A251" s="99">
        <v>33117</v>
      </c>
      <c r="B251" s="119">
        <v>6.2523684210526307</v>
      </c>
      <c r="C251" s="120">
        <v>180.6</v>
      </c>
      <c r="D251" s="119">
        <v>23.793684210526315</v>
      </c>
      <c r="E251" s="120">
        <f t="shared" si="34"/>
        <v>0.69933684210526348</v>
      </c>
      <c r="F251" s="121">
        <f t="shared" si="35"/>
        <v>0.3764983071173752</v>
      </c>
      <c r="G251" s="127">
        <f t="shared" si="38"/>
        <v>-1.2269545702765172E-2</v>
      </c>
      <c r="J251" s="122">
        <v>6.28</v>
      </c>
      <c r="K251" s="122">
        <v>190</v>
      </c>
      <c r="L251" s="122">
        <v>24.45</v>
      </c>
      <c r="M251" s="122">
        <f t="shared" si="40"/>
        <v>0.58949999999999925</v>
      </c>
      <c r="N251" s="128">
        <f t="shared" si="41"/>
        <v>0.39151321056845478</v>
      </c>
      <c r="O251" s="124">
        <f t="shared" si="36"/>
        <v>2.7631578947369562E-2</v>
      </c>
      <c r="P251" s="125">
        <f t="shared" si="42"/>
        <v>-4.5999999999999943</v>
      </c>
      <c r="Q251" s="124">
        <f t="shared" si="37"/>
        <v>0.65631578947368396</v>
      </c>
      <c r="U251" s="119">
        <v>5.99</v>
      </c>
      <c r="V251" s="129">
        <f t="shared" si="39"/>
        <v>-0.26236842105263047</v>
      </c>
      <c r="W251" s="119"/>
      <c r="X251" s="126"/>
      <c r="Y251" s="119">
        <v>45495</v>
      </c>
      <c r="Z251" s="126">
        <v>-0.12</v>
      </c>
      <c r="AA251" s="108">
        <v>45495</v>
      </c>
      <c r="AB251" s="108">
        <v>-0.24</v>
      </c>
      <c r="AC251" s="108">
        <v>45495</v>
      </c>
      <c r="AD251" s="108">
        <v>-0.35</v>
      </c>
    </row>
    <row r="252" spans="1:30">
      <c r="A252" s="99">
        <v>33147</v>
      </c>
      <c r="B252" s="119">
        <v>6.1172826086956515</v>
      </c>
      <c r="C252" s="120">
        <v>185.03043478260869</v>
      </c>
      <c r="D252" s="119">
        <v>22.326086956521745</v>
      </c>
      <c r="E252" s="120">
        <f t="shared" si="34"/>
        <v>0.77931739130434874</v>
      </c>
      <c r="F252" s="121">
        <f t="shared" si="35"/>
        <v>0.35609859426636192</v>
      </c>
      <c r="G252" s="127">
        <f t="shared" si="38"/>
        <v>-2.0399712851013274E-2</v>
      </c>
      <c r="J252" s="122">
        <v>6.14</v>
      </c>
      <c r="K252" s="122">
        <v>185.4</v>
      </c>
      <c r="L252" s="122">
        <v>22.59</v>
      </c>
      <c r="M252" s="122">
        <f t="shared" si="40"/>
        <v>0.42370000000000019</v>
      </c>
      <c r="N252" s="128">
        <f t="shared" si="41"/>
        <v>0.37858220211161381</v>
      </c>
      <c r="O252" s="124">
        <f t="shared" si="36"/>
        <v>2.2717391304348133E-2</v>
      </c>
      <c r="P252" s="125">
        <f t="shared" si="42"/>
        <v>-13.630434782608688</v>
      </c>
      <c r="Q252" s="124">
        <f t="shared" si="37"/>
        <v>0.26391304347825439</v>
      </c>
      <c r="U252" s="119">
        <v>5.88</v>
      </c>
      <c r="V252" s="129">
        <f t="shared" si="39"/>
        <v>-0.23728260869565165</v>
      </c>
      <c r="W252" s="119"/>
      <c r="X252" s="126"/>
      <c r="Y252" s="119">
        <v>45496</v>
      </c>
      <c r="Z252" s="126">
        <v>-0.12</v>
      </c>
      <c r="AA252" s="108">
        <v>45496</v>
      </c>
      <c r="AB252" s="108">
        <v>-0.25</v>
      </c>
      <c r="AC252" s="108">
        <v>45496</v>
      </c>
      <c r="AD252" s="108">
        <v>-0.35</v>
      </c>
    </row>
    <row r="253" spans="1:30">
      <c r="A253" s="99">
        <v>33178</v>
      </c>
      <c r="B253" s="119">
        <v>5.8567857142857136</v>
      </c>
      <c r="C253" s="120">
        <v>174.19047619047618</v>
      </c>
      <c r="D253" s="119">
        <v>20.776666666666664</v>
      </c>
      <c r="E253" s="120">
        <f t="shared" si="34"/>
        <v>0.60921904761904688</v>
      </c>
      <c r="F253" s="121">
        <f t="shared" si="35"/>
        <v>0.35345370402419685</v>
      </c>
      <c r="G253" s="127">
        <f t="shared" si="38"/>
        <v>-2.6448902421650766E-3</v>
      </c>
      <c r="J253" s="122">
        <v>5.87</v>
      </c>
      <c r="K253" s="122">
        <v>174.25</v>
      </c>
      <c r="L253" s="122">
        <v>21.05</v>
      </c>
      <c r="M253" s="122">
        <f t="shared" si="40"/>
        <v>0.27899999999999991</v>
      </c>
      <c r="N253" s="128">
        <f t="shared" si="41"/>
        <v>0.37656529516994636</v>
      </c>
      <c r="O253" s="124">
        <f t="shared" si="36"/>
        <v>1.3214285714286511E-2</v>
      </c>
      <c r="P253" s="125">
        <f t="shared" si="42"/>
        <v>-13.940476190476176</v>
      </c>
      <c r="Q253" s="124">
        <f t="shared" si="37"/>
        <v>0.27333333333333698</v>
      </c>
      <c r="U253" s="119">
        <v>5.78</v>
      </c>
      <c r="V253" s="129">
        <f t="shared" si="39"/>
        <v>-7.6785714285713347E-2</v>
      </c>
      <c r="W253" s="119"/>
      <c r="X253" s="126"/>
      <c r="Y253" s="119">
        <v>45497</v>
      </c>
      <c r="Z253" s="126">
        <v>-0.12</v>
      </c>
      <c r="AA253" s="108">
        <v>45497</v>
      </c>
      <c r="AB253" s="108">
        <v>-0.3</v>
      </c>
      <c r="AC253" s="108">
        <v>45497</v>
      </c>
      <c r="AD253" s="108">
        <v>-0.35</v>
      </c>
    </row>
    <row r="254" spans="1:30">
      <c r="A254" s="99">
        <v>33208</v>
      </c>
      <c r="B254" s="119">
        <v>5.82</v>
      </c>
      <c r="C254" s="120">
        <v>172.9</v>
      </c>
      <c r="D254" s="119">
        <v>21.240500000000001</v>
      </c>
      <c r="E254" s="120">
        <f t="shared" si="34"/>
        <v>0.66605499999999918</v>
      </c>
      <c r="F254" s="121">
        <f t="shared" si="35"/>
        <v>0.36022744179628452</v>
      </c>
      <c r="G254" s="127">
        <f t="shared" si="38"/>
        <v>6.7737377720876735E-3</v>
      </c>
      <c r="J254" s="122">
        <v>5.91</v>
      </c>
      <c r="K254" s="122">
        <v>175.9</v>
      </c>
      <c r="L254" s="122">
        <v>21.55</v>
      </c>
      <c r="M254" s="122">
        <f t="shared" si="40"/>
        <v>0.33029999999999937</v>
      </c>
      <c r="N254" s="128">
        <f t="shared" si="41"/>
        <v>0.37986955755332275</v>
      </c>
      <c r="O254" s="124">
        <f t="shared" si="36"/>
        <v>8.9999999999999858E-2</v>
      </c>
      <c r="P254" s="125">
        <f t="shared" si="42"/>
        <v>-11</v>
      </c>
      <c r="Q254" s="124">
        <f t="shared" si="37"/>
        <v>0.30949999999999989</v>
      </c>
      <c r="U254" s="119">
        <v>5.72</v>
      </c>
      <c r="V254" s="129">
        <f t="shared" si="39"/>
        <v>-0.10000000000000053</v>
      </c>
      <c r="W254" s="119"/>
      <c r="X254" s="126"/>
      <c r="Y254" s="119">
        <v>45498</v>
      </c>
      <c r="Z254" s="126">
        <v>-0.12</v>
      </c>
      <c r="AA254" s="108">
        <v>45498</v>
      </c>
      <c r="AB254" s="108">
        <v>-0.28999999999999998</v>
      </c>
      <c r="AC254" s="108">
        <v>45498</v>
      </c>
      <c r="AD254" s="108">
        <v>-0.35</v>
      </c>
    </row>
    <row r="255" spans="1:30">
      <c r="A255" s="99">
        <v>33239</v>
      </c>
      <c r="B255" s="119">
        <v>5.7093181818181824</v>
      </c>
      <c r="C255" s="120">
        <v>166.52727272727273</v>
      </c>
      <c r="D255" s="119">
        <v>21.384545454545457</v>
      </c>
      <c r="E255" s="120">
        <f t="shared" si="34"/>
        <v>0.63963636363636223</v>
      </c>
      <c r="F255" s="121">
        <f t="shared" si="35"/>
        <v>0.37050194377027001</v>
      </c>
      <c r="G255" s="127">
        <f t="shared" si="38"/>
        <v>1.0274501973985495E-2</v>
      </c>
      <c r="J255" s="122">
        <v>5.76</v>
      </c>
      <c r="K255" s="122">
        <v>167</v>
      </c>
      <c r="L255" s="122">
        <v>21.56</v>
      </c>
      <c r="M255" s="122">
        <f t="shared" si="40"/>
        <v>0.28560000000000052</v>
      </c>
      <c r="N255" s="128">
        <f t="shared" si="41"/>
        <v>0.39228529839883547</v>
      </c>
      <c r="O255" s="124">
        <f t="shared" si="36"/>
        <v>5.0681818181817384E-2</v>
      </c>
      <c r="P255" s="125">
        <f t="shared" si="42"/>
        <v>-13.527272727272731</v>
      </c>
      <c r="Q255" s="124">
        <f t="shared" si="37"/>
        <v>0.1754545454545422</v>
      </c>
      <c r="U255" s="119">
        <v>5.71</v>
      </c>
      <c r="V255" s="129">
        <f t="shared" si="39"/>
        <v>6.8181818181756171E-4</v>
      </c>
      <c r="W255" s="119"/>
      <c r="X255" s="126"/>
      <c r="Y255" s="119">
        <v>45499</v>
      </c>
      <c r="Z255" s="126">
        <v>-0.12</v>
      </c>
      <c r="AA255" s="108">
        <v>45499</v>
      </c>
      <c r="AB255" s="108">
        <v>-0.31</v>
      </c>
      <c r="AC255" s="108">
        <v>45499</v>
      </c>
      <c r="AD255" s="108">
        <v>-0.35</v>
      </c>
    </row>
    <row r="256" spans="1:30">
      <c r="A256" s="99">
        <v>33270</v>
      </c>
      <c r="B256" s="119">
        <v>5.7180263157894728</v>
      </c>
      <c r="C256" s="120">
        <v>166.48421052631579</v>
      </c>
      <c r="D256" s="119">
        <v>21.35052631578947</v>
      </c>
      <c r="E256" s="120">
        <f t="shared" si="34"/>
        <v>0.62615263157894763</v>
      </c>
      <c r="F256" s="121">
        <f t="shared" si="35"/>
        <v>0.37019099149323781</v>
      </c>
      <c r="G256" s="127">
        <f t="shared" si="38"/>
        <v>-3.1095227703220596E-4</v>
      </c>
      <c r="J256" s="122">
        <v>5.85</v>
      </c>
      <c r="K256" s="122">
        <v>174.5</v>
      </c>
      <c r="L256" s="122">
        <v>21.66</v>
      </c>
      <c r="M256" s="122">
        <f t="shared" si="40"/>
        <v>0.37159999999999993</v>
      </c>
      <c r="N256" s="128">
        <f t="shared" si="41"/>
        <v>0.38295615275813299</v>
      </c>
      <c r="O256" s="124">
        <f t="shared" si="36"/>
        <v>0.1319736842105268</v>
      </c>
      <c r="P256" s="125">
        <f t="shared" si="42"/>
        <v>-5.9842105263157919</v>
      </c>
      <c r="Q256" s="124">
        <f t="shared" si="37"/>
        <v>0.30947368421053056</v>
      </c>
      <c r="U256" s="119">
        <v>5.65</v>
      </c>
      <c r="V256" s="129">
        <f t="shared" si="39"/>
        <v>-6.8026315789472491E-2</v>
      </c>
      <c r="W256" s="119"/>
      <c r="X256" s="126"/>
      <c r="Y256" s="119">
        <v>45502</v>
      </c>
      <c r="Z256" s="126">
        <v>-0.12</v>
      </c>
      <c r="AA256" s="108">
        <v>45502</v>
      </c>
      <c r="AB256" s="108">
        <v>-0.36</v>
      </c>
      <c r="AC256" s="108">
        <v>45502</v>
      </c>
      <c r="AD256" s="108">
        <v>-0.35</v>
      </c>
    </row>
    <row r="257" spans="1:30">
      <c r="A257" s="99">
        <v>33298</v>
      </c>
      <c r="B257" s="119">
        <v>5.8636249999999999</v>
      </c>
      <c r="C257" s="120">
        <v>168.8</v>
      </c>
      <c r="D257" s="119">
        <v>22.119499999999999</v>
      </c>
      <c r="E257" s="120">
        <f t="shared" si="34"/>
        <v>0.62071999999999949</v>
      </c>
      <c r="F257" s="121">
        <f t="shared" si="35"/>
        <v>0.37523373602114013</v>
      </c>
      <c r="G257" s="127">
        <f t="shared" si="38"/>
        <v>5.0427445279023209E-3</v>
      </c>
      <c r="J257" s="122">
        <v>5.92</v>
      </c>
      <c r="K257" s="122">
        <v>177.6</v>
      </c>
      <c r="L257" s="122">
        <v>22.21</v>
      </c>
      <c r="M257" s="122">
        <f t="shared" si="40"/>
        <v>0.43030000000000079</v>
      </c>
      <c r="N257" s="128">
        <f t="shared" si="41"/>
        <v>0.38472198163866272</v>
      </c>
      <c r="O257" s="124">
        <f t="shared" si="36"/>
        <v>5.6375000000000064E-2</v>
      </c>
      <c r="P257" s="125">
        <f t="shared" si="42"/>
        <v>-5.2000000000000171</v>
      </c>
      <c r="Q257" s="124">
        <f t="shared" si="37"/>
        <v>9.0500000000002245E-2</v>
      </c>
      <c r="U257" s="119">
        <v>5.76</v>
      </c>
      <c r="V257" s="129">
        <f t="shared" si="39"/>
        <v>-0.10362500000000008</v>
      </c>
      <c r="W257" s="119"/>
      <c r="X257" s="126"/>
      <c r="Y257" s="119">
        <v>45503</v>
      </c>
      <c r="Z257" s="126">
        <v>-0.12</v>
      </c>
      <c r="AA257" s="108">
        <v>45503</v>
      </c>
      <c r="AB257" s="108">
        <v>-0.3</v>
      </c>
      <c r="AC257" s="108">
        <v>45503</v>
      </c>
      <c r="AD257" s="108">
        <v>-0.35</v>
      </c>
    </row>
    <row r="258" spans="1:30">
      <c r="A258" s="99">
        <v>33329</v>
      </c>
      <c r="B258" s="119">
        <v>5.875</v>
      </c>
      <c r="C258" s="120">
        <v>172.70454545454547</v>
      </c>
      <c r="D258" s="119">
        <v>21.409090909090903</v>
      </c>
      <c r="E258" s="120">
        <f t="shared" si="34"/>
        <v>0.62490909090909064</v>
      </c>
      <c r="F258" s="121">
        <f t="shared" si="35"/>
        <v>0.36231275961901555</v>
      </c>
      <c r="G258" s="127">
        <f t="shared" si="38"/>
        <v>-1.2920976402124584E-2</v>
      </c>
      <c r="J258" s="122">
        <v>6.01</v>
      </c>
      <c r="K258" s="122">
        <v>182.5</v>
      </c>
      <c r="L258" s="122">
        <v>21.5</v>
      </c>
      <c r="M258" s="122">
        <f t="shared" si="40"/>
        <v>0.36999999999999922</v>
      </c>
      <c r="N258" s="128">
        <f t="shared" si="41"/>
        <v>0.37068965517241381</v>
      </c>
      <c r="O258" s="124">
        <f t="shared" si="36"/>
        <v>0.13499999999999979</v>
      </c>
      <c r="P258" s="125">
        <f t="shared" si="42"/>
        <v>-4.2045454545454675</v>
      </c>
      <c r="Q258" s="124">
        <f t="shared" si="37"/>
        <v>9.0909090909097046E-2</v>
      </c>
      <c r="U258" s="119">
        <v>5.77</v>
      </c>
      <c r="V258" s="129">
        <f t="shared" si="39"/>
        <v>-0.10500000000000043</v>
      </c>
      <c r="W258" s="119"/>
      <c r="X258" s="126"/>
      <c r="Y258" s="119">
        <v>45504</v>
      </c>
      <c r="Z258" s="126">
        <v>-0.12</v>
      </c>
      <c r="AA258" s="108">
        <v>45504</v>
      </c>
      <c r="AB258" s="108">
        <v>-0.3</v>
      </c>
      <c r="AC258" s="108">
        <v>45504</v>
      </c>
      <c r="AD258" s="108">
        <v>-0.35</v>
      </c>
    </row>
    <row r="259" spans="1:30">
      <c r="A259" s="99">
        <v>33359</v>
      </c>
      <c r="B259" s="119">
        <v>5.7918181818181802</v>
      </c>
      <c r="C259" s="120">
        <v>173.33181818181819</v>
      </c>
      <c r="D259" s="119">
        <v>20.262272727272727</v>
      </c>
      <c r="E259" s="120">
        <f t="shared" ref="E259:E274" si="43">(C259/2000*48)+(D259/100*11)-B259</f>
        <v>0.59699545454545611</v>
      </c>
      <c r="F259" s="121">
        <f t="shared" ref="F259:F322" si="44">D259/100*11/(B259+E259)</f>
        <v>0.34886758745221585</v>
      </c>
      <c r="G259" s="127">
        <f t="shared" si="38"/>
        <v>-1.344517216679969E-2</v>
      </c>
      <c r="J259" s="122">
        <v>5.89</v>
      </c>
      <c r="K259" s="122">
        <v>182.1</v>
      </c>
      <c r="L259" s="122">
        <v>20.23</v>
      </c>
      <c r="M259" s="122">
        <f t="shared" si="40"/>
        <v>0.3415000000000008</v>
      </c>
      <c r="N259" s="128">
        <f t="shared" si="41"/>
        <v>0.35710503089143869</v>
      </c>
      <c r="O259" s="124">
        <f t="shared" ref="O259:P322" si="45">J259-B259</f>
        <v>9.818181818181948E-2</v>
      </c>
      <c r="P259" s="125">
        <f t="shared" si="42"/>
        <v>-5.2318181818181984</v>
      </c>
      <c r="Q259" s="124">
        <f t="shared" ref="Q259:Q322" si="46">L259-D259</f>
        <v>-3.2272727272726343E-2</v>
      </c>
      <c r="U259" s="119">
        <v>5.67</v>
      </c>
      <c r="V259" s="129">
        <f t="shared" si="39"/>
        <v>-0.12181818181818027</v>
      </c>
      <c r="W259" s="119"/>
      <c r="X259" s="126"/>
      <c r="Y259" s="119">
        <v>45505</v>
      </c>
      <c r="Z259" s="126">
        <v>-0.12</v>
      </c>
      <c r="AA259" s="108">
        <v>45505</v>
      </c>
      <c r="AB259" s="108">
        <v>-0.3</v>
      </c>
      <c r="AC259" s="108">
        <v>45505</v>
      </c>
      <c r="AD259" s="108">
        <v>-0.35</v>
      </c>
    </row>
    <row r="260" spans="1:30">
      <c r="A260" s="99">
        <v>33390</v>
      </c>
      <c r="B260" s="119">
        <v>5.6837499999999999</v>
      </c>
      <c r="C260" s="120">
        <v>172.435</v>
      </c>
      <c r="D260" s="119">
        <v>19.638500000000001</v>
      </c>
      <c r="E260" s="120">
        <f t="shared" si="43"/>
        <v>0.61492500000000039</v>
      </c>
      <c r="F260" s="121">
        <f t="shared" si="44"/>
        <v>0.34296657630374644</v>
      </c>
      <c r="G260" s="127">
        <f t="shared" ref="G260:G323" si="47">F260-F259</f>
        <v>-5.901011148469415E-3</v>
      </c>
      <c r="J260" s="122">
        <v>5.83</v>
      </c>
      <c r="K260" s="122">
        <v>183.25</v>
      </c>
      <c r="L260" s="122">
        <v>19.649999999999999</v>
      </c>
      <c r="M260" s="122">
        <f t="shared" si="40"/>
        <v>0.36299999999999955</v>
      </c>
      <c r="N260" s="128">
        <f t="shared" si="41"/>
        <v>0.34902309058614561</v>
      </c>
      <c r="O260" s="124">
        <f t="shared" si="45"/>
        <v>0.14625000000000021</v>
      </c>
      <c r="P260" s="125">
        <f t="shared" si="42"/>
        <v>-3.1850000000000023</v>
      </c>
      <c r="Q260" s="124">
        <f t="shared" si="46"/>
        <v>1.1499999999998067E-2</v>
      </c>
      <c r="U260" s="119">
        <v>5.56</v>
      </c>
      <c r="V260" s="129">
        <f t="shared" si="39"/>
        <v>-0.12375000000000025</v>
      </c>
      <c r="W260" s="119"/>
      <c r="X260" s="126"/>
      <c r="Y260" s="119">
        <v>45506</v>
      </c>
      <c r="Z260" s="126">
        <v>-0.12</v>
      </c>
      <c r="AA260" s="108">
        <v>45506</v>
      </c>
      <c r="AB260" s="108">
        <v>-0.3</v>
      </c>
      <c r="AC260" s="108">
        <v>45506</v>
      </c>
      <c r="AD260" s="108">
        <v>-0.35</v>
      </c>
    </row>
    <row r="261" spans="1:30">
      <c r="A261" s="99">
        <v>33420</v>
      </c>
      <c r="B261" s="119">
        <v>5.3996590909090907</v>
      </c>
      <c r="C261" s="120">
        <v>168.13636363636365</v>
      </c>
      <c r="D261" s="119">
        <v>19.057272727272725</v>
      </c>
      <c r="E261" s="120">
        <f t="shared" si="43"/>
        <v>0.73191363636363693</v>
      </c>
      <c r="F261" s="121">
        <f t="shared" si="44"/>
        <v>0.34188618373159485</v>
      </c>
      <c r="G261" s="127">
        <f t="shared" si="47"/>
        <v>-1.0803925721515895E-3</v>
      </c>
      <c r="J261" s="122">
        <v>5.54</v>
      </c>
      <c r="K261" s="122">
        <v>181</v>
      </c>
      <c r="L261" s="122">
        <v>19.05</v>
      </c>
      <c r="M261" s="122">
        <f t="shared" si="40"/>
        <v>0.53749999999999964</v>
      </c>
      <c r="N261" s="128">
        <f t="shared" si="41"/>
        <v>0.34479638009049773</v>
      </c>
      <c r="O261" s="124">
        <f t="shared" si="45"/>
        <v>0.14034090909090935</v>
      </c>
      <c r="P261" s="125">
        <f t="shared" si="42"/>
        <v>-1.1363636363636545</v>
      </c>
      <c r="Q261" s="124">
        <f t="shared" si="46"/>
        <v>-7.2727272727242109E-3</v>
      </c>
      <c r="U261" s="119">
        <v>5.36</v>
      </c>
      <c r="V261" s="129">
        <f t="shared" si="39"/>
        <v>-3.9659090909090366E-2</v>
      </c>
      <c r="W261" s="119"/>
      <c r="X261" s="126"/>
      <c r="Y261" s="119">
        <v>45509</v>
      </c>
      <c r="Z261" s="126">
        <v>0.28999999999999998</v>
      </c>
      <c r="AA261" s="108">
        <v>45509</v>
      </c>
      <c r="AB261" s="108">
        <v>-0.28999999999999998</v>
      </c>
      <c r="AC261" s="108">
        <v>45509</v>
      </c>
      <c r="AD261" s="108">
        <v>0.05</v>
      </c>
    </row>
    <row r="262" spans="1:30">
      <c r="A262" s="99">
        <v>33451</v>
      </c>
      <c r="B262" s="119">
        <v>5.693068181818183</v>
      </c>
      <c r="C262" s="120">
        <v>179.73636363636365</v>
      </c>
      <c r="D262" s="119">
        <v>20.267727272727274</v>
      </c>
      <c r="E262" s="120">
        <f t="shared" si="43"/>
        <v>0.85005454545454473</v>
      </c>
      <c r="F262" s="121">
        <f t="shared" si="44"/>
        <v>0.34073180237126138</v>
      </c>
      <c r="G262" s="127">
        <f t="shared" si="47"/>
        <v>-1.1543813603334674E-3</v>
      </c>
      <c r="J262" s="122">
        <v>5.78</v>
      </c>
      <c r="K262" s="122">
        <v>188.75</v>
      </c>
      <c r="L262" s="122">
        <v>20.23</v>
      </c>
      <c r="M262" s="122">
        <f t="shared" si="40"/>
        <v>0.59780000000000033</v>
      </c>
      <c r="N262" s="128">
        <f t="shared" si="41"/>
        <v>0.34891341842014489</v>
      </c>
      <c r="O262" s="124">
        <f t="shared" si="45"/>
        <v>8.6931818181817277E-2</v>
      </c>
      <c r="P262" s="125">
        <f t="shared" si="42"/>
        <v>-4.9863636363636488</v>
      </c>
      <c r="Q262" s="124">
        <f t="shared" si="46"/>
        <v>-3.7727272727273942E-2</v>
      </c>
      <c r="U262" s="119">
        <v>5.66</v>
      </c>
      <c r="V262" s="129">
        <f t="shared" si="39"/>
        <v>-3.3068181818182829E-2</v>
      </c>
      <c r="W262" s="119"/>
      <c r="X262" s="126"/>
      <c r="Y262" s="119">
        <v>45510</v>
      </c>
      <c r="Z262" s="126">
        <v>0.13</v>
      </c>
      <c r="AA262" s="108">
        <v>45510</v>
      </c>
      <c r="AB262" s="108">
        <v>-0.3</v>
      </c>
      <c r="AC262" s="108">
        <v>45510</v>
      </c>
      <c r="AD262" s="108">
        <v>0.05</v>
      </c>
    </row>
    <row r="263" spans="1:30">
      <c r="A263" s="99">
        <v>33482</v>
      </c>
      <c r="B263" s="119">
        <v>5.9398749999999998</v>
      </c>
      <c r="C263" s="120">
        <v>191.52500000000001</v>
      </c>
      <c r="D263" s="119">
        <v>20.4895</v>
      </c>
      <c r="E263" s="120">
        <f t="shared" si="43"/>
        <v>0.91057000000000077</v>
      </c>
      <c r="F263" s="121">
        <f t="shared" si="44"/>
        <v>0.32900709369975234</v>
      </c>
      <c r="G263" s="127">
        <f t="shared" si="47"/>
        <v>-1.1724708671509043E-2</v>
      </c>
      <c r="J263" s="122">
        <v>5.98</v>
      </c>
      <c r="K263" s="122">
        <v>204.25</v>
      </c>
      <c r="L263" s="122">
        <v>20.46</v>
      </c>
      <c r="M263" s="122">
        <f t="shared" si="40"/>
        <v>0.76409999999999911</v>
      </c>
      <c r="N263" s="128">
        <f t="shared" si="41"/>
        <v>0.33371391290164737</v>
      </c>
      <c r="O263" s="124">
        <f t="shared" si="45"/>
        <v>4.0125000000000632E-2</v>
      </c>
      <c r="P263" s="125">
        <f t="shared" si="42"/>
        <v>-1.2750000000000057</v>
      </c>
      <c r="Q263" s="124">
        <f t="shared" si="46"/>
        <v>-2.9499999999998749E-2</v>
      </c>
      <c r="U263" s="119">
        <v>5.64</v>
      </c>
      <c r="V263" s="129">
        <f t="shared" si="39"/>
        <v>-0.29987500000000011</v>
      </c>
      <c r="W263" s="119"/>
      <c r="X263" s="126"/>
      <c r="Y263" s="119">
        <v>45511</v>
      </c>
      <c r="Z263" s="126">
        <v>-0.03</v>
      </c>
      <c r="AA263" s="108">
        <v>45511</v>
      </c>
      <c r="AB263" s="108">
        <v>-0.28000000000000003</v>
      </c>
      <c r="AC263" s="108">
        <v>45511</v>
      </c>
      <c r="AD263" s="108">
        <v>0.03</v>
      </c>
    </row>
    <row r="264" spans="1:30">
      <c r="A264" s="99">
        <v>33512</v>
      </c>
      <c r="B264" s="119">
        <v>5.5985869565217383</v>
      </c>
      <c r="C264" s="120">
        <v>182.79565217391306</v>
      </c>
      <c r="D264" s="119">
        <v>19.762608695652176</v>
      </c>
      <c r="E264" s="120">
        <f t="shared" si="43"/>
        <v>0.96239565217391476</v>
      </c>
      <c r="F264" s="121">
        <f t="shared" si="44"/>
        <v>0.33133557672299874</v>
      </c>
      <c r="G264" s="127">
        <f t="shared" si="47"/>
        <v>2.3284830232463971E-3</v>
      </c>
      <c r="J264" s="122">
        <v>5.68</v>
      </c>
      <c r="K264" s="122">
        <v>196.3</v>
      </c>
      <c r="L264" s="122">
        <v>19.57</v>
      </c>
      <c r="M264" s="122">
        <f t="shared" si="40"/>
        <v>0.79130000000000056</v>
      </c>
      <c r="N264" s="128">
        <f t="shared" si="41"/>
        <v>0.33265340812510624</v>
      </c>
      <c r="O264" s="124">
        <f t="shared" si="45"/>
        <v>8.1413043478261393E-2</v>
      </c>
      <c r="P264" s="125">
        <f t="shared" si="42"/>
        <v>-0.49565217391304373</v>
      </c>
      <c r="Q264" s="124">
        <f t="shared" si="46"/>
        <v>-0.19260869565217575</v>
      </c>
      <c r="U264" s="119">
        <v>5.48</v>
      </c>
      <c r="V264" s="129">
        <f t="shared" si="39"/>
        <v>-0.1185869565217379</v>
      </c>
      <c r="W264" s="119"/>
      <c r="X264" s="126"/>
      <c r="Y264" s="119">
        <v>45512</v>
      </c>
      <c r="Z264" s="126">
        <v>-0.08</v>
      </c>
      <c r="AA264" s="108">
        <v>45512</v>
      </c>
      <c r="AB264" s="108">
        <v>-0.3</v>
      </c>
      <c r="AC264" s="108">
        <v>45512</v>
      </c>
      <c r="AD264" s="108">
        <v>-0.03</v>
      </c>
    </row>
    <row r="265" spans="1:30">
      <c r="A265" s="99">
        <v>33543</v>
      </c>
      <c r="B265" s="119">
        <v>5.6109999999999998</v>
      </c>
      <c r="C265" s="120">
        <v>180.24</v>
      </c>
      <c r="D265" s="119">
        <v>18.978000000000002</v>
      </c>
      <c r="E265" s="120">
        <f t="shared" si="43"/>
        <v>0.80234000000000094</v>
      </c>
      <c r="F265" s="121">
        <f t="shared" si="44"/>
        <v>0.32550589864251694</v>
      </c>
      <c r="G265" s="127">
        <f t="shared" si="47"/>
        <v>-5.8296780804817927E-3</v>
      </c>
      <c r="J265" s="122">
        <v>5.71</v>
      </c>
      <c r="K265" s="122">
        <v>190.25</v>
      </c>
      <c r="L265" s="122">
        <v>18.78</v>
      </c>
      <c r="M265" s="122">
        <f t="shared" si="40"/>
        <v>0.54130000000000056</v>
      </c>
      <c r="N265" s="128">
        <f t="shared" si="41"/>
        <v>0.33045926447298962</v>
      </c>
      <c r="O265" s="124">
        <f t="shared" si="45"/>
        <v>9.9000000000000199E-2</v>
      </c>
      <c r="P265" s="125">
        <f t="shared" si="42"/>
        <v>-3.9900000000000091</v>
      </c>
      <c r="Q265" s="124">
        <f t="shared" si="46"/>
        <v>-0.1980000000000004</v>
      </c>
      <c r="U265" s="119">
        <v>5.48</v>
      </c>
      <c r="V265" s="129">
        <f t="shared" si="39"/>
        <v>-0.13099999999999934</v>
      </c>
      <c r="W265" s="119"/>
      <c r="X265" s="126"/>
      <c r="Y265" s="119">
        <v>45513</v>
      </c>
      <c r="Z265" s="126">
        <v>-0.13</v>
      </c>
      <c r="AA265" s="108">
        <v>45513</v>
      </c>
      <c r="AB265" s="108">
        <v>-0.34</v>
      </c>
      <c r="AC265" s="108">
        <v>45513</v>
      </c>
      <c r="AD265" s="108">
        <v>-0.05</v>
      </c>
    </row>
    <row r="266" spans="1:30">
      <c r="A266" s="99">
        <v>33573</v>
      </c>
      <c r="B266" s="119">
        <v>5.5558333333333341</v>
      </c>
      <c r="C266" s="120">
        <v>172.2904761904762</v>
      </c>
      <c r="D266" s="119">
        <v>19.179523809523811</v>
      </c>
      <c r="E266" s="120">
        <f t="shared" si="43"/>
        <v>0.68888571428571321</v>
      </c>
      <c r="F266" s="121">
        <f t="shared" si="44"/>
        <v>0.33784508205409369</v>
      </c>
      <c r="G266" s="127">
        <f t="shared" si="47"/>
        <v>1.2339183411576748E-2</v>
      </c>
      <c r="J266" s="122">
        <v>5.68</v>
      </c>
      <c r="K266" s="122">
        <v>183.1</v>
      </c>
      <c r="L266" s="122">
        <v>18.989999999999998</v>
      </c>
      <c r="M266" s="122">
        <f t="shared" si="40"/>
        <v>0.43710000000000004</v>
      </c>
      <c r="N266" s="128">
        <f t="shared" si="41"/>
        <v>0.3414853443625247</v>
      </c>
      <c r="O266" s="124">
        <f t="shared" si="45"/>
        <v>0.12416666666666565</v>
      </c>
      <c r="P266" s="125">
        <f t="shared" si="42"/>
        <v>-3.190476190476204</v>
      </c>
      <c r="Q266" s="124">
        <f t="shared" si="46"/>
        <v>-0.18952380952381276</v>
      </c>
      <c r="U266" s="119">
        <v>5.45</v>
      </c>
      <c r="V266" s="129">
        <f t="shared" si="39"/>
        <v>-0.10583333333333389</v>
      </c>
      <c r="W266" s="119"/>
      <c r="X266" s="126"/>
      <c r="Y266" s="119">
        <v>45516</v>
      </c>
      <c r="Z266" s="126">
        <v>-0.13</v>
      </c>
      <c r="AA266" s="108">
        <v>45516</v>
      </c>
      <c r="AB266" s="108">
        <v>-0.34</v>
      </c>
      <c r="AC266" s="108">
        <v>45516</v>
      </c>
      <c r="AD266" s="108">
        <v>-0.05</v>
      </c>
    </row>
    <row r="267" spans="1:30">
      <c r="A267" s="99">
        <v>33604</v>
      </c>
      <c r="B267" s="119">
        <v>5.6934090909090918</v>
      </c>
      <c r="C267" s="120">
        <v>174.90909090909091</v>
      </c>
      <c r="D267" s="119">
        <v>19.199090909090906</v>
      </c>
      <c r="E267" s="120">
        <f t="shared" si="43"/>
        <v>0.61630909090908936</v>
      </c>
      <c r="F267" s="121">
        <f t="shared" si="44"/>
        <v>0.33470591540610511</v>
      </c>
      <c r="G267" s="127">
        <f t="shared" si="47"/>
        <v>-3.1391666479885783E-3</v>
      </c>
      <c r="J267" s="122">
        <v>5.77</v>
      </c>
      <c r="K267" s="122">
        <v>184</v>
      </c>
      <c r="L267" s="122">
        <v>18.77</v>
      </c>
      <c r="M267" s="122">
        <f t="shared" si="40"/>
        <v>0.34270000000000067</v>
      </c>
      <c r="N267" s="128">
        <f t="shared" si="41"/>
        <v>0.33777217923339936</v>
      </c>
      <c r="O267" s="124">
        <f t="shared" si="45"/>
        <v>7.6590909090907822E-2</v>
      </c>
      <c r="P267" s="125">
        <f t="shared" si="42"/>
        <v>-4.9090909090909065</v>
      </c>
      <c r="Q267" s="124">
        <f t="shared" si="46"/>
        <v>-0.42909090909090608</v>
      </c>
      <c r="U267" s="119">
        <v>5.54</v>
      </c>
      <c r="V267" s="129">
        <f t="shared" si="39"/>
        <v>-0.15340909090909172</v>
      </c>
      <c r="W267" s="119"/>
      <c r="X267" s="126"/>
      <c r="Y267" s="119">
        <v>45517</v>
      </c>
      <c r="Z267" s="126">
        <v>-0.18</v>
      </c>
      <c r="AA267" s="108">
        <v>45517</v>
      </c>
      <c r="AB267" s="108">
        <v>-0.34</v>
      </c>
      <c r="AC267" s="108">
        <v>45517</v>
      </c>
      <c r="AD267" s="108">
        <v>-0.05</v>
      </c>
    </row>
    <row r="268" spans="1:30">
      <c r="A268" s="99">
        <v>33635</v>
      </c>
      <c r="B268" s="119">
        <v>5.7460526315789471</v>
      </c>
      <c r="C268" s="120">
        <v>174.69473684210524</v>
      </c>
      <c r="D268" s="119">
        <v>19.252631578947366</v>
      </c>
      <c r="E268" s="120">
        <f t="shared" si="43"/>
        <v>0.56441052631578881</v>
      </c>
      <c r="F268" s="121">
        <f t="shared" si="44"/>
        <v>0.33559968907111665</v>
      </c>
      <c r="G268" s="127">
        <f t="shared" si="47"/>
        <v>8.9377366501153244E-4</v>
      </c>
      <c r="J268" s="122">
        <v>5.81</v>
      </c>
      <c r="K268" s="122">
        <v>185.4</v>
      </c>
      <c r="L268" s="122">
        <v>18.88</v>
      </c>
      <c r="M268" s="122">
        <f t="shared" si="40"/>
        <v>0.34560000000000013</v>
      </c>
      <c r="N268" s="128">
        <f t="shared" si="41"/>
        <v>0.33738384560400286</v>
      </c>
      <c r="O268" s="124">
        <f t="shared" si="45"/>
        <v>6.3947368421052531E-2</v>
      </c>
      <c r="P268" s="125">
        <f t="shared" si="42"/>
        <v>-3.2947368421052374</v>
      </c>
      <c r="Q268" s="124">
        <f t="shared" si="46"/>
        <v>-0.37263157894736665</v>
      </c>
      <c r="U268" s="119">
        <v>5.59</v>
      </c>
      <c r="V268" s="129">
        <f t="shared" si="39"/>
        <v>-0.15605263157894722</v>
      </c>
      <c r="W268" s="119"/>
      <c r="X268" s="126"/>
      <c r="Y268" s="119">
        <v>45518</v>
      </c>
      <c r="Z268" s="126">
        <v>-0.2</v>
      </c>
      <c r="AA268" s="108">
        <v>45518</v>
      </c>
      <c r="AB268" s="108">
        <v>-0.34</v>
      </c>
      <c r="AC268" s="108">
        <v>45518</v>
      </c>
      <c r="AD268" s="108">
        <v>-0.05</v>
      </c>
    </row>
    <row r="269" spans="1:30">
      <c r="A269" s="99">
        <v>33664</v>
      </c>
      <c r="B269" s="119">
        <v>5.9261363636363633</v>
      </c>
      <c r="C269" s="120">
        <v>178.11363636363635</v>
      </c>
      <c r="D269" s="119">
        <v>20.37863636363636</v>
      </c>
      <c r="E269" s="120">
        <f t="shared" si="43"/>
        <v>0.59024090909090887</v>
      </c>
      <c r="F269" s="121">
        <f t="shared" si="44"/>
        <v>0.34400248883407747</v>
      </c>
      <c r="G269" s="127">
        <f t="shared" si="47"/>
        <v>8.402799762960822E-3</v>
      </c>
      <c r="J269" s="122">
        <v>5.93</v>
      </c>
      <c r="K269" s="122">
        <v>185.9</v>
      </c>
      <c r="L269" s="122">
        <v>19.739999999999998</v>
      </c>
      <c r="M269" s="122">
        <f t="shared" si="40"/>
        <v>0.33120000000000083</v>
      </c>
      <c r="N269" s="128">
        <f t="shared" si="41"/>
        <v>0.34680252986647919</v>
      </c>
      <c r="O269" s="124">
        <f t="shared" si="45"/>
        <v>3.8636363636364024E-3</v>
      </c>
      <c r="P269" s="125">
        <f t="shared" si="42"/>
        <v>-6.2136363636363399</v>
      </c>
      <c r="Q269" s="124">
        <f t="shared" si="46"/>
        <v>-0.63863636363636189</v>
      </c>
      <c r="U269" s="119">
        <v>5.67</v>
      </c>
      <c r="V269" s="129">
        <f t="shared" si="39"/>
        <v>-0.25613636363636338</v>
      </c>
      <c r="W269" s="119"/>
      <c r="X269" s="126"/>
      <c r="Y269" s="119">
        <v>45519</v>
      </c>
      <c r="Z269" s="126">
        <v>-0.2</v>
      </c>
      <c r="AA269" s="108">
        <v>45519</v>
      </c>
      <c r="AB269" s="108">
        <v>-0.34</v>
      </c>
      <c r="AC269" s="108">
        <v>45519</v>
      </c>
      <c r="AD269" s="108">
        <v>-0.05</v>
      </c>
    </row>
    <row r="270" spans="1:30">
      <c r="A270" s="99">
        <v>33695</v>
      </c>
      <c r="B270" s="119">
        <v>5.7502631578947367</v>
      </c>
      <c r="C270" s="120">
        <v>174.43157894736842</v>
      </c>
      <c r="D270" s="119">
        <v>19.508421052631583</v>
      </c>
      <c r="E270" s="120">
        <f t="shared" si="43"/>
        <v>0.58202105263157922</v>
      </c>
      <c r="F270" s="121">
        <f t="shared" si="44"/>
        <v>0.33888660780927155</v>
      </c>
      <c r="G270" s="127">
        <f t="shared" si="47"/>
        <v>-5.1158810248059239E-3</v>
      </c>
      <c r="J270" s="122">
        <v>5.85</v>
      </c>
      <c r="K270" s="122">
        <v>187.2</v>
      </c>
      <c r="L270" s="122">
        <v>19</v>
      </c>
      <c r="M270" s="122">
        <f t="shared" si="40"/>
        <v>0.35839999999999961</v>
      </c>
      <c r="N270" s="128">
        <f t="shared" si="41"/>
        <v>0.33664068036853295</v>
      </c>
      <c r="O270" s="124">
        <f t="shared" si="45"/>
        <v>9.9736842105262902E-2</v>
      </c>
      <c r="P270" s="125">
        <f t="shared" si="42"/>
        <v>-1.2315789473684333</v>
      </c>
      <c r="Q270" s="124">
        <f t="shared" si="46"/>
        <v>-0.50842105263158288</v>
      </c>
      <c r="U270" s="119">
        <v>5.66</v>
      </c>
      <c r="V270" s="129">
        <f t="shared" si="39"/>
        <v>-9.0263157894736601E-2</v>
      </c>
      <c r="W270" s="119"/>
      <c r="X270" s="126"/>
      <c r="Y270" s="119">
        <v>45520</v>
      </c>
      <c r="Z270" s="126">
        <v>-0.2</v>
      </c>
      <c r="AA270" s="108">
        <v>45520</v>
      </c>
      <c r="AB270" s="108">
        <v>-0.41</v>
      </c>
      <c r="AC270" s="108">
        <v>45520</v>
      </c>
      <c r="AD270" s="108">
        <v>-0.05</v>
      </c>
    </row>
    <row r="271" spans="1:30">
      <c r="A271" s="99">
        <v>33725</v>
      </c>
      <c r="B271" s="119">
        <v>6.032375</v>
      </c>
      <c r="C271" s="120">
        <v>182.08</v>
      </c>
      <c r="D271" s="119">
        <v>20.744500000000006</v>
      </c>
      <c r="E271" s="120">
        <f t="shared" si="43"/>
        <v>0.61944000000000088</v>
      </c>
      <c r="F271" s="121">
        <f t="shared" si="44"/>
        <v>0.34304847624295026</v>
      </c>
      <c r="G271" s="127">
        <f t="shared" si="47"/>
        <v>4.1618684336787171E-3</v>
      </c>
      <c r="J271" s="122">
        <v>6.09</v>
      </c>
      <c r="K271" s="122">
        <v>195.25</v>
      </c>
      <c r="L271" s="122">
        <v>20.149999999999999</v>
      </c>
      <c r="M271" s="122">
        <f t="shared" si="40"/>
        <v>0.4220000000000006</v>
      </c>
      <c r="N271" s="128">
        <f t="shared" si="41"/>
        <v>0.3403716216216216</v>
      </c>
      <c r="O271" s="124">
        <f t="shared" si="45"/>
        <v>5.7624999999999815E-2</v>
      </c>
      <c r="P271" s="125">
        <f t="shared" si="42"/>
        <v>-0.83000000000001251</v>
      </c>
      <c r="Q271" s="124">
        <f t="shared" si="46"/>
        <v>-0.59450000000000713</v>
      </c>
      <c r="U271" s="119">
        <v>5.87</v>
      </c>
      <c r="V271" s="129">
        <f t="shared" si="39"/>
        <v>-0.16237499999999994</v>
      </c>
      <c r="W271" s="119"/>
      <c r="X271" s="126"/>
      <c r="Y271" s="119">
        <v>45523</v>
      </c>
      <c r="Z271" s="126">
        <v>-0.2</v>
      </c>
      <c r="AA271" s="108">
        <v>45523</v>
      </c>
      <c r="AB271" s="108">
        <v>-0.36</v>
      </c>
      <c r="AC271" s="108">
        <v>45523</v>
      </c>
      <c r="AD271" s="108">
        <v>-0.08</v>
      </c>
    </row>
    <row r="272" spans="1:30">
      <c r="A272" s="99">
        <v>33756</v>
      </c>
      <c r="B272" s="119">
        <v>6.1064772727272718</v>
      </c>
      <c r="C272" s="120">
        <v>182.62272727272727</v>
      </c>
      <c r="D272" s="119">
        <v>21.205454545454543</v>
      </c>
      <c r="E272" s="120">
        <f t="shared" si="43"/>
        <v>0.60906818181818245</v>
      </c>
      <c r="F272" s="121">
        <f t="shared" si="44"/>
        <v>0.34734334177146647</v>
      </c>
      <c r="G272" s="127">
        <f t="shared" si="47"/>
        <v>4.2948655285162118E-3</v>
      </c>
      <c r="J272" s="122">
        <v>6.19</v>
      </c>
      <c r="K272" s="122">
        <v>203.9</v>
      </c>
      <c r="L272" s="122">
        <v>20.71</v>
      </c>
      <c r="M272" s="122">
        <f t="shared" si="40"/>
        <v>0.57390000000000008</v>
      </c>
      <c r="N272" s="128">
        <f t="shared" si="41"/>
        <v>0.33680273215156936</v>
      </c>
      <c r="O272" s="124">
        <f t="shared" si="45"/>
        <v>8.3522727272728581E-2</v>
      </c>
      <c r="P272" s="125">
        <f t="shared" si="42"/>
        <v>7.2772727272727309</v>
      </c>
      <c r="Q272" s="124">
        <f t="shared" si="46"/>
        <v>-0.49545454545454248</v>
      </c>
      <c r="U272" s="119">
        <v>5.94</v>
      </c>
      <c r="V272" s="129">
        <f t="shared" si="39"/>
        <v>-0.16647727272727142</v>
      </c>
      <c r="W272" s="119"/>
      <c r="X272" s="126"/>
      <c r="Y272" s="119">
        <v>45524</v>
      </c>
      <c r="Z272" s="126">
        <v>-0.2</v>
      </c>
      <c r="AA272" s="108">
        <v>45524</v>
      </c>
      <c r="AB272" s="108">
        <v>-0.41</v>
      </c>
      <c r="AC272" s="108">
        <v>45524</v>
      </c>
      <c r="AD272" s="108">
        <v>-0.08</v>
      </c>
    </row>
    <row r="273" spans="1:30">
      <c r="A273" s="99">
        <v>33786</v>
      </c>
      <c r="B273" s="119">
        <v>5.6812500000000004</v>
      </c>
      <c r="C273" s="120">
        <v>175.2409090909091</v>
      </c>
      <c r="D273" s="119">
        <v>19.334090909090911</v>
      </c>
      <c r="E273" s="120">
        <f t="shared" si="43"/>
        <v>0.65128181818181829</v>
      </c>
      <c r="F273" s="121">
        <f t="shared" si="44"/>
        <v>0.33584513446797459</v>
      </c>
      <c r="G273" s="127">
        <f t="shared" si="47"/>
        <v>-1.1498207303491881E-2</v>
      </c>
      <c r="J273" s="122">
        <v>5.8</v>
      </c>
      <c r="K273" s="122">
        <v>186.25</v>
      </c>
      <c r="L273" s="122">
        <v>18.82</v>
      </c>
      <c r="M273" s="122">
        <f t="shared" si="40"/>
        <v>0.36770000000000014</v>
      </c>
      <c r="N273" s="128">
        <f t="shared" si="41"/>
        <v>0.33565186374175143</v>
      </c>
      <c r="O273" s="124">
        <f t="shared" si="45"/>
        <v>0.11874999999999947</v>
      </c>
      <c r="P273" s="125">
        <f t="shared" si="42"/>
        <v>-2.9909090909090992</v>
      </c>
      <c r="Q273" s="124">
        <f t="shared" si="46"/>
        <v>-0.51409090909091049</v>
      </c>
      <c r="U273" s="119">
        <v>5.59</v>
      </c>
      <c r="V273" s="129">
        <f t="shared" si="39"/>
        <v>-9.1250000000000497E-2</v>
      </c>
      <c r="W273" s="119"/>
      <c r="X273" s="126"/>
      <c r="Y273" s="119">
        <v>45525</v>
      </c>
      <c r="Z273" s="126">
        <v>-0.2</v>
      </c>
      <c r="AA273" s="108">
        <v>45525</v>
      </c>
      <c r="AB273" s="108">
        <v>-0.41</v>
      </c>
      <c r="AC273" s="108">
        <v>45525</v>
      </c>
      <c r="AD273" s="108">
        <v>-0.08</v>
      </c>
    </row>
    <row r="274" spans="1:30">
      <c r="A274" s="99">
        <v>33817</v>
      </c>
      <c r="B274" s="119">
        <v>5.5001190476190471</v>
      </c>
      <c r="C274" s="120">
        <v>173.04285714285714</v>
      </c>
      <c r="D274" s="119">
        <v>18.42428571428572</v>
      </c>
      <c r="E274" s="120">
        <f t="shared" si="43"/>
        <v>0.67958095238095328</v>
      </c>
      <c r="F274" s="121">
        <f t="shared" si="44"/>
        <v>0.32795628081807032</v>
      </c>
      <c r="G274" s="127">
        <f t="shared" si="47"/>
        <v>-7.8888536499042705E-3</v>
      </c>
      <c r="J274" s="122">
        <v>5.64</v>
      </c>
      <c r="K274" s="122">
        <v>186</v>
      </c>
      <c r="L274" s="122">
        <v>17.87</v>
      </c>
      <c r="M274" s="122">
        <f t="shared" si="40"/>
        <v>0.41769999999999996</v>
      </c>
      <c r="N274" s="128">
        <f t="shared" si="41"/>
        <v>0.32449609587797351</v>
      </c>
      <c r="O274" s="124">
        <f t="shared" si="45"/>
        <v>0.13988095238095255</v>
      </c>
      <c r="P274" s="125">
        <f t="shared" si="42"/>
        <v>-1.0428571428571445</v>
      </c>
      <c r="Q274" s="124">
        <f t="shared" si="46"/>
        <v>-0.55428571428571871</v>
      </c>
      <c r="U274" s="119">
        <v>5.4</v>
      </c>
      <c r="V274" s="129">
        <f t="shared" si="39"/>
        <v>-0.10011904761904677</v>
      </c>
      <c r="W274" s="119"/>
      <c r="X274" s="126"/>
      <c r="Y274" s="119">
        <v>45526</v>
      </c>
      <c r="Z274" s="126">
        <v>-0.2</v>
      </c>
      <c r="AA274" s="108">
        <v>45526</v>
      </c>
      <c r="AB274" s="108">
        <v>-0.41</v>
      </c>
      <c r="AC274" s="108">
        <v>45526</v>
      </c>
      <c r="AD274" s="108">
        <v>-0.08</v>
      </c>
    </row>
    <row r="275" spans="1:30">
      <c r="A275" s="99">
        <v>33848</v>
      </c>
      <c r="B275" s="122">
        <v>5.4748809523809534</v>
      </c>
      <c r="C275" s="122">
        <v>188.68571428571428</v>
      </c>
      <c r="D275" s="122">
        <v>18.820476190476192</v>
      </c>
      <c r="E275" s="122">
        <f t="shared" ref="E275:E338" si="48">(C275/2000*44)+(D275/100*11)-B275</f>
        <v>0.74645714285714249</v>
      </c>
      <c r="F275" s="121">
        <f t="shared" si="44"/>
        <v>0.33276641604432061</v>
      </c>
      <c r="G275" s="127">
        <f t="shared" si="47"/>
        <v>4.8101352262502894E-3</v>
      </c>
      <c r="J275" s="122">
        <v>5.54</v>
      </c>
      <c r="K275" s="122">
        <v>187</v>
      </c>
      <c r="L275" s="122">
        <v>18.28</v>
      </c>
      <c r="M275" s="122">
        <f t="shared" si="40"/>
        <v>0.58480000000000043</v>
      </c>
      <c r="N275" s="128">
        <f t="shared" si="41"/>
        <v>0.32830459770114945</v>
      </c>
      <c r="O275" s="124">
        <f t="shared" si="45"/>
        <v>6.5119047619046633E-2</v>
      </c>
      <c r="P275" s="124">
        <f t="shared" si="45"/>
        <v>-1.6857142857142833</v>
      </c>
      <c r="Q275" s="124">
        <f t="shared" si="46"/>
        <v>-0.54047619047619122</v>
      </c>
      <c r="U275" s="119">
        <v>5.36</v>
      </c>
      <c r="V275" s="129">
        <f t="shared" si="39"/>
        <v>-0.11488095238095308</v>
      </c>
      <c r="W275" s="119"/>
      <c r="X275" s="126"/>
      <c r="Y275" s="119">
        <v>45527</v>
      </c>
      <c r="Z275" s="126">
        <v>-0.2</v>
      </c>
      <c r="AA275" s="108">
        <v>45527</v>
      </c>
      <c r="AB275" s="108">
        <v>-0.48</v>
      </c>
      <c r="AC275" s="108">
        <v>45527</v>
      </c>
      <c r="AD275" s="108">
        <v>-0.08</v>
      </c>
    </row>
    <row r="276" spans="1:30">
      <c r="A276" s="99">
        <v>33878</v>
      </c>
      <c r="B276" s="122">
        <v>5.3793181818181832</v>
      </c>
      <c r="C276" s="122">
        <v>182.38181818181818</v>
      </c>
      <c r="D276" s="122">
        <v>18.88727272727273</v>
      </c>
      <c r="E276" s="122">
        <f t="shared" si="48"/>
        <v>0.71068181818181664</v>
      </c>
      <c r="F276" s="121">
        <f t="shared" si="44"/>
        <v>0.34114942528735637</v>
      </c>
      <c r="G276" s="127">
        <f t="shared" si="47"/>
        <v>8.383009243035755E-3</v>
      </c>
      <c r="J276" s="122">
        <v>5.35</v>
      </c>
      <c r="K276" s="122">
        <v>180.6</v>
      </c>
      <c r="L276" s="122">
        <v>18.36</v>
      </c>
      <c r="M276" s="122">
        <f t="shared" si="40"/>
        <v>0.64279999999999937</v>
      </c>
      <c r="N276" s="128">
        <f t="shared" si="41"/>
        <v>0.33700440528634362</v>
      </c>
      <c r="O276" s="124">
        <f t="shared" si="45"/>
        <v>-2.9318181818183575E-2</v>
      </c>
      <c r="P276" s="124">
        <f t="shared" si="45"/>
        <v>-1.7818181818181813</v>
      </c>
      <c r="Q276" s="124">
        <f t="shared" si="46"/>
        <v>-0.52727272727273089</v>
      </c>
      <c r="U276" s="119">
        <v>5.26</v>
      </c>
      <c r="V276" s="129">
        <f t="shared" si="39"/>
        <v>-0.11931818181818343</v>
      </c>
      <c r="W276" s="119"/>
      <c r="X276" s="126"/>
      <c r="Y276" s="119">
        <v>45530</v>
      </c>
      <c r="Z276" s="126">
        <v>-0.3</v>
      </c>
      <c r="AA276" s="108">
        <v>45530</v>
      </c>
      <c r="AB276" s="108">
        <v>-0.43</v>
      </c>
      <c r="AC276" s="108">
        <v>45530</v>
      </c>
      <c r="AD276" s="108">
        <v>-0.1</v>
      </c>
    </row>
    <row r="277" spans="1:30">
      <c r="A277" s="99">
        <v>33909</v>
      </c>
      <c r="B277" s="122">
        <v>5.5970000000000004</v>
      </c>
      <c r="C277" s="122">
        <v>180.64500000000001</v>
      </c>
      <c r="D277" s="122">
        <v>20.16</v>
      </c>
      <c r="E277" s="122">
        <f t="shared" si="48"/>
        <v>0.59478999999999971</v>
      </c>
      <c r="F277" s="121">
        <f t="shared" si="44"/>
        <v>0.3581516815008261</v>
      </c>
      <c r="G277" s="127">
        <f t="shared" si="47"/>
        <v>1.7002256213469735E-2</v>
      </c>
      <c r="J277" s="122">
        <v>5.6</v>
      </c>
      <c r="K277" s="122">
        <v>181.9</v>
      </c>
      <c r="L277" s="122">
        <v>20.100000000000001</v>
      </c>
      <c r="M277" s="122">
        <f t="shared" si="40"/>
        <v>0.6128000000000009</v>
      </c>
      <c r="N277" s="128">
        <f t="shared" si="41"/>
        <v>0.35587818696883855</v>
      </c>
      <c r="O277" s="124">
        <f t="shared" si="45"/>
        <v>2.9999999999992255E-3</v>
      </c>
      <c r="P277" s="124">
        <f t="shared" si="45"/>
        <v>1.2549999999999955</v>
      </c>
      <c r="Q277" s="124">
        <f t="shared" si="46"/>
        <v>-5.9999999999998721E-2</v>
      </c>
      <c r="U277" s="119">
        <v>5.36</v>
      </c>
      <c r="V277" s="129">
        <f t="shared" si="39"/>
        <v>-0.2370000000000001</v>
      </c>
      <c r="W277" s="119"/>
      <c r="X277" s="126"/>
      <c r="Y277" s="119">
        <v>45531</v>
      </c>
      <c r="Z277" s="126">
        <v>-0.3</v>
      </c>
      <c r="AA277" s="108">
        <v>45531</v>
      </c>
      <c r="AB277" s="108">
        <v>-0.43</v>
      </c>
      <c r="AC277" s="108">
        <v>45531</v>
      </c>
      <c r="AD277" s="108">
        <v>-0.1</v>
      </c>
    </row>
    <row r="278" spans="1:30">
      <c r="A278" s="99">
        <v>33939</v>
      </c>
      <c r="B278" s="122">
        <v>5.6848863636363625</v>
      </c>
      <c r="C278" s="122">
        <v>184.95</v>
      </c>
      <c r="D278" s="122">
        <v>20.598636363636366</v>
      </c>
      <c r="E278" s="122">
        <f t="shared" si="48"/>
        <v>0.6498636363636372</v>
      </c>
      <c r="F278" s="121">
        <f t="shared" si="44"/>
        <v>0.35768578081218683</v>
      </c>
      <c r="G278" s="127">
        <f t="shared" si="47"/>
        <v>-4.6590068863927581E-4</v>
      </c>
      <c r="J278" s="122">
        <v>5.72</v>
      </c>
      <c r="K278" s="122">
        <v>187.6</v>
      </c>
      <c r="L278" s="122">
        <v>20.52</v>
      </c>
      <c r="M278" s="122">
        <f t="shared" si="40"/>
        <v>0.66440000000000055</v>
      </c>
      <c r="N278" s="128">
        <f t="shared" si="41"/>
        <v>0.35354927636113026</v>
      </c>
      <c r="O278" s="124">
        <f t="shared" si="45"/>
        <v>3.5113636363637291E-2</v>
      </c>
      <c r="P278" s="124">
        <f t="shared" si="45"/>
        <v>2.6500000000000057</v>
      </c>
      <c r="Q278" s="124">
        <f t="shared" si="46"/>
        <v>-7.8636363636366724E-2</v>
      </c>
      <c r="U278" s="119">
        <v>5.46</v>
      </c>
      <c r="V278" s="129">
        <f t="shared" si="39"/>
        <v>-0.2248863636363625</v>
      </c>
      <c r="W278" s="119"/>
      <c r="X278" s="126"/>
      <c r="Y278" s="119">
        <v>45532</v>
      </c>
      <c r="Z278" s="126">
        <v>-0.45</v>
      </c>
      <c r="AA278" s="108">
        <v>45532</v>
      </c>
      <c r="AB278" s="108">
        <v>-0.43</v>
      </c>
      <c r="AC278" s="108">
        <v>45532</v>
      </c>
      <c r="AD278" s="108">
        <v>-0.1</v>
      </c>
    </row>
    <row r="279" spans="1:30">
      <c r="A279" s="99">
        <v>33970</v>
      </c>
      <c r="B279" s="122">
        <v>5.7885000000000009</v>
      </c>
      <c r="C279" s="122">
        <v>183.46</v>
      </c>
      <c r="D279" s="122">
        <v>21.3475</v>
      </c>
      <c r="E279" s="122">
        <f t="shared" si="48"/>
        <v>0.59584499999999885</v>
      </c>
      <c r="F279" s="121">
        <f t="shared" si="44"/>
        <v>0.36780985363416291</v>
      </c>
      <c r="G279" s="127">
        <f t="shared" si="47"/>
        <v>1.0124072821976082E-2</v>
      </c>
      <c r="J279" s="122">
        <v>5.82</v>
      </c>
      <c r="K279" s="122">
        <v>188.75</v>
      </c>
      <c r="L279" s="122">
        <v>21.23</v>
      </c>
      <c r="M279" s="122">
        <f t="shared" si="40"/>
        <v>0.66779999999999973</v>
      </c>
      <c r="N279" s="128">
        <f t="shared" si="41"/>
        <v>0.359952526280095</v>
      </c>
      <c r="O279" s="124">
        <f t="shared" si="45"/>
        <v>3.1499999999999417E-2</v>
      </c>
      <c r="P279" s="124">
        <f t="shared" si="45"/>
        <v>5.289999999999992</v>
      </c>
      <c r="Q279" s="124">
        <f t="shared" si="46"/>
        <v>-0.11749999999999972</v>
      </c>
      <c r="U279" s="119">
        <v>5.58</v>
      </c>
      <c r="V279" s="129">
        <f t="shared" si="39"/>
        <v>-0.2085000000000008</v>
      </c>
      <c r="W279" s="119"/>
      <c r="X279" s="126"/>
      <c r="Y279" s="119">
        <v>45533</v>
      </c>
      <c r="Z279" s="126">
        <v>-0.45</v>
      </c>
      <c r="AA279" s="108">
        <v>45533</v>
      </c>
      <c r="AB279" s="108">
        <v>-0.43</v>
      </c>
      <c r="AC279" s="108">
        <v>45533</v>
      </c>
      <c r="AD279" s="108">
        <v>-0.08</v>
      </c>
    </row>
    <row r="280" spans="1:30">
      <c r="A280" s="99">
        <v>34001</v>
      </c>
      <c r="B280" s="122">
        <v>5.7153947368421054</v>
      </c>
      <c r="C280" s="122">
        <v>177.78421052631583</v>
      </c>
      <c r="D280" s="122">
        <v>20.723157894736847</v>
      </c>
      <c r="E280" s="122">
        <f t="shared" si="48"/>
        <v>0.47540526315789577</v>
      </c>
      <c r="F280" s="121">
        <f t="shared" si="44"/>
        <v>0.36821531440541655</v>
      </c>
      <c r="G280" s="127">
        <f t="shared" si="47"/>
        <v>4.0546077125364066E-4</v>
      </c>
      <c r="J280" s="122">
        <v>5.75</v>
      </c>
      <c r="K280" s="122">
        <v>179.9</v>
      </c>
      <c r="L280" s="122">
        <v>20.72</v>
      </c>
      <c r="M280" s="122">
        <f t="shared" si="40"/>
        <v>0.4870000000000001</v>
      </c>
      <c r="N280" s="128">
        <f t="shared" si="41"/>
        <v>0.36543209876543209</v>
      </c>
      <c r="O280" s="124">
        <f t="shared" si="45"/>
        <v>3.4605263157894584E-2</v>
      </c>
      <c r="P280" s="124">
        <f t="shared" si="45"/>
        <v>2.115789473684174</v>
      </c>
      <c r="Q280" s="124">
        <f t="shared" si="46"/>
        <v>-3.1578947368480215E-3</v>
      </c>
      <c r="U280" s="119">
        <v>5.56</v>
      </c>
      <c r="V280" s="129">
        <f t="shared" si="39"/>
        <v>-0.15539473684210581</v>
      </c>
      <c r="W280" s="119"/>
      <c r="X280" s="126"/>
      <c r="Y280" s="119">
        <v>45534</v>
      </c>
      <c r="Z280" s="126">
        <v>-0.45</v>
      </c>
      <c r="AA280" s="108">
        <v>45534</v>
      </c>
      <c r="AB280" s="108">
        <v>-0.48</v>
      </c>
      <c r="AC280" s="108">
        <v>45534</v>
      </c>
      <c r="AD280" s="108">
        <v>-0.08</v>
      </c>
    </row>
    <row r="281" spans="1:30">
      <c r="A281" s="99">
        <v>34029</v>
      </c>
      <c r="B281" s="122">
        <v>5.8428260869565225</v>
      </c>
      <c r="C281" s="122">
        <v>181.99565217391307</v>
      </c>
      <c r="D281" s="122">
        <v>21.138695652173915</v>
      </c>
      <c r="E281" s="122">
        <f t="shared" si="48"/>
        <v>0.48633478260869545</v>
      </c>
      <c r="F281" s="121">
        <f t="shared" si="44"/>
        <v>0.36738780537566967</v>
      </c>
      <c r="G281" s="127">
        <f t="shared" si="47"/>
        <v>-8.2750902974687568E-4</v>
      </c>
      <c r="J281" s="122">
        <v>5.87</v>
      </c>
      <c r="K281" s="122">
        <v>183.6</v>
      </c>
      <c r="L281" s="122">
        <v>21</v>
      </c>
      <c r="M281" s="122">
        <f t="shared" si="40"/>
        <v>0.47919999999999963</v>
      </c>
      <c r="N281" s="128">
        <f t="shared" si="41"/>
        <v>0.36382536382536385</v>
      </c>
      <c r="O281" s="124">
        <f t="shared" si="45"/>
        <v>2.7173913043477604E-2</v>
      </c>
      <c r="P281" s="124">
        <f t="shared" si="45"/>
        <v>1.6043478260869222</v>
      </c>
      <c r="Q281" s="124">
        <f t="shared" si="46"/>
        <v>-0.13869565217391511</v>
      </c>
      <c r="U281" s="119">
        <v>5.65</v>
      </c>
      <c r="V281" s="129">
        <f t="shared" si="39"/>
        <v>-0.19282608695652215</v>
      </c>
      <c r="W281" s="119"/>
      <c r="X281" s="126"/>
      <c r="Y281" s="119">
        <v>45538</v>
      </c>
      <c r="Z281" s="126">
        <v>-0.53</v>
      </c>
      <c r="AA281" s="108">
        <v>45538</v>
      </c>
      <c r="AB281" s="108">
        <v>-0.53</v>
      </c>
      <c r="AC281" s="108">
        <v>45538</v>
      </c>
      <c r="AD281" s="108">
        <v>-0.08</v>
      </c>
    </row>
    <row r="282" spans="1:30">
      <c r="A282" s="99">
        <v>34060</v>
      </c>
      <c r="B282" s="122">
        <v>5.9240476190476201</v>
      </c>
      <c r="C282" s="122">
        <v>185.30952380952382</v>
      </c>
      <c r="D282" s="122">
        <v>21.243809523809528</v>
      </c>
      <c r="E282" s="122">
        <f t="shared" si="48"/>
        <v>0.48958095238095112</v>
      </c>
      <c r="F282" s="121">
        <f t="shared" si="44"/>
        <v>0.36435210140311336</v>
      </c>
      <c r="G282" s="127">
        <f t="shared" si="47"/>
        <v>-3.035703972556314E-3</v>
      </c>
      <c r="J282" s="122">
        <v>5.97</v>
      </c>
      <c r="K282" s="122">
        <v>187.4</v>
      </c>
      <c r="L282" s="122">
        <v>21.24</v>
      </c>
      <c r="M282" s="122">
        <f t="shared" si="40"/>
        <v>0.48919999999999941</v>
      </c>
      <c r="N282" s="128">
        <f t="shared" si="41"/>
        <v>0.36171662125340603</v>
      </c>
      <c r="O282" s="124">
        <f t="shared" si="45"/>
        <v>4.5952380952379634E-2</v>
      </c>
      <c r="P282" s="124">
        <f t="shared" si="45"/>
        <v>2.0904761904761813</v>
      </c>
      <c r="Q282" s="124">
        <f t="shared" si="46"/>
        <v>-3.8095238095294803E-3</v>
      </c>
      <c r="U282" s="119">
        <v>5.73</v>
      </c>
      <c r="V282" s="129">
        <f t="shared" si="39"/>
        <v>-0.19404761904761969</v>
      </c>
      <c r="W282" s="119"/>
      <c r="X282" s="126"/>
      <c r="Y282" s="119">
        <v>45539</v>
      </c>
      <c r="Z282" s="126">
        <v>-0.53</v>
      </c>
      <c r="AA282" s="108">
        <v>45539</v>
      </c>
      <c r="AB282" s="108">
        <v>-0.53</v>
      </c>
      <c r="AC282" s="108">
        <v>45539</v>
      </c>
      <c r="AD282" s="108">
        <v>-0.08</v>
      </c>
    </row>
    <row r="283" spans="1:30">
      <c r="A283" s="99">
        <v>34090</v>
      </c>
      <c r="B283" s="122">
        <v>6.0283749999999996</v>
      </c>
      <c r="C283" s="122">
        <v>191.17</v>
      </c>
      <c r="D283" s="122">
        <v>21.316499999999998</v>
      </c>
      <c r="E283" s="122">
        <f t="shared" si="48"/>
        <v>0.52217999999999964</v>
      </c>
      <c r="F283" s="121">
        <f t="shared" si="44"/>
        <v>0.35795669221920889</v>
      </c>
      <c r="G283" s="127">
        <f t="shared" si="47"/>
        <v>-6.3954091839044658E-3</v>
      </c>
      <c r="J283" s="122">
        <v>6.07</v>
      </c>
      <c r="K283" s="122">
        <v>193.25</v>
      </c>
      <c r="L283" s="122">
        <v>21.15</v>
      </c>
      <c r="M283" s="122">
        <f t="shared" si="40"/>
        <v>0.50799999999999912</v>
      </c>
      <c r="N283" s="128">
        <f t="shared" si="41"/>
        <v>0.35367892976588627</v>
      </c>
      <c r="O283" s="124">
        <f t="shared" si="45"/>
        <v>4.1625000000000689E-2</v>
      </c>
      <c r="P283" s="124">
        <f t="shared" si="45"/>
        <v>2.0800000000000125</v>
      </c>
      <c r="Q283" s="124">
        <f t="shared" si="46"/>
        <v>-0.1664999999999992</v>
      </c>
      <c r="U283" s="119">
        <v>5.81</v>
      </c>
      <c r="V283" s="129">
        <f t="shared" ref="V283:V346" si="49">U283-B283</f>
        <v>-0.21837499999999999</v>
      </c>
      <c r="W283" s="119"/>
      <c r="X283" s="126"/>
      <c r="Y283" s="119">
        <v>45540</v>
      </c>
      <c r="Z283" s="126">
        <v>-0.53</v>
      </c>
      <c r="AA283" s="108">
        <v>45540</v>
      </c>
      <c r="AB283" s="108">
        <v>-0.53</v>
      </c>
      <c r="AC283" s="108">
        <v>45540</v>
      </c>
      <c r="AD283" s="108">
        <v>-0.08</v>
      </c>
    </row>
    <row r="284" spans="1:30">
      <c r="A284" s="99">
        <v>34121</v>
      </c>
      <c r="B284" s="122">
        <v>6.0390909090909082</v>
      </c>
      <c r="C284" s="122">
        <v>190.98636363636362</v>
      </c>
      <c r="D284" s="122">
        <v>21.334545454545449</v>
      </c>
      <c r="E284" s="122">
        <f t="shared" si="48"/>
        <v>0.5094090909090907</v>
      </c>
      <c r="F284" s="121">
        <f t="shared" si="44"/>
        <v>0.35837214629304415</v>
      </c>
      <c r="G284" s="127">
        <f t="shared" si="47"/>
        <v>4.1545407383525301E-4</v>
      </c>
      <c r="J284" s="122">
        <v>6.06</v>
      </c>
      <c r="K284" s="122">
        <v>193.1</v>
      </c>
      <c r="L284" s="122">
        <v>21.3</v>
      </c>
      <c r="M284" s="122">
        <f t="shared" si="40"/>
        <v>0.53120000000000012</v>
      </c>
      <c r="N284" s="128">
        <f t="shared" si="41"/>
        <v>0.35547396528704939</v>
      </c>
      <c r="O284" s="124">
        <f t="shared" si="45"/>
        <v>2.0909090909091432E-2</v>
      </c>
      <c r="P284" s="124">
        <f t="shared" si="45"/>
        <v>2.113636363636374</v>
      </c>
      <c r="Q284" s="124">
        <f t="shared" si="46"/>
        <v>-3.4545454545447996E-2</v>
      </c>
      <c r="U284" s="119">
        <v>5.9</v>
      </c>
      <c r="V284" s="129">
        <f t="shared" si="49"/>
        <v>-0.13909090909090782</v>
      </c>
      <c r="W284" s="119"/>
      <c r="X284" s="126"/>
      <c r="Y284" s="119">
        <v>45541</v>
      </c>
      <c r="Z284" s="126">
        <v>-0.53</v>
      </c>
      <c r="AA284" s="108">
        <v>45541</v>
      </c>
      <c r="AB284" s="108">
        <v>-0.53</v>
      </c>
      <c r="AC284" s="108">
        <v>45541</v>
      </c>
      <c r="AD284" s="108">
        <v>-0.08</v>
      </c>
    </row>
    <row r="285" spans="1:30">
      <c r="A285" s="99">
        <v>34151</v>
      </c>
      <c r="B285" s="122">
        <v>7.0463095238095246</v>
      </c>
      <c r="C285" s="122">
        <v>225.25714285714292</v>
      </c>
      <c r="D285" s="122">
        <v>24.271904761904764</v>
      </c>
      <c r="E285" s="122">
        <f t="shared" si="48"/>
        <v>0.57925714285714314</v>
      </c>
      <c r="F285" s="121">
        <f t="shared" si="44"/>
        <v>0.35012604839983785</v>
      </c>
      <c r="G285" s="127">
        <f t="shared" si="47"/>
        <v>-8.2460978932062945E-3</v>
      </c>
      <c r="J285" s="122">
        <v>6.89</v>
      </c>
      <c r="K285" s="122">
        <v>229.9</v>
      </c>
      <c r="L285" s="122">
        <v>24.13</v>
      </c>
      <c r="M285" s="122">
        <f t="shared" si="40"/>
        <v>0.82209999999999983</v>
      </c>
      <c r="N285" s="128">
        <f t="shared" si="41"/>
        <v>0.34417344173441733</v>
      </c>
      <c r="O285" s="124">
        <f t="shared" si="45"/>
        <v>-0.1563095238095249</v>
      </c>
      <c r="P285" s="124">
        <f t="shared" si="45"/>
        <v>4.642857142857082</v>
      </c>
      <c r="Q285" s="124">
        <f t="shared" si="46"/>
        <v>-0.14190476190476531</v>
      </c>
      <c r="U285" s="119">
        <v>6.56</v>
      </c>
      <c r="V285" s="129">
        <f t="shared" si="49"/>
        <v>-0.48630952380952497</v>
      </c>
      <c r="W285" s="119"/>
      <c r="X285" s="126"/>
      <c r="Y285" s="119">
        <v>45544</v>
      </c>
      <c r="Z285" s="126">
        <v>-0.63</v>
      </c>
      <c r="AA285" s="108">
        <v>45544</v>
      </c>
      <c r="AB285" s="108">
        <v>-0.53</v>
      </c>
      <c r="AC285" s="108">
        <v>45544</v>
      </c>
      <c r="AD285" s="108">
        <v>0</v>
      </c>
    </row>
    <row r="286" spans="1:30">
      <c r="A286" s="99">
        <v>34182</v>
      </c>
      <c r="B286" s="122">
        <v>6.713181818181817</v>
      </c>
      <c r="C286" s="122">
        <v>215.10909090909092</v>
      </c>
      <c r="D286" s="122">
        <v>23.618636363636366</v>
      </c>
      <c r="E286" s="122">
        <f t="shared" si="48"/>
        <v>0.61726818181818377</v>
      </c>
      <c r="F286" s="121">
        <f t="shared" si="44"/>
        <v>0.35441889652067743</v>
      </c>
      <c r="G286" s="127">
        <f t="shared" si="47"/>
        <v>4.2928481208395763E-3</v>
      </c>
      <c r="J286" s="122">
        <v>6.79</v>
      </c>
      <c r="K286" s="119">
        <v>219.1</v>
      </c>
      <c r="L286" s="122">
        <v>23.47</v>
      </c>
      <c r="M286" s="122">
        <f t="shared" si="40"/>
        <v>0.61189999999999944</v>
      </c>
      <c r="N286" s="128">
        <f t="shared" si="41"/>
        <v>0.34878882449100912</v>
      </c>
      <c r="O286" s="124">
        <f t="shared" si="45"/>
        <v>7.6818181818183007E-2</v>
      </c>
      <c r="P286" s="124">
        <f t="shared" si="45"/>
        <v>3.9909090909090708</v>
      </c>
      <c r="Q286" s="124">
        <f t="shared" si="46"/>
        <v>-0.14863636363636701</v>
      </c>
      <c r="U286" s="119">
        <v>6.56</v>
      </c>
      <c r="V286" s="129">
        <f t="shared" si="49"/>
        <v>-0.15318181818181742</v>
      </c>
      <c r="W286" s="119"/>
      <c r="X286" s="126"/>
      <c r="Y286" s="119">
        <v>45545</v>
      </c>
      <c r="Z286" s="126">
        <v>-0.7</v>
      </c>
      <c r="AA286" s="108">
        <v>45545</v>
      </c>
      <c r="AB286" s="108">
        <v>-0.5</v>
      </c>
      <c r="AC286" s="108">
        <v>45545</v>
      </c>
      <c r="AD286" s="108">
        <v>0</v>
      </c>
    </row>
    <row r="287" spans="1:30">
      <c r="A287" s="99">
        <v>34213</v>
      </c>
      <c r="B287" s="122">
        <v>6.3884523809523808</v>
      </c>
      <c r="C287" s="122">
        <v>198.2</v>
      </c>
      <c r="D287" s="122">
        <v>23.493333333333332</v>
      </c>
      <c r="E287" s="122">
        <f t="shared" si="48"/>
        <v>0.55621428571428577</v>
      </c>
      <c r="F287" s="121">
        <f t="shared" si="44"/>
        <v>0.37212249208025344</v>
      </c>
      <c r="G287" s="127">
        <f t="shared" si="47"/>
        <v>1.7703595559576013E-2</v>
      </c>
      <c r="J287" s="122">
        <v>6.43</v>
      </c>
      <c r="K287" s="122">
        <v>199.9</v>
      </c>
      <c r="L287" s="122">
        <v>23.61</v>
      </c>
      <c r="M287" s="122">
        <f t="shared" si="40"/>
        <v>0.56490000000000062</v>
      </c>
      <c r="N287" s="128">
        <f t="shared" si="41"/>
        <v>0.371284793206479</v>
      </c>
      <c r="O287" s="124">
        <f t="shared" si="45"/>
        <v>4.1547619047618944E-2</v>
      </c>
      <c r="P287" s="124">
        <f t="shared" si="45"/>
        <v>1.7000000000000171</v>
      </c>
      <c r="Q287" s="124">
        <f t="shared" si="46"/>
        <v>0.11666666666666714</v>
      </c>
      <c r="U287" s="119">
        <v>6.21</v>
      </c>
      <c r="V287" s="129">
        <f t="shared" si="49"/>
        <v>-0.17845238095238081</v>
      </c>
      <c r="W287" s="119"/>
      <c r="X287" s="126"/>
      <c r="Y287" s="119">
        <v>45546</v>
      </c>
      <c r="Z287" s="126">
        <v>-0.7</v>
      </c>
      <c r="AA287" s="108">
        <v>45546</v>
      </c>
      <c r="AB287" s="108">
        <v>-0.5</v>
      </c>
      <c r="AC287" s="108">
        <v>45546</v>
      </c>
      <c r="AD287" s="108">
        <v>0</v>
      </c>
    </row>
    <row r="288" spans="1:30">
      <c r="A288" s="99">
        <v>34243</v>
      </c>
      <c r="B288" s="122">
        <v>6.152619047619047</v>
      </c>
      <c r="C288" s="122">
        <v>191.2095238095238</v>
      </c>
      <c r="D288" s="122">
        <v>22.85</v>
      </c>
      <c r="E288" s="122">
        <f t="shared" si="48"/>
        <v>0.56749047619047754</v>
      </c>
      <c r="F288" s="121">
        <f t="shared" si="44"/>
        <v>0.37402664213947756</v>
      </c>
      <c r="G288" s="127">
        <f t="shared" si="47"/>
        <v>1.904150059224119E-3</v>
      </c>
      <c r="J288" s="122">
        <v>6.06</v>
      </c>
      <c r="K288" s="122">
        <v>194.5</v>
      </c>
      <c r="L288" s="122">
        <v>22.98</v>
      </c>
      <c r="M288" s="122">
        <f t="shared" si="40"/>
        <v>0.74680000000000035</v>
      </c>
      <c r="N288" s="128">
        <f t="shared" si="41"/>
        <v>0.37136393018745961</v>
      </c>
      <c r="O288" s="124">
        <f t="shared" si="45"/>
        <v>-9.2619047619047379E-2</v>
      </c>
      <c r="P288" s="124">
        <f t="shared" si="45"/>
        <v>3.2904761904761983</v>
      </c>
      <c r="Q288" s="124">
        <f t="shared" si="46"/>
        <v>0.12999999999999901</v>
      </c>
      <c r="U288" s="119">
        <v>6.01</v>
      </c>
      <c r="V288" s="129">
        <f t="shared" si="49"/>
        <v>-0.1426190476190472</v>
      </c>
      <c r="W288" s="119"/>
      <c r="X288" s="126"/>
      <c r="Y288" s="119">
        <v>45547</v>
      </c>
      <c r="Z288" s="126">
        <v>-0.7</v>
      </c>
      <c r="AA288" s="108">
        <v>45547</v>
      </c>
      <c r="AB288" s="108">
        <v>-0.5</v>
      </c>
      <c r="AC288" s="108">
        <v>45547</v>
      </c>
      <c r="AD288" s="108">
        <v>0</v>
      </c>
    </row>
    <row r="289" spans="1:30">
      <c r="A289" s="99">
        <v>34274</v>
      </c>
      <c r="B289" s="122">
        <v>6.6815476190476177</v>
      </c>
      <c r="C289" s="122">
        <v>206.61904761904762</v>
      </c>
      <c r="D289" s="122">
        <v>25.282380952380954</v>
      </c>
      <c r="E289" s="122">
        <f t="shared" si="48"/>
        <v>0.64513333333333467</v>
      </c>
      <c r="F289" s="121">
        <f t="shared" si="44"/>
        <v>0.37958004761462188</v>
      </c>
      <c r="G289" s="127">
        <f t="shared" si="47"/>
        <v>5.553405475144324E-3</v>
      </c>
      <c r="J289" s="122">
        <v>6.64</v>
      </c>
      <c r="K289" s="122">
        <v>209.4</v>
      </c>
      <c r="L289" s="122">
        <v>25.37</v>
      </c>
      <c r="M289" s="122">
        <f t="shared" si="40"/>
        <v>0.75750000000000028</v>
      </c>
      <c r="N289" s="128">
        <f t="shared" si="41"/>
        <v>0.37724907063197027</v>
      </c>
      <c r="O289" s="124">
        <f t="shared" si="45"/>
        <v>-4.1547619047618056E-2</v>
      </c>
      <c r="P289" s="124">
        <f t="shared" si="45"/>
        <v>2.7809523809523853</v>
      </c>
      <c r="Q289" s="124">
        <f t="shared" si="46"/>
        <v>8.7619047619046597E-2</v>
      </c>
      <c r="U289" s="119">
        <v>6.32</v>
      </c>
      <c r="V289" s="129">
        <f t="shared" si="49"/>
        <v>-0.36154761904761745</v>
      </c>
      <c r="W289" s="119"/>
      <c r="X289" s="126"/>
      <c r="Y289" s="119">
        <v>45548</v>
      </c>
      <c r="Z289" s="126">
        <v>-0.7</v>
      </c>
      <c r="AA289" s="108">
        <v>45548</v>
      </c>
      <c r="AB289" s="108">
        <v>-0.5</v>
      </c>
      <c r="AC289" s="108">
        <v>45548</v>
      </c>
      <c r="AD289" s="108">
        <v>0</v>
      </c>
    </row>
    <row r="290" spans="1:30">
      <c r="A290" s="99">
        <v>34304</v>
      </c>
      <c r="B290" s="122">
        <v>6.8715476190476181</v>
      </c>
      <c r="C290" s="122">
        <v>202.04285714285717</v>
      </c>
      <c r="D290" s="122">
        <v>27.948095238095242</v>
      </c>
      <c r="E290" s="122">
        <f t="shared" si="48"/>
        <v>0.64768571428571597</v>
      </c>
      <c r="F290" s="121">
        <f t="shared" si="44"/>
        <v>0.40885690600422159</v>
      </c>
      <c r="G290" s="127">
        <f t="shared" si="47"/>
        <v>2.9276858389599703E-2</v>
      </c>
      <c r="J290" s="122">
        <v>6.94</v>
      </c>
      <c r="K290" s="122">
        <v>206</v>
      </c>
      <c r="L290" s="122">
        <v>28.09</v>
      </c>
      <c r="M290" s="122">
        <f t="shared" si="40"/>
        <v>0.68189999999999973</v>
      </c>
      <c r="N290" s="128">
        <f t="shared" si="41"/>
        <v>0.40539760427190064</v>
      </c>
      <c r="O290" s="124">
        <f t="shared" si="45"/>
        <v>6.8452380952382264E-2</v>
      </c>
      <c r="P290" s="124">
        <f t="shared" si="45"/>
        <v>3.9571428571428271</v>
      </c>
      <c r="Q290" s="124">
        <f t="shared" si="46"/>
        <v>0.1419047619047582</v>
      </c>
      <c r="U290" s="119">
        <v>6.64</v>
      </c>
      <c r="V290" s="129">
        <f t="shared" si="49"/>
        <v>-0.23154761904761845</v>
      </c>
      <c r="W290" s="119"/>
      <c r="X290" s="126"/>
      <c r="Y290" s="119">
        <v>45551</v>
      </c>
      <c r="Z290" s="126">
        <v>-0.68</v>
      </c>
      <c r="AA290" s="108">
        <v>45551</v>
      </c>
      <c r="AB290" s="108">
        <v>-0.5</v>
      </c>
      <c r="AC290" s="108">
        <v>45551</v>
      </c>
      <c r="AD290" s="108">
        <v>0</v>
      </c>
    </row>
    <row r="291" spans="1:30">
      <c r="A291" s="99">
        <v>34335</v>
      </c>
      <c r="B291" s="122">
        <v>7.0071428571428571</v>
      </c>
      <c r="C291" s="122">
        <v>197.64761904761903</v>
      </c>
      <c r="D291" s="122">
        <v>29.511904761904763</v>
      </c>
      <c r="E291" s="122">
        <f t="shared" si="48"/>
        <v>0.58741428571428589</v>
      </c>
      <c r="F291" s="121">
        <f t="shared" si="44"/>
        <v>0.42745211639664243</v>
      </c>
      <c r="G291" s="127">
        <f t="shared" si="47"/>
        <v>1.8595210392420847E-2</v>
      </c>
      <c r="J291" s="122">
        <v>7.01</v>
      </c>
      <c r="K291" s="122">
        <v>198.3</v>
      </c>
      <c r="L291" s="122">
        <v>29.91</v>
      </c>
      <c r="M291" s="122">
        <f t="shared" si="40"/>
        <v>0.64270000000000049</v>
      </c>
      <c r="N291" s="128">
        <f t="shared" si="41"/>
        <v>0.42992669253988786</v>
      </c>
      <c r="O291" s="124">
        <f t="shared" si="45"/>
        <v>2.8571428571426694E-3</v>
      </c>
      <c r="P291" s="124">
        <f t="shared" si="45"/>
        <v>0.65238095238098026</v>
      </c>
      <c r="Q291" s="124">
        <f t="shared" si="46"/>
        <v>0.39809523809523739</v>
      </c>
      <c r="U291" s="119">
        <v>6.72</v>
      </c>
      <c r="V291" s="129">
        <f t="shared" si="49"/>
        <v>-0.28714285714285737</v>
      </c>
      <c r="W291" s="119"/>
      <c r="X291" s="126"/>
      <c r="Y291" s="119">
        <v>45552</v>
      </c>
      <c r="Z291" s="126">
        <v>-0.65</v>
      </c>
      <c r="AA291" s="108">
        <v>45552</v>
      </c>
      <c r="AB291" s="108">
        <v>-0.5</v>
      </c>
      <c r="AC291" s="108">
        <v>45552</v>
      </c>
      <c r="AD291" s="108">
        <v>0</v>
      </c>
    </row>
    <row r="292" spans="1:30">
      <c r="A292" s="99">
        <v>34366</v>
      </c>
      <c r="B292" s="122">
        <v>6.793815789473685</v>
      </c>
      <c r="C292" s="122">
        <v>195.27368421052631</v>
      </c>
      <c r="D292" s="122">
        <v>28.452631578947368</v>
      </c>
      <c r="E292" s="122">
        <f t="shared" si="48"/>
        <v>0.63199473684210439</v>
      </c>
      <c r="F292" s="121">
        <f t="shared" si="44"/>
        <v>0.42147445892846008</v>
      </c>
      <c r="G292" s="127">
        <f t="shared" si="47"/>
        <v>-5.9776574681823513E-3</v>
      </c>
      <c r="J292" s="122">
        <v>6.86</v>
      </c>
      <c r="K292" s="122">
        <v>198.4</v>
      </c>
      <c r="L292" s="122">
        <v>28.84</v>
      </c>
      <c r="M292" s="122">
        <f t="shared" si="40"/>
        <v>0.67719999999999914</v>
      </c>
      <c r="N292" s="128">
        <f t="shared" si="41"/>
        <v>0.4208990075890251</v>
      </c>
      <c r="O292" s="124">
        <f t="shared" si="45"/>
        <v>6.618421052631529E-2</v>
      </c>
      <c r="P292" s="124">
        <f t="shared" si="45"/>
        <v>3.1263157894736935</v>
      </c>
      <c r="Q292" s="124">
        <f t="shared" si="46"/>
        <v>0.38736842105263136</v>
      </c>
      <c r="U292" s="119">
        <v>6.71</v>
      </c>
      <c r="V292" s="129">
        <f t="shared" si="49"/>
        <v>-8.3815789473685065E-2</v>
      </c>
      <c r="W292" s="119"/>
      <c r="X292" s="126"/>
      <c r="Y292" s="119">
        <v>45553</v>
      </c>
      <c r="Z292" s="126">
        <v>-0.55000000000000004</v>
      </c>
      <c r="AA292" s="108">
        <v>45553</v>
      </c>
      <c r="AB292" s="108">
        <v>-0.5</v>
      </c>
      <c r="AC292" s="108">
        <v>45553</v>
      </c>
      <c r="AD292" s="108">
        <v>0</v>
      </c>
    </row>
    <row r="293" spans="1:30">
      <c r="A293" s="99">
        <v>34394</v>
      </c>
      <c r="B293" s="122">
        <v>6.8385869565217385</v>
      </c>
      <c r="C293" s="122">
        <v>194.39565217391302</v>
      </c>
      <c r="D293" s="122">
        <v>28.679130434782603</v>
      </c>
      <c r="E293" s="122">
        <f t="shared" si="48"/>
        <v>0.5928217391304349</v>
      </c>
      <c r="F293" s="121">
        <f t="shared" si="44"/>
        <v>0.42450960201822574</v>
      </c>
      <c r="G293" s="127">
        <f t="shared" si="47"/>
        <v>3.0351430897656573E-3</v>
      </c>
      <c r="J293" s="122">
        <v>6.92</v>
      </c>
      <c r="K293" s="122">
        <v>195.4</v>
      </c>
      <c r="L293" s="122">
        <v>29.03</v>
      </c>
      <c r="M293" s="122">
        <f t="shared" si="40"/>
        <v>0.57209999999999983</v>
      </c>
      <c r="N293" s="128">
        <f t="shared" si="41"/>
        <v>0.42622228747614155</v>
      </c>
      <c r="O293" s="124">
        <f t="shared" si="45"/>
        <v>8.1413043478261393E-2</v>
      </c>
      <c r="P293" s="124">
        <f t="shared" si="45"/>
        <v>1.0043478260869847</v>
      </c>
      <c r="Q293" s="124">
        <f t="shared" si="46"/>
        <v>0.35086956521739765</v>
      </c>
      <c r="U293" s="119">
        <v>6.73</v>
      </c>
      <c r="V293" s="129">
        <f t="shared" si="49"/>
        <v>-0.10858695652173811</v>
      </c>
      <c r="W293" s="119"/>
      <c r="X293" s="126"/>
      <c r="Y293" s="119">
        <v>45554</v>
      </c>
      <c r="Z293" s="126">
        <v>-0.55000000000000004</v>
      </c>
      <c r="AA293" s="108">
        <v>45554</v>
      </c>
      <c r="AB293" s="108">
        <v>-0.5</v>
      </c>
      <c r="AC293" s="108">
        <v>45554</v>
      </c>
      <c r="AD293" s="108">
        <v>-0.1</v>
      </c>
    </row>
    <row r="294" spans="1:30">
      <c r="A294" s="99">
        <v>34425</v>
      </c>
      <c r="B294" s="122">
        <v>6.6057894736842107</v>
      </c>
      <c r="C294" s="122">
        <v>188.25789473684213</v>
      </c>
      <c r="D294" s="122">
        <v>27.852105263157899</v>
      </c>
      <c r="E294" s="122">
        <f t="shared" si="48"/>
        <v>0.59961578947368466</v>
      </c>
      <c r="F294" s="121">
        <f t="shared" si="44"/>
        <v>0.42519906473721852</v>
      </c>
      <c r="G294" s="127">
        <f t="shared" si="47"/>
        <v>6.8946271899278377E-4</v>
      </c>
      <c r="J294" s="122">
        <v>6.7</v>
      </c>
      <c r="K294" s="122">
        <v>188.9</v>
      </c>
      <c r="L294" s="122">
        <v>27.94</v>
      </c>
      <c r="M294" s="122">
        <f t="shared" si="40"/>
        <v>0.52920000000000034</v>
      </c>
      <c r="N294" s="128">
        <f t="shared" si="41"/>
        <v>0.42513694461351187</v>
      </c>
      <c r="O294" s="124">
        <f t="shared" si="45"/>
        <v>9.4210526315789522E-2</v>
      </c>
      <c r="P294" s="124">
        <f t="shared" si="45"/>
        <v>0.6421052631578732</v>
      </c>
      <c r="Q294" s="124">
        <f t="shared" si="46"/>
        <v>8.7894736842102361E-2</v>
      </c>
      <c r="U294" s="119">
        <v>6.57</v>
      </c>
      <c r="V294" s="129">
        <f t="shared" si="49"/>
        <v>-3.5789473684210371E-2</v>
      </c>
      <c r="W294" s="119"/>
      <c r="X294" s="126"/>
      <c r="Y294" s="119">
        <v>45555</v>
      </c>
      <c r="Z294" s="126">
        <v>-0.55000000000000004</v>
      </c>
      <c r="AA294" s="108">
        <v>45555</v>
      </c>
      <c r="AB294" s="108">
        <v>-0.5</v>
      </c>
      <c r="AC294" s="108">
        <v>45555</v>
      </c>
      <c r="AD294" s="108">
        <v>-0.1</v>
      </c>
    </row>
    <row r="295" spans="1:30">
      <c r="A295" s="99">
        <v>34455</v>
      </c>
      <c r="B295" s="122">
        <v>6.7905952380952392</v>
      </c>
      <c r="C295" s="122">
        <v>191.89047619047619</v>
      </c>
      <c r="D295" s="122">
        <v>28.85047619047619</v>
      </c>
      <c r="E295" s="122">
        <f t="shared" si="48"/>
        <v>0.60454761904761778</v>
      </c>
      <c r="F295" s="121">
        <f t="shared" si="44"/>
        <v>0.42914010483071252</v>
      </c>
      <c r="G295" s="127">
        <f t="shared" si="47"/>
        <v>3.9410400934939971E-3</v>
      </c>
      <c r="J295" s="122">
        <v>6.89</v>
      </c>
      <c r="K295" s="119">
        <v>193.75</v>
      </c>
      <c r="L295" s="122">
        <v>29.1</v>
      </c>
      <c r="M295" s="122">
        <f t="shared" si="40"/>
        <v>0.57350000000000101</v>
      </c>
      <c r="N295" s="128">
        <f t="shared" si="41"/>
        <v>0.42888725128960947</v>
      </c>
      <c r="O295" s="124">
        <f t="shared" si="45"/>
        <v>9.9404761904760441E-2</v>
      </c>
      <c r="P295" s="124">
        <f t="shared" si="45"/>
        <v>1.8595238095238074</v>
      </c>
      <c r="Q295" s="124">
        <f t="shared" si="46"/>
        <v>0.24952380952381148</v>
      </c>
      <c r="U295" s="119">
        <v>6.77</v>
      </c>
      <c r="V295" s="129">
        <f t="shared" si="49"/>
        <v>-2.0595238095239665E-2</v>
      </c>
      <c r="W295" s="119"/>
      <c r="X295" s="126"/>
      <c r="Y295" s="119">
        <v>45558</v>
      </c>
      <c r="Z295" s="126">
        <v>-0.5</v>
      </c>
      <c r="AA295" s="108">
        <v>45558</v>
      </c>
      <c r="AB295" s="108">
        <v>-0.5</v>
      </c>
      <c r="AC295" s="108">
        <v>45558</v>
      </c>
      <c r="AD295" s="108">
        <v>-0.15</v>
      </c>
    </row>
    <row r="296" spans="1:30">
      <c r="A296" s="99">
        <v>34486</v>
      </c>
      <c r="B296" s="122">
        <v>6.7920454545454536</v>
      </c>
      <c r="C296" s="122">
        <v>196.84545454545457</v>
      </c>
      <c r="D296" s="122">
        <v>27.4</v>
      </c>
      <c r="E296" s="122">
        <f t="shared" si="48"/>
        <v>0.55255454545454619</v>
      </c>
      <c r="F296" s="121">
        <f t="shared" si="44"/>
        <v>0.41036952318710346</v>
      </c>
      <c r="G296" s="127">
        <f t="shared" si="47"/>
        <v>-1.8770581643609063E-2</v>
      </c>
      <c r="J296" s="122">
        <v>6.85</v>
      </c>
      <c r="K296" s="122">
        <v>195.5</v>
      </c>
      <c r="L296" s="122">
        <v>27.6</v>
      </c>
      <c r="M296" s="122">
        <f t="shared" si="40"/>
        <v>0.48700000000000099</v>
      </c>
      <c r="N296" s="128">
        <f t="shared" si="41"/>
        <v>0.41379310344827591</v>
      </c>
      <c r="O296" s="124">
        <f t="shared" si="45"/>
        <v>5.7954545454546036E-2</v>
      </c>
      <c r="P296" s="124">
        <f t="shared" si="45"/>
        <v>-1.3454545454545723</v>
      </c>
      <c r="Q296" s="124">
        <f t="shared" si="46"/>
        <v>0.20000000000000284</v>
      </c>
      <c r="U296" s="119">
        <v>6.72</v>
      </c>
      <c r="V296" s="129">
        <f t="shared" si="49"/>
        <v>-7.2045454545453858E-2</v>
      </c>
      <c r="W296" s="119"/>
      <c r="X296" s="126"/>
      <c r="Y296" s="119">
        <v>45559</v>
      </c>
      <c r="Z296" s="126">
        <v>-0.55000000000000004</v>
      </c>
      <c r="AA296" s="108">
        <v>45559</v>
      </c>
      <c r="AB296" s="108">
        <v>-0.53</v>
      </c>
      <c r="AC296" s="108">
        <v>45559</v>
      </c>
      <c r="AD296" s="108">
        <v>-0.15</v>
      </c>
    </row>
    <row r="297" spans="1:30">
      <c r="A297" s="99">
        <v>34516</v>
      </c>
      <c r="B297" s="122">
        <v>6.0398749999999994</v>
      </c>
      <c r="C297" s="122">
        <v>180.92500000000001</v>
      </c>
      <c r="D297" s="122">
        <v>24.459000000000007</v>
      </c>
      <c r="E297" s="122">
        <f t="shared" si="48"/>
        <v>0.63096500000000066</v>
      </c>
      <c r="F297" s="121">
        <f t="shared" si="44"/>
        <v>0.40332102104082851</v>
      </c>
      <c r="G297" s="127">
        <f t="shared" si="47"/>
        <v>-7.0485021462749486E-3</v>
      </c>
      <c r="J297" s="122">
        <v>6.03</v>
      </c>
      <c r="K297" s="122">
        <v>181.1</v>
      </c>
      <c r="L297" s="122">
        <v>24.53</v>
      </c>
      <c r="M297" s="122">
        <f t="shared" si="40"/>
        <v>0.65249999999999897</v>
      </c>
      <c r="N297" s="128">
        <f t="shared" si="41"/>
        <v>0.40378600823045274</v>
      </c>
      <c r="O297" s="124">
        <f t="shared" si="45"/>
        <v>-9.87499999999919E-3</v>
      </c>
      <c r="P297" s="124">
        <f t="shared" si="45"/>
        <v>0.17499999999998295</v>
      </c>
      <c r="Q297" s="124">
        <f t="shared" si="46"/>
        <v>7.0999999999994401E-2</v>
      </c>
      <c r="U297" s="119">
        <v>5.92</v>
      </c>
      <c r="V297" s="129">
        <f t="shared" si="49"/>
        <v>-0.11987499999999951</v>
      </c>
      <c r="W297" s="119"/>
      <c r="X297" s="126"/>
      <c r="Y297" s="119">
        <v>45560</v>
      </c>
      <c r="Z297" s="126">
        <v>-0.55000000000000004</v>
      </c>
      <c r="AA297" s="108">
        <v>45560</v>
      </c>
      <c r="AB297" s="108">
        <v>-0.55000000000000004</v>
      </c>
      <c r="AC297" s="108">
        <v>45560</v>
      </c>
      <c r="AD297" s="108">
        <v>-0.25</v>
      </c>
    </row>
    <row r="298" spans="1:30">
      <c r="A298" s="99">
        <v>34547</v>
      </c>
      <c r="B298" s="122">
        <v>5.7247826086956533</v>
      </c>
      <c r="C298" s="122">
        <v>173.63478260869564</v>
      </c>
      <c r="D298" s="122">
        <v>24.416086956521742</v>
      </c>
      <c r="E298" s="122">
        <f t="shared" si="48"/>
        <v>0.78095217391304228</v>
      </c>
      <c r="F298" s="121">
        <f t="shared" si="44"/>
        <v>0.41283108748869735</v>
      </c>
      <c r="G298" s="127">
        <f t="shared" si="47"/>
        <v>9.5100664478688368E-3</v>
      </c>
      <c r="J298" s="122">
        <v>5.76</v>
      </c>
      <c r="K298" s="122">
        <v>178.6</v>
      </c>
      <c r="L298" s="122">
        <v>24.51</v>
      </c>
      <c r="M298" s="122">
        <f t="shared" si="40"/>
        <v>0.86529999999999951</v>
      </c>
      <c r="N298" s="128">
        <f t="shared" si="41"/>
        <v>0.40694006309148267</v>
      </c>
      <c r="O298" s="124">
        <f t="shared" si="45"/>
        <v>3.5217391304346535E-2</v>
      </c>
      <c r="P298" s="124">
        <f t="shared" si="45"/>
        <v>4.9652173913043498</v>
      </c>
      <c r="Q298" s="124">
        <f t="shared" si="46"/>
        <v>9.3913043478259794E-2</v>
      </c>
      <c r="U298" s="119">
        <v>5.58</v>
      </c>
      <c r="V298" s="129">
        <f t="shared" si="49"/>
        <v>-0.14478260869565318</v>
      </c>
      <c r="W298" s="119"/>
      <c r="X298" s="126"/>
      <c r="Y298" s="119">
        <v>45561</v>
      </c>
      <c r="Z298" s="126">
        <v>-0.55000000000000004</v>
      </c>
      <c r="AA298" s="108">
        <v>45561</v>
      </c>
      <c r="AB298" s="108">
        <v>-0.55000000000000004</v>
      </c>
      <c r="AC298" s="108">
        <v>45561</v>
      </c>
      <c r="AD298" s="108">
        <v>-0.38</v>
      </c>
    </row>
    <row r="299" spans="1:30">
      <c r="A299" s="99">
        <v>34578</v>
      </c>
      <c r="B299" s="122">
        <v>5.6220238095238102</v>
      </c>
      <c r="C299" s="122">
        <v>167.41428571428574</v>
      </c>
      <c r="D299" s="122">
        <v>25.62</v>
      </c>
      <c r="E299" s="122">
        <f t="shared" si="48"/>
        <v>0.87929047619047651</v>
      </c>
      <c r="F299" s="121">
        <f t="shared" si="44"/>
        <v>0.4334815817461084</v>
      </c>
      <c r="G299" s="127">
        <f t="shared" si="47"/>
        <v>2.0650494257411056E-2</v>
      </c>
      <c r="J299" s="122">
        <v>5.57</v>
      </c>
      <c r="K299" s="122">
        <v>174.5</v>
      </c>
      <c r="L299" s="122">
        <v>26.11</v>
      </c>
      <c r="M299" s="122">
        <f t="shared" si="40"/>
        <v>1.1410999999999998</v>
      </c>
      <c r="N299" s="128">
        <f t="shared" si="41"/>
        <v>0.42796262907720045</v>
      </c>
      <c r="O299" s="124">
        <f t="shared" si="45"/>
        <v>-5.2023809523809916E-2</v>
      </c>
      <c r="P299" s="124">
        <f t="shared" si="45"/>
        <v>7.0857142857142605</v>
      </c>
      <c r="Q299" s="124">
        <f t="shared" si="46"/>
        <v>0.48999999999999844</v>
      </c>
      <c r="U299" s="119">
        <v>5.47</v>
      </c>
      <c r="V299" s="129">
        <f t="shared" si="49"/>
        <v>-0.15202380952381045</v>
      </c>
      <c r="W299" s="119"/>
      <c r="X299" s="126"/>
      <c r="Y299" s="119">
        <v>45562</v>
      </c>
      <c r="Z299" s="126">
        <v>-0.55000000000000004</v>
      </c>
      <c r="AA299" s="108">
        <v>45562</v>
      </c>
      <c r="AB299" s="108">
        <v>-0.55000000000000004</v>
      </c>
      <c r="AC299" s="108">
        <v>45562</v>
      </c>
      <c r="AD299" s="108">
        <v>-0.38</v>
      </c>
    </row>
    <row r="300" spans="1:30">
      <c r="A300" s="99">
        <v>34608</v>
      </c>
      <c r="B300" s="122">
        <v>5.4071428571428575</v>
      </c>
      <c r="C300" s="122">
        <v>162.70476190476188</v>
      </c>
      <c r="D300" s="122">
        <v>24.87952380952381</v>
      </c>
      <c r="E300" s="122">
        <f t="shared" si="48"/>
        <v>0.9091095238095237</v>
      </c>
      <c r="F300" s="121">
        <f t="shared" si="44"/>
        <v>0.43328661585795675</v>
      </c>
      <c r="G300" s="127">
        <f t="shared" si="47"/>
        <v>-1.9496588815165472E-4</v>
      </c>
      <c r="J300" s="122">
        <v>5.31</v>
      </c>
      <c r="K300" s="122">
        <v>168.5</v>
      </c>
      <c r="L300" s="122">
        <v>27.06</v>
      </c>
      <c r="M300" s="122">
        <f t="shared" si="40"/>
        <v>1.3736000000000006</v>
      </c>
      <c r="N300" s="128">
        <f t="shared" si="41"/>
        <v>0.44535878867676099</v>
      </c>
      <c r="O300" s="124">
        <f t="shared" si="45"/>
        <v>-9.7142857142857864E-2</v>
      </c>
      <c r="P300" s="124">
        <f t="shared" si="45"/>
        <v>5.7952380952381191</v>
      </c>
      <c r="Q300" s="124">
        <f t="shared" si="46"/>
        <v>2.1804761904761882</v>
      </c>
      <c r="U300" s="119">
        <v>5.3</v>
      </c>
      <c r="V300" s="129">
        <f t="shared" si="49"/>
        <v>-0.10714285714285765</v>
      </c>
      <c r="W300" s="119"/>
      <c r="X300" s="126"/>
      <c r="Y300" s="119">
        <v>45565</v>
      </c>
      <c r="Z300" s="126">
        <v>-0.44</v>
      </c>
      <c r="AA300" s="108">
        <v>45565</v>
      </c>
      <c r="AB300" s="108">
        <v>-0.55000000000000004</v>
      </c>
      <c r="AC300" s="108">
        <v>45565</v>
      </c>
      <c r="AD300" s="108">
        <v>-0.38</v>
      </c>
    </row>
    <row r="301" spans="1:30">
      <c r="A301" s="99">
        <v>34639</v>
      </c>
      <c r="B301" s="122">
        <v>5.6553571428571434</v>
      </c>
      <c r="C301" s="122">
        <v>159.17142857142858</v>
      </c>
      <c r="D301" s="122">
        <v>27.90904761904762</v>
      </c>
      <c r="E301" s="122">
        <f t="shared" si="48"/>
        <v>0.91640952380952356</v>
      </c>
      <c r="F301" s="121">
        <f t="shared" si="44"/>
        <v>0.46714915392034179</v>
      </c>
      <c r="G301" s="127">
        <f t="shared" si="47"/>
        <v>3.3862538062385039E-2</v>
      </c>
      <c r="J301" s="122">
        <v>5.66</v>
      </c>
      <c r="K301" s="122">
        <v>161.30000000000001</v>
      </c>
      <c r="L301" s="122">
        <v>29.84</v>
      </c>
      <c r="M301" s="122">
        <f t="shared" si="40"/>
        <v>1.1709999999999994</v>
      </c>
      <c r="N301" s="128">
        <f t="shared" si="41"/>
        <v>0.4805152979066023</v>
      </c>
      <c r="O301" s="124">
        <f t="shared" si="45"/>
        <v>4.6428571428567267E-3</v>
      </c>
      <c r="P301" s="124">
        <f t="shared" si="45"/>
        <v>2.1285714285714334</v>
      </c>
      <c r="Q301" s="124">
        <f t="shared" si="46"/>
        <v>1.9309523809523803</v>
      </c>
      <c r="U301" s="119">
        <v>5.36</v>
      </c>
      <c r="V301" s="129">
        <f t="shared" si="49"/>
        <v>-0.2953571428571431</v>
      </c>
      <c r="W301" s="119"/>
      <c r="X301" s="126"/>
      <c r="Y301" s="119">
        <v>45566</v>
      </c>
      <c r="Z301" s="126">
        <v>-0.4</v>
      </c>
      <c r="AA301" s="108">
        <v>45566</v>
      </c>
      <c r="AB301" s="108">
        <v>-0.57999999999999996</v>
      </c>
      <c r="AC301" s="108">
        <v>45566</v>
      </c>
      <c r="AD301" s="108">
        <v>-0.45</v>
      </c>
    </row>
    <row r="302" spans="1:30">
      <c r="A302" s="99">
        <v>34669</v>
      </c>
      <c r="B302" s="122">
        <v>5.616190476190476</v>
      </c>
      <c r="C302" s="122">
        <v>158.22380952380951</v>
      </c>
      <c r="D302" s="122">
        <v>28.085714285714282</v>
      </c>
      <c r="E302" s="122">
        <f t="shared" si="48"/>
        <v>0.95416190476190454</v>
      </c>
      <c r="F302" s="121">
        <f t="shared" si="44"/>
        <v>0.47020743976912155</v>
      </c>
      <c r="G302" s="127">
        <f t="shared" si="47"/>
        <v>3.0582858487797626E-3</v>
      </c>
      <c r="J302" s="122">
        <v>5.67</v>
      </c>
      <c r="K302" s="122">
        <v>156.9</v>
      </c>
      <c r="L302" s="122">
        <v>30.61</v>
      </c>
      <c r="M302" s="122">
        <f t="shared" si="40"/>
        <v>1.1489000000000003</v>
      </c>
      <c r="N302" s="128">
        <f t="shared" si="41"/>
        <v>0.49378932085820287</v>
      </c>
      <c r="O302" s="124">
        <f t="shared" si="45"/>
        <v>5.3809523809523974E-2</v>
      </c>
      <c r="P302" s="124">
        <f t="shared" si="45"/>
        <v>-1.3238095238095013</v>
      </c>
      <c r="Q302" s="124">
        <f t="shared" si="46"/>
        <v>2.5242857142857176</v>
      </c>
      <c r="U302" s="119">
        <v>5.41</v>
      </c>
      <c r="V302" s="129">
        <f t="shared" si="49"/>
        <v>-0.20619047619047581</v>
      </c>
      <c r="W302" s="119"/>
      <c r="X302" s="126"/>
      <c r="Y302" s="119">
        <v>45567</v>
      </c>
      <c r="Z302" s="126">
        <v>-0.4</v>
      </c>
      <c r="AA302" s="108">
        <v>45567</v>
      </c>
      <c r="AB302" s="108">
        <v>-0.55000000000000004</v>
      </c>
      <c r="AC302" s="108">
        <v>45567</v>
      </c>
      <c r="AD302" s="108">
        <v>-0.45</v>
      </c>
    </row>
    <row r="303" spans="1:30">
      <c r="A303" s="99">
        <v>34700</v>
      </c>
      <c r="B303" s="122">
        <v>5.5533333333333319</v>
      </c>
      <c r="C303" s="122">
        <v>158.34285714285713</v>
      </c>
      <c r="D303" s="122">
        <v>26.921904761904774</v>
      </c>
      <c r="E303" s="122">
        <f t="shared" si="48"/>
        <v>0.89161904761904953</v>
      </c>
      <c r="F303" s="121">
        <f t="shared" si="44"/>
        <v>0.45949284785435651</v>
      </c>
      <c r="G303" s="127">
        <f t="shared" si="47"/>
        <v>-1.0714591914765037E-2</v>
      </c>
      <c r="J303" s="122">
        <v>5.58</v>
      </c>
      <c r="K303" s="122">
        <v>156.4</v>
      </c>
      <c r="L303" s="122">
        <v>29.04</v>
      </c>
      <c r="M303" s="122">
        <f t="shared" si="40"/>
        <v>1.0552000000000001</v>
      </c>
      <c r="N303" s="128">
        <f t="shared" si="41"/>
        <v>0.48143236074270557</v>
      </c>
      <c r="O303" s="124">
        <f t="shared" si="45"/>
        <v>2.6666666666668171E-2</v>
      </c>
      <c r="P303" s="124">
        <f t="shared" si="45"/>
        <v>-1.9428571428571217</v>
      </c>
      <c r="Q303" s="124">
        <f t="shared" si="46"/>
        <v>2.1180952380952256</v>
      </c>
      <c r="R303" s="124"/>
      <c r="S303" s="124"/>
      <c r="T303" s="124"/>
      <c r="U303" s="119">
        <v>5.47</v>
      </c>
      <c r="V303" s="129">
        <f t="shared" si="49"/>
        <v>-8.3333333333332149E-2</v>
      </c>
      <c r="W303" s="119"/>
      <c r="X303" s="126"/>
      <c r="Y303" s="119">
        <v>45568</v>
      </c>
      <c r="Z303" s="126">
        <v>-0.4</v>
      </c>
      <c r="AA303" s="108">
        <v>45568</v>
      </c>
      <c r="AB303" s="108">
        <v>-0.6</v>
      </c>
      <c r="AC303" s="108">
        <v>45568</v>
      </c>
      <c r="AD303" s="108">
        <v>-0.45</v>
      </c>
    </row>
    <row r="304" spans="1:30">
      <c r="A304" s="99">
        <v>34731</v>
      </c>
      <c r="B304" s="122">
        <v>5.5419736842105261</v>
      </c>
      <c r="C304" s="122">
        <v>154.47894736842102</v>
      </c>
      <c r="D304" s="122">
        <v>27.171052631578949</v>
      </c>
      <c r="E304" s="122">
        <f t="shared" si="48"/>
        <v>0.84537894736842123</v>
      </c>
      <c r="F304" s="121">
        <f t="shared" si="44"/>
        <v>0.46792716198210776</v>
      </c>
      <c r="G304" s="127">
        <f t="shared" si="47"/>
        <v>8.4343141277512523E-3</v>
      </c>
      <c r="J304" s="122">
        <v>5.6</v>
      </c>
      <c r="K304" s="122">
        <v>151.30000000000001</v>
      </c>
      <c r="L304" s="122">
        <v>28.15</v>
      </c>
      <c r="M304" s="122">
        <f t="shared" si="40"/>
        <v>0.82510000000000083</v>
      </c>
      <c r="N304" s="128">
        <f t="shared" si="41"/>
        <v>0.4819380243109056</v>
      </c>
      <c r="O304" s="124">
        <f t="shared" si="45"/>
        <v>5.8026315789473593E-2</v>
      </c>
      <c r="P304" s="124">
        <f t="shared" si="45"/>
        <v>-3.1789473684210066</v>
      </c>
      <c r="Q304" s="124">
        <f t="shared" si="46"/>
        <v>0.9789473684210499</v>
      </c>
      <c r="R304" s="124"/>
      <c r="S304" s="124"/>
      <c r="T304" s="124"/>
      <c r="U304" s="119">
        <v>5.4</v>
      </c>
      <c r="V304" s="129">
        <f t="shared" si="49"/>
        <v>-0.1419736842105257</v>
      </c>
      <c r="W304" s="119"/>
      <c r="X304" s="126"/>
      <c r="Y304" s="119">
        <v>45569</v>
      </c>
      <c r="Z304" s="126">
        <v>-0.4</v>
      </c>
      <c r="AA304" s="108">
        <v>45569</v>
      </c>
      <c r="AB304" s="108">
        <v>-0.6</v>
      </c>
      <c r="AC304" s="108">
        <v>45569</v>
      </c>
      <c r="AD304" s="108">
        <v>-0.43</v>
      </c>
    </row>
    <row r="305" spans="1:30">
      <c r="A305" s="99">
        <v>34759</v>
      </c>
      <c r="B305" s="122">
        <v>5.765434782608696</v>
      </c>
      <c r="C305" s="122">
        <v>163.40434782608696</v>
      </c>
      <c r="D305" s="122">
        <v>26.748260869565218</v>
      </c>
      <c r="E305" s="122">
        <f t="shared" si="48"/>
        <v>0.77176956521739104</v>
      </c>
      <c r="F305" s="121">
        <f t="shared" si="44"/>
        <v>0.45008669441863525</v>
      </c>
      <c r="G305" s="127">
        <f t="shared" si="47"/>
        <v>-1.7840467563472517E-2</v>
      </c>
      <c r="J305" s="122">
        <v>5.74</v>
      </c>
      <c r="K305" s="122">
        <v>156.9</v>
      </c>
      <c r="L305" s="122">
        <v>28.33</v>
      </c>
      <c r="M305" s="122">
        <f t="shared" si="40"/>
        <v>0.82810000000000006</v>
      </c>
      <c r="N305" s="128">
        <f t="shared" si="41"/>
        <v>0.47445988946575107</v>
      </c>
      <c r="O305" s="124">
        <f t="shared" si="45"/>
        <v>-2.5434782608695805E-2</v>
      </c>
      <c r="P305" s="124">
        <f t="shared" si="45"/>
        <v>-6.5043478260869563</v>
      </c>
      <c r="Q305" s="124">
        <f t="shared" si="46"/>
        <v>1.5817391304347801</v>
      </c>
      <c r="R305" s="124"/>
      <c r="S305" s="124"/>
      <c r="T305" s="124"/>
      <c r="U305" s="119">
        <v>5.51</v>
      </c>
      <c r="V305" s="129">
        <f t="shared" si="49"/>
        <v>-0.25543478260869623</v>
      </c>
      <c r="W305" s="119"/>
      <c r="X305" s="126"/>
      <c r="Y305" s="119">
        <v>45572</v>
      </c>
      <c r="Z305" s="126">
        <v>-0.44</v>
      </c>
      <c r="AA305" s="108">
        <v>45572</v>
      </c>
      <c r="AB305" s="108">
        <v>-0.6</v>
      </c>
      <c r="AC305" s="108">
        <v>45572</v>
      </c>
      <c r="AD305" s="108">
        <v>-0.43</v>
      </c>
    </row>
    <row r="306" spans="1:30">
      <c r="A306" s="99">
        <v>34790</v>
      </c>
      <c r="B306" s="122">
        <v>5.7493421052631577</v>
      </c>
      <c r="C306" s="122">
        <v>166.98947368421051</v>
      </c>
      <c r="D306" s="122">
        <v>25.695789473684204</v>
      </c>
      <c r="E306" s="122">
        <f t="shared" si="48"/>
        <v>0.75096315789473689</v>
      </c>
      <c r="F306" s="121">
        <f t="shared" si="44"/>
        <v>0.43483140063057762</v>
      </c>
      <c r="G306" s="127">
        <f t="shared" si="47"/>
        <v>-1.5255293788057622E-2</v>
      </c>
      <c r="J306" s="122">
        <v>5.78</v>
      </c>
      <c r="K306" s="122">
        <v>161.9</v>
      </c>
      <c r="L306" s="122">
        <v>26.3</v>
      </c>
      <c r="M306" s="122">
        <f t="shared" si="40"/>
        <v>0.67480000000000029</v>
      </c>
      <c r="N306" s="128">
        <f t="shared" si="41"/>
        <v>0.44819359236537148</v>
      </c>
      <c r="O306" s="124">
        <f t="shared" si="45"/>
        <v>3.065789473684255E-2</v>
      </c>
      <c r="P306" s="124">
        <f t="shared" si="45"/>
        <v>-5.0894736842105033</v>
      </c>
      <c r="Q306" s="124">
        <f t="shared" si="46"/>
        <v>0.60421052631579641</v>
      </c>
      <c r="R306" s="124"/>
      <c r="S306" s="124"/>
      <c r="T306" s="124"/>
      <c r="U306" s="119">
        <v>5.55</v>
      </c>
      <c r="V306" s="129">
        <f t="shared" si="49"/>
        <v>-0.19934210526315788</v>
      </c>
      <c r="W306" s="119"/>
      <c r="X306" s="126"/>
      <c r="Y306" s="119">
        <v>45573</v>
      </c>
      <c r="Z306" s="126">
        <v>-0.5</v>
      </c>
      <c r="AA306" s="108">
        <v>45573</v>
      </c>
      <c r="AB306" s="108">
        <v>-0.63</v>
      </c>
      <c r="AC306" s="108">
        <v>45573</v>
      </c>
      <c r="AD306" s="108">
        <v>-0.35</v>
      </c>
    </row>
    <row r="307" spans="1:30">
      <c r="A307" s="99">
        <v>34820</v>
      </c>
      <c r="B307" s="122">
        <v>5.8271590909090909</v>
      </c>
      <c r="C307" s="122">
        <v>171.12727272727275</v>
      </c>
      <c r="D307" s="122">
        <v>25.548636363636362</v>
      </c>
      <c r="E307" s="122">
        <f t="shared" si="48"/>
        <v>0.74799090909090982</v>
      </c>
      <c r="F307" s="121">
        <f t="shared" si="44"/>
        <v>0.42741990677018765</v>
      </c>
      <c r="G307" s="127">
        <f t="shared" si="47"/>
        <v>-7.4114938603899727E-3</v>
      </c>
      <c r="J307" s="122">
        <v>5.8</v>
      </c>
      <c r="K307" s="122">
        <v>159.1</v>
      </c>
      <c r="L307" s="122">
        <v>26</v>
      </c>
      <c r="M307" s="122">
        <f t="shared" si="40"/>
        <v>0.56020000000000092</v>
      </c>
      <c r="N307" s="128">
        <f t="shared" si="41"/>
        <v>0.44967139398132133</v>
      </c>
      <c r="O307" s="124">
        <f t="shared" si="45"/>
        <v>-2.7159090909091077E-2</v>
      </c>
      <c r="P307" s="124">
        <f t="shared" si="45"/>
        <v>-12.027272727272759</v>
      </c>
      <c r="Q307" s="124">
        <f t="shared" si="46"/>
        <v>0.45136363636363797</v>
      </c>
      <c r="R307" s="124"/>
      <c r="S307" s="124"/>
      <c r="T307" s="124"/>
      <c r="U307" s="119">
        <v>5.56</v>
      </c>
      <c r="V307" s="129">
        <f t="shared" si="49"/>
        <v>-0.26715909090909129</v>
      </c>
      <c r="W307" s="119"/>
      <c r="X307" s="126"/>
      <c r="Y307" s="119">
        <v>45574</v>
      </c>
      <c r="Z307" s="126">
        <v>-0.5</v>
      </c>
      <c r="AA307" s="108">
        <v>45574</v>
      </c>
      <c r="AB307" s="108">
        <v>-0.53</v>
      </c>
      <c r="AC307" s="108">
        <v>45574</v>
      </c>
      <c r="AD307" s="108">
        <v>-0.35</v>
      </c>
    </row>
    <row r="308" spans="1:30">
      <c r="A308" s="99">
        <v>34851</v>
      </c>
      <c r="B308" s="122">
        <v>5.8954545454545464</v>
      </c>
      <c r="C308" s="122">
        <v>172.23181818181817</v>
      </c>
      <c r="D308" s="122">
        <v>26.587454545454499</v>
      </c>
      <c r="E308" s="122">
        <f t="shared" si="48"/>
        <v>0.81826545454544863</v>
      </c>
      <c r="F308" s="121">
        <f t="shared" si="44"/>
        <v>0.43561840529542439</v>
      </c>
      <c r="G308" s="127">
        <f t="shared" si="47"/>
        <v>8.1984985252367415E-3</v>
      </c>
      <c r="J308" s="122">
        <v>5.91</v>
      </c>
      <c r="K308" s="122">
        <v>160.4</v>
      </c>
      <c r="L308" s="122">
        <v>26.78</v>
      </c>
      <c r="M308" s="122">
        <f t="shared" si="40"/>
        <v>0.56460000000000043</v>
      </c>
      <c r="N308" s="128">
        <f t="shared" si="41"/>
        <v>0.45497791369351004</v>
      </c>
      <c r="O308" s="124">
        <f t="shared" si="45"/>
        <v>1.4545454545453751E-2</v>
      </c>
      <c r="P308" s="124">
        <f t="shared" si="45"/>
        <v>-11.831818181818164</v>
      </c>
      <c r="Q308" s="124">
        <f t="shared" si="46"/>
        <v>0.19254545454550254</v>
      </c>
      <c r="R308" s="124"/>
      <c r="S308" s="124"/>
      <c r="T308" s="124"/>
      <c r="U308" s="119">
        <v>5.68</v>
      </c>
      <c r="V308" s="129">
        <f t="shared" si="49"/>
        <v>-0.21545454545454668</v>
      </c>
      <c r="W308" s="119"/>
      <c r="X308" s="126"/>
      <c r="Y308" s="119">
        <v>45575</v>
      </c>
      <c r="Z308" s="126">
        <v>-0.5</v>
      </c>
      <c r="AA308" s="108">
        <v>45575</v>
      </c>
      <c r="AB308" s="108">
        <v>-0.53</v>
      </c>
      <c r="AC308" s="108">
        <v>45575</v>
      </c>
      <c r="AD308" s="108">
        <v>-0.33</v>
      </c>
    </row>
    <row r="309" spans="1:30">
      <c r="A309" s="99">
        <v>34881</v>
      </c>
      <c r="B309" s="122">
        <v>6.1847499999999993</v>
      </c>
      <c r="C309" s="122">
        <v>181.72</v>
      </c>
      <c r="D309" s="122">
        <v>27.458499999999997</v>
      </c>
      <c r="E309" s="122">
        <f t="shared" si="48"/>
        <v>0.83352499999999985</v>
      </c>
      <c r="F309" s="121">
        <f t="shared" si="44"/>
        <v>0.43036714862270287</v>
      </c>
      <c r="G309" s="127">
        <f t="shared" si="47"/>
        <v>-5.2512566727215271E-3</v>
      </c>
      <c r="J309" s="122">
        <v>6.23</v>
      </c>
      <c r="K309" s="122">
        <v>170.45</v>
      </c>
      <c r="L309" s="122">
        <v>27.6</v>
      </c>
      <c r="M309" s="122">
        <f t="shared" ref="M309:M372" si="50">(K309/2000*44)+(L309/100*11)-J309</f>
        <v>0.55589999999999939</v>
      </c>
      <c r="N309" s="128">
        <f t="shared" ref="N309:N372" si="51">L309/100*11/(J309+M309)</f>
        <v>0.44739828173123691</v>
      </c>
      <c r="O309" s="124">
        <f t="shared" si="45"/>
        <v>4.5250000000001123E-2</v>
      </c>
      <c r="P309" s="124">
        <f t="shared" si="45"/>
        <v>-11.27000000000001</v>
      </c>
      <c r="Q309" s="124">
        <f t="shared" si="46"/>
        <v>0.14150000000000418</v>
      </c>
      <c r="R309" s="124"/>
      <c r="S309" s="124"/>
      <c r="T309" s="124"/>
      <c r="U309" s="119">
        <v>5.9</v>
      </c>
      <c r="V309" s="129">
        <f t="shared" si="49"/>
        <v>-0.28474999999999895</v>
      </c>
      <c r="W309" s="119"/>
      <c r="X309" s="126"/>
      <c r="Y309" s="119">
        <v>45576</v>
      </c>
      <c r="Z309" s="126">
        <v>-0.5</v>
      </c>
      <c r="AA309" s="108">
        <v>45576</v>
      </c>
      <c r="AB309" s="108">
        <v>-0.53</v>
      </c>
      <c r="AC309" s="108">
        <v>45576</v>
      </c>
      <c r="AD309" s="108">
        <v>-0.33</v>
      </c>
    </row>
    <row r="310" spans="1:30">
      <c r="A310" s="99">
        <v>34912</v>
      </c>
      <c r="B310" s="122">
        <v>5.9790217391304354</v>
      </c>
      <c r="C310" s="122">
        <v>177.6217391304348</v>
      </c>
      <c r="D310" s="122">
        <v>26.271304347826081</v>
      </c>
      <c r="E310" s="122">
        <f t="shared" si="48"/>
        <v>0.81849999999999934</v>
      </c>
      <c r="F310" s="121">
        <f t="shared" si="44"/>
        <v>0.42513192148033474</v>
      </c>
      <c r="G310" s="127">
        <f t="shared" si="47"/>
        <v>-5.2352271423681263E-3</v>
      </c>
      <c r="J310" s="122">
        <v>6.02</v>
      </c>
      <c r="K310" s="122">
        <v>166.7</v>
      </c>
      <c r="L310" s="122">
        <v>26.56</v>
      </c>
      <c r="M310" s="122">
        <f t="shared" si="50"/>
        <v>0.56900000000000084</v>
      </c>
      <c r="N310" s="128">
        <f t="shared" si="51"/>
        <v>0.44340567612687815</v>
      </c>
      <c r="O310" s="124">
        <f t="shared" si="45"/>
        <v>4.0978260869564131E-2</v>
      </c>
      <c r="P310" s="124">
        <f t="shared" si="45"/>
        <v>-10.921739130434815</v>
      </c>
      <c r="Q310" s="124">
        <f t="shared" si="46"/>
        <v>0.28869565217391724</v>
      </c>
      <c r="R310" s="124"/>
      <c r="S310" s="124"/>
      <c r="T310" s="124"/>
      <c r="U310" s="119">
        <v>5.83</v>
      </c>
      <c r="V310" s="129">
        <f t="shared" si="49"/>
        <v>-0.14902173913043537</v>
      </c>
      <c r="W310" s="119"/>
      <c r="X310" s="126"/>
      <c r="Y310" s="119">
        <v>45579</v>
      </c>
      <c r="Z310" s="126">
        <v>-0.5</v>
      </c>
      <c r="AA310" s="108">
        <v>45579</v>
      </c>
      <c r="AB310" s="108">
        <v>-0.53</v>
      </c>
      <c r="AC310" s="108">
        <v>45579</v>
      </c>
      <c r="AD310" s="108">
        <v>-0.33</v>
      </c>
    </row>
    <row r="311" spans="1:30">
      <c r="A311" s="99">
        <v>34943</v>
      </c>
      <c r="B311" s="122">
        <v>6.3830000000000009</v>
      </c>
      <c r="C311" s="122">
        <v>191.125</v>
      </c>
      <c r="D311" s="122">
        <v>26.247499999999999</v>
      </c>
      <c r="E311" s="122">
        <f t="shared" si="48"/>
        <v>0.7089749999999988</v>
      </c>
      <c r="F311" s="121">
        <f t="shared" si="44"/>
        <v>0.4071115591919035</v>
      </c>
      <c r="G311" s="127">
        <f t="shared" si="47"/>
        <v>-1.8020362288431235E-2</v>
      </c>
      <c r="J311" s="122">
        <v>6.32</v>
      </c>
      <c r="K311" s="122">
        <v>180.8</v>
      </c>
      <c r="L311" s="122">
        <v>26.2</v>
      </c>
      <c r="M311" s="122">
        <f t="shared" si="50"/>
        <v>0.53960000000000008</v>
      </c>
      <c r="N311" s="128">
        <f t="shared" si="51"/>
        <v>0.42014111610006416</v>
      </c>
      <c r="O311" s="124">
        <f t="shared" si="45"/>
        <v>-6.3000000000000611E-2</v>
      </c>
      <c r="P311" s="124">
        <f t="shared" si="45"/>
        <v>-10.324999999999989</v>
      </c>
      <c r="Q311" s="124">
        <f t="shared" si="46"/>
        <v>-4.7499999999999432E-2</v>
      </c>
      <c r="R311" s="124"/>
      <c r="S311" s="124"/>
      <c r="T311" s="124"/>
      <c r="U311" s="119">
        <v>5.98</v>
      </c>
      <c r="V311" s="129">
        <f t="shared" si="49"/>
        <v>-0.40300000000000047</v>
      </c>
      <c r="W311" s="119"/>
      <c r="X311" s="126"/>
      <c r="Y311" s="119">
        <v>45580</v>
      </c>
      <c r="Z311" s="126">
        <v>-0.48</v>
      </c>
      <c r="AA311" s="108">
        <v>45580</v>
      </c>
      <c r="AB311" s="108">
        <v>-0.5</v>
      </c>
      <c r="AC311" s="108">
        <v>45580</v>
      </c>
      <c r="AD311" s="108">
        <v>-0.33</v>
      </c>
    </row>
    <row r="312" spans="1:30">
      <c r="A312" s="99">
        <v>34973</v>
      </c>
      <c r="B312" s="122">
        <v>6.5580681818181805</v>
      </c>
      <c r="C312" s="122">
        <v>201.05454545454549</v>
      </c>
      <c r="D312" s="122">
        <v>26.734999999999999</v>
      </c>
      <c r="E312" s="122">
        <f t="shared" si="48"/>
        <v>0.80598181818182013</v>
      </c>
      <c r="F312" s="121">
        <f t="shared" si="44"/>
        <v>0.39935225860769541</v>
      </c>
      <c r="G312" s="127">
        <f t="shared" si="47"/>
        <v>-7.7593005842080953E-3</v>
      </c>
      <c r="J312" s="122">
        <v>6.56</v>
      </c>
      <c r="K312" s="122">
        <v>193.92</v>
      </c>
      <c r="L312" s="122">
        <v>26.57</v>
      </c>
      <c r="M312" s="122">
        <f t="shared" si="50"/>
        <v>0.62894000000000005</v>
      </c>
      <c r="N312" s="128">
        <f t="shared" si="51"/>
        <v>0.40655506931480856</v>
      </c>
      <c r="O312" s="124">
        <f t="shared" si="45"/>
        <v>1.9318181818190894E-3</v>
      </c>
      <c r="P312" s="124">
        <f t="shared" si="45"/>
        <v>-7.1345454545455027</v>
      </c>
      <c r="Q312" s="124">
        <f t="shared" si="46"/>
        <v>-0.16499999999999915</v>
      </c>
      <c r="R312" s="124"/>
      <c r="S312" s="124"/>
      <c r="T312" s="124"/>
      <c r="U312" s="119">
        <v>6.16</v>
      </c>
      <c r="V312" s="129">
        <f t="shared" si="49"/>
        <v>-0.39806818181818038</v>
      </c>
      <c r="W312" s="119"/>
      <c r="X312" s="126"/>
      <c r="Y312" s="119">
        <v>45581</v>
      </c>
      <c r="Z312" s="126">
        <v>-0.48</v>
      </c>
      <c r="AA312" s="108">
        <v>45581</v>
      </c>
      <c r="AB312" s="108">
        <v>-0.48</v>
      </c>
      <c r="AC312" s="108">
        <v>45581</v>
      </c>
      <c r="AD312" s="108">
        <v>-0.33</v>
      </c>
    </row>
    <row r="313" spans="1:30">
      <c r="A313" s="99">
        <v>35004</v>
      </c>
      <c r="B313" s="122">
        <v>6.8342857142857163</v>
      </c>
      <c r="C313" s="122">
        <v>209.13809523809519</v>
      </c>
      <c r="D313" s="122">
        <v>25.666190476190472</v>
      </c>
      <c r="E313" s="122">
        <f t="shared" si="48"/>
        <v>0.59003333333332897</v>
      </c>
      <c r="F313" s="121">
        <f t="shared" si="44"/>
        <v>0.38027473419079005</v>
      </c>
      <c r="G313" s="127">
        <f t="shared" si="47"/>
        <v>-1.9077524416905356E-2</v>
      </c>
      <c r="J313" s="122">
        <v>6.86</v>
      </c>
      <c r="K313" s="122">
        <v>204.07</v>
      </c>
      <c r="L313" s="122">
        <v>25.42</v>
      </c>
      <c r="M313" s="122">
        <f t="shared" si="50"/>
        <v>0.42574000000000023</v>
      </c>
      <c r="N313" s="128">
        <f t="shared" si="51"/>
        <v>0.38379080230697227</v>
      </c>
      <c r="O313" s="124">
        <f t="shared" si="45"/>
        <v>2.5714285714284024E-2</v>
      </c>
      <c r="P313" s="124">
        <f t="shared" si="45"/>
        <v>-5.0680952380951965</v>
      </c>
      <c r="Q313" s="124">
        <f t="shared" si="46"/>
        <v>-0.24619047619047052</v>
      </c>
      <c r="R313" s="124"/>
      <c r="S313" s="124"/>
      <c r="T313" s="124"/>
      <c r="U313" s="119">
        <v>6.4</v>
      </c>
      <c r="V313" s="129">
        <f t="shared" si="49"/>
        <v>-0.43428571428571594</v>
      </c>
      <c r="W313" s="119"/>
      <c r="X313" s="126"/>
      <c r="Y313" s="119">
        <v>45582</v>
      </c>
      <c r="Z313" s="126">
        <v>-0.45</v>
      </c>
      <c r="AA313" s="108">
        <v>45582</v>
      </c>
      <c r="AB313" s="108">
        <v>-0.4</v>
      </c>
      <c r="AC313" s="108">
        <v>45582</v>
      </c>
      <c r="AD313" s="108">
        <v>-0.33</v>
      </c>
    </row>
    <row r="314" spans="1:30">
      <c r="A314" s="99">
        <v>35034</v>
      </c>
      <c r="B314" s="122">
        <v>7.1829999999999998</v>
      </c>
      <c r="C314" s="122">
        <v>227.48500000000001</v>
      </c>
      <c r="D314" s="122">
        <v>25.174500000000002</v>
      </c>
      <c r="E314" s="122">
        <f t="shared" si="48"/>
        <v>0.59086500000000086</v>
      </c>
      <c r="F314" s="121">
        <f t="shared" si="44"/>
        <v>0.35621856052298306</v>
      </c>
      <c r="G314" s="127">
        <f t="shared" si="47"/>
        <v>-2.405617366780699E-2</v>
      </c>
      <c r="J314" s="122">
        <v>7.19</v>
      </c>
      <c r="K314" s="122">
        <v>223.6</v>
      </c>
      <c r="L314" s="122">
        <v>24.76</v>
      </c>
      <c r="M314" s="122">
        <f t="shared" si="50"/>
        <v>0.45279999999999987</v>
      </c>
      <c r="N314" s="128">
        <f t="shared" si="51"/>
        <v>0.35636154289004029</v>
      </c>
      <c r="O314" s="124">
        <f t="shared" si="45"/>
        <v>7.0000000000005613E-3</v>
      </c>
      <c r="P314" s="124">
        <f t="shared" si="45"/>
        <v>-3.8850000000000193</v>
      </c>
      <c r="Q314" s="124">
        <f t="shared" si="46"/>
        <v>-0.41450000000000031</v>
      </c>
      <c r="R314" s="124"/>
      <c r="S314" s="124"/>
      <c r="T314" s="124"/>
      <c r="U314" s="119">
        <v>6.76</v>
      </c>
      <c r="V314" s="129">
        <f t="shared" si="49"/>
        <v>-0.42300000000000004</v>
      </c>
      <c r="W314" s="119"/>
      <c r="X314" s="126"/>
      <c r="Y314" s="119">
        <v>45583</v>
      </c>
      <c r="Z314" s="126">
        <v>-0.45</v>
      </c>
      <c r="AA314" s="108">
        <v>45583</v>
      </c>
      <c r="AB314" s="108">
        <v>-0.38</v>
      </c>
      <c r="AC314" s="108">
        <v>45583</v>
      </c>
      <c r="AD314" s="108">
        <v>-0.33</v>
      </c>
    </row>
    <row r="315" spans="1:30">
      <c r="A315" s="99">
        <v>35065</v>
      </c>
      <c r="B315" s="122">
        <v>7.4074999999999998</v>
      </c>
      <c r="C315" s="122">
        <v>236.6</v>
      </c>
      <c r="D315" s="122">
        <v>24.35</v>
      </c>
      <c r="E315" s="122">
        <f t="shared" si="48"/>
        <v>0.47620000000000129</v>
      </c>
      <c r="F315" s="121">
        <f t="shared" si="44"/>
        <v>0.33975163945862979</v>
      </c>
      <c r="G315" s="127">
        <f t="shared" si="47"/>
        <v>-1.6466921064353268E-2</v>
      </c>
      <c r="J315" s="122">
        <v>7.37</v>
      </c>
      <c r="K315" s="122">
        <v>232.05</v>
      </c>
      <c r="L315" s="122">
        <v>23.52</v>
      </c>
      <c r="M315" s="122">
        <f t="shared" si="50"/>
        <v>0.32229999999999936</v>
      </c>
      <c r="N315" s="128">
        <f t="shared" si="51"/>
        <v>0.33633633633633631</v>
      </c>
      <c r="O315" s="124">
        <f t="shared" si="45"/>
        <v>-3.7499999999999645E-2</v>
      </c>
      <c r="P315" s="124">
        <f t="shared" si="45"/>
        <v>-4.5499999999999829</v>
      </c>
      <c r="Q315" s="124">
        <f t="shared" si="46"/>
        <v>-0.83000000000000185</v>
      </c>
      <c r="R315" s="124"/>
      <c r="S315" s="124"/>
      <c r="T315" s="124"/>
      <c r="U315" s="119">
        <v>6.78</v>
      </c>
      <c r="V315" s="129">
        <f t="shared" si="49"/>
        <v>-0.6274999999999995</v>
      </c>
      <c r="W315" s="119"/>
      <c r="X315" s="126"/>
      <c r="Y315" s="119">
        <v>45586</v>
      </c>
      <c r="Z315" s="126">
        <v>-0.4</v>
      </c>
      <c r="AA315" s="108">
        <v>45586</v>
      </c>
      <c r="AB315" s="108">
        <v>-0.35</v>
      </c>
      <c r="AC315" s="108">
        <v>45586</v>
      </c>
      <c r="AD315" s="108">
        <v>-0.33</v>
      </c>
    </row>
    <row r="316" spans="1:30">
      <c r="A316" s="99">
        <v>35096</v>
      </c>
      <c r="B316" s="122">
        <v>7.300250000000001</v>
      </c>
      <c r="C316" s="122">
        <v>230.16</v>
      </c>
      <c r="D316" s="122">
        <v>24.296500000000002</v>
      </c>
      <c r="E316" s="122">
        <f t="shared" si="48"/>
        <v>0.43588499999999986</v>
      </c>
      <c r="F316" s="121">
        <f t="shared" si="44"/>
        <v>0.34547160823848078</v>
      </c>
      <c r="G316" s="127">
        <f t="shared" si="47"/>
        <v>5.7199687798509813E-3</v>
      </c>
      <c r="J316" s="122">
        <v>7.3</v>
      </c>
      <c r="K316" s="122">
        <v>228.29</v>
      </c>
      <c r="L316" s="122">
        <v>23.49</v>
      </c>
      <c r="M316" s="122">
        <f t="shared" si="50"/>
        <v>0.30628000000000011</v>
      </c>
      <c r="N316" s="128">
        <f t="shared" si="51"/>
        <v>0.33970613756001616</v>
      </c>
      <c r="O316" s="124">
        <f t="shared" si="45"/>
        <v>-2.5000000000119371E-4</v>
      </c>
      <c r="P316" s="124">
        <f t="shared" si="45"/>
        <v>-1.8700000000000045</v>
      </c>
      <c r="Q316" s="124">
        <f t="shared" si="46"/>
        <v>-0.80650000000000333</v>
      </c>
      <c r="R316" s="124"/>
      <c r="S316" s="124"/>
      <c r="T316" s="124"/>
      <c r="U316" s="119">
        <v>7</v>
      </c>
      <c r="V316" s="129">
        <f t="shared" si="49"/>
        <v>-0.30025000000000102</v>
      </c>
      <c r="W316" s="119"/>
      <c r="X316" s="126"/>
      <c r="Y316" s="119">
        <v>45587</v>
      </c>
      <c r="Z316" s="126">
        <v>-0.4</v>
      </c>
      <c r="AA316" s="108">
        <v>45587</v>
      </c>
      <c r="AB316" s="108">
        <v>-0.33</v>
      </c>
      <c r="AC316" s="108">
        <v>45587</v>
      </c>
      <c r="AD316" s="108">
        <v>-0.2</v>
      </c>
    </row>
    <row r="317" spans="1:30">
      <c r="A317" s="99">
        <v>35125</v>
      </c>
      <c r="B317" s="122">
        <v>7.2971428571428563</v>
      </c>
      <c r="C317" s="122">
        <v>230.76190476190476</v>
      </c>
      <c r="D317" s="122">
        <v>24.439047619047614</v>
      </c>
      <c r="E317" s="122">
        <f t="shared" si="48"/>
        <v>0.4679142857142855</v>
      </c>
      <c r="F317" s="121">
        <f t="shared" si="44"/>
        <v>0.3462041796521903</v>
      </c>
      <c r="G317" s="127">
        <f t="shared" si="47"/>
        <v>7.3257141370952628E-4</v>
      </c>
      <c r="J317" s="122">
        <v>7.26</v>
      </c>
      <c r="K317" s="122">
        <v>226.57</v>
      </c>
      <c r="L317" s="122">
        <v>23.49</v>
      </c>
      <c r="M317" s="122">
        <f t="shared" si="50"/>
        <v>0.30844000000000005</v>
      </c>
      <c r="N317" s="128">
        <f t="shared" si="51"/>
        <v>0.34140456950177317</v>
      </c>
      <c r="O317" s="124">
        <f t="shared" si="45"/>
        <v>-3.7142857142856478E-2</v>
      </c>
      <c r="P317" s="124">
        <f t="shared" si="45"/>
        <v>-4.191904761904766</v>
      </c>
      <c r="Q317" s="124">
        <f t="shared" si="46"/>
        <v>-0.94904761904761514</v>
      </c>
      <c r="R317" s="124"/>
      <c r="S317" s="124"/>
      <c r="T317" s="124"/>
      <c r="U317" s="119">
        <v>7</v>
      </c>
      <c r="V317" s="129">
        <f t="shared" si="49"/>
        <v>-0.29714285714285626</v>
      </c>
      <c r="W317" s="119"/>
      <c r="X317" s="126"/>
      <c r="Y317" s="119">
        <v>45588</v>
      </c>
      <c r="Z317" s="126">
        <v>-0.4</v>
      </c>
      <c r="AA317" s="108">
        <v>45588</v>
      </c>
      <c r="AB317" s="108">
        <v>-0.32</v>
      </c>
      <c r="AC317" s="108">
        <v>45588</v>
      </c>
      <c r="AD317" s="108">
        <v>-0.2</v>
      </c>
    </row>
    <row r="318" spans="1:30">
      <c r="A318" s="99">
        <v>35156</v>
      </c>
      <c r="B318" s="122">
        <v>7.9028571428571448</v>
      </c>
      <c r="C318" s="122">
        <v>248.92857142857147</v>
      </c>
      <c r="D318" s="122">
        <v>26.33190476190477</v>
      </c>
      <c r="E318" s="122">
        <f t="shared" si="48"/>
        <v>0.47008095238095304</v>
      </c>
      <c r="F318" s="121">
        <f t="shared" si="44"/>
        <v>0.34593705230626787</v>
      </c>
      <c r="G318" s="127">
        <f t="shared" si="47"/>
        <v>-2.6712734592243548E-4</v>
      </c>
      <c r="J318" s="122">
        <v>7.91</v>
      </c>
      <c r="K318" s="122">
        <v>249.33</v>
      </c>
      <c r="L318" s="122">
        <v>25.7</v>
      </c>
      <c r="M318" s="122">
        <f t="shared" si="50"/>
        <v>0.40226000000000006</v>
      </c>
      <c r="N318" s="128">
        <f t="shared" si="51"/>
        <v>0.34010004499378027</v>
      </c>
      <c r="O318" s="124">
        <f t="shared" si="45"/>
        <v>7.1428571428553411E-3</v>
      </c>
      <c r="P318" s="124">
        <f t="shared" si="45"/>
        <v>0.40142857142853927</v>
      </c>
      <c r="Q318" s="124">
        <f t="shared" si="46"/>
        <v>-0.63190476190477085</v>
      </c>
      <c r="R318" s="124"/>
      <c r="S318" s="124"/>
      <c r="T318" s="124"/>
      <c r="U318" s="119">
        <v>7.43</v>
      </c>
      <c r="V318" s="129">
        <f t="shared" si="49"/>
        <v>-0.47285714285714509</v>
      </c>
      <c r="W318" s="119"/>
      <c r="X318" s="126"/>
      <c r="Y318" s="119">
        <v>45589</v>
      </c>
      <c r="Z318" s="126">
        <v>-0.35</v>
      </c>
      <c r="AA318" s="108">
        <v>45589</v>
      </c>
      <c r="AB318" s="108">
        <v>-0.32</v>
      </c>
      <c r="AC318" s="108">
        <v>45589</v>
      </c>
      <c r="AD318" s="108">
        <v>-0.2</v>
      </c>
    </row>
    <row r="319" spans="1:30">
      <c r="A319" s="99">
        <v>35186</v>
      </c>
      <c r="B319" s="122">
        <v>8.0888636363636355</v>
      </c>
      <c r="C319" s="122">
        <v>248.69090909090909</v>
      </c>
      <c r="D319" s="122">
        <v>27.365454545454533</v>
      </c>
      <c r="E319" s="122">
        <f t="shared" si="48"/>
        <v>0.39253636363636346</v>
      </c>
      <c r="F319" s="121">
        <f t="shared" si="44"/>
        <v>0.354917820171198</v>
      </c>
      <c r="G319" s="127">
        <f t="shared" si="47"/>
        <v>8.9807678649301281E-3</v>
      </c>
      <c r="J319" s="122">
        <v>8.08</v>
      </c>
      <c r="K319" s="122">
        <v>244.27</v>
      </c>
      <c r="L319" s="122">
        <v>26.5</v>
      </c>
      <c r="M319" s="122">
        <f t="shared" si="50"/>
        <v>0.20894000000000013</v>
      </c>
      <c r="N319" s="128">
        <f t="shared" si="51"/>
        <v>0.35167343472144807</v>
      </c>
      <c r="O319" s="124">
        <f t="shared" si="45"/>
        <v>-8.8636363636354076E-3</v>
      </c>
      <c r="P319" s="124">
        <f t="shared" si="45"/>
        <v>-4.4209090909090776</v>
      </c>
      <c r="Q319" s="124">
        <f t="shared" si="46"/>
        <v>-0.86545454545453282</v>
      </c>
      <c r="R319" s="124"/>
      <c r="S319" s="124"/>
      <c r="T319" s="124"/>
      <c r="U319" s="119">
        <v>7.69</v>
      </c>
      <c r="V319" s="129">
        <f t="shared" si="49"/>
        <v>-0.39886363636363509</v>
      </c>
      <c r="W319" s="119"/>
      <c r="X319" s="126"/>
      <c r="Y319" s="119">
        <v>45590</v>
      </c>
      <c r="Z319" s="126">
        <v>-0.35</v>
      </c>
      <c r="AA319" s="108">
        <v>45590</v>
      </c>
      <c r="AB319" s="108">
        <v>-0.32</v>
      </c>
      <c r="AC319" s="108">
        <v>45590</v>
      </c>
      <c r="AD319" s="108">
        <v>-0.2</v>
      </c>
    </row>
    <row r="320" spans="1:30">
      <c r="A320" s="99">
        <v>35217</v>
      </c>
      <c r="B320" s="122">
        <v>7.7447499999999989</v>
      </c>
      <c r="C320" s="122">
        <v>239.72</v>
      </c>
      <c r="D320" s="122">
        <v>25.673000000000002</v>
      </c>
      <c r="E320" s="122">
        <f t="shared" si="48"/>
        <v>0.35312000000000143</v>
      </c>
      <c r="F320" s="121">
        <f t="shared" si="44"/>
        <v>0.34873738402814564</v>
      </c>
      <c r="G320" s="127">
        <f t="shared" si="47"/>
        <v>-6.1804361430523591E-3</v>
      </c>
      <c r="J320" s="122">
        <v>7.78</v>
      </c>
      <c r="K320" s="122">
        <v>238.8</v>
      </c>
      <c r="L320" s="122">
        <v>24.95</v>
      </c>
      <c r="M320" s="122">
        <f t="shared" si="50"/>
        <v>0.21810000000000063</v>
      </c>
      <c r="N320" s="128">
        <f t="shared" si="51"/>
        <v>0.34314399669921603</v>
      </c>
      <c r="O320" s="124">
        <f t="shared" si="45"/>
        <v>3.5250000000001336E-2</v>
      </c>
      <c r="P320" s="124">
        <f t="shared" si="45"/>
        <v>-0.91999999999998749</v>
      </c>
      <c r="Q320" s="124">
        <f t="shared" si="46"/>
        <v>-0.72300000000000253</v>
      </c>
      <c r="R320" s="124"/>
      <c r="S320" s="124"/>
      <c r="T320" s="124"/>
      <c r="U320" s="119">
        <v>7.41</v>
      </c>
      <c r="V320" s="129">
        <f t="shared" si="49"/>
        <v>-0.33474999999999877</v>
      </c>
      <c r="W320" s="119"/>
      <c r="X320" s="126"/>
      <c r="Y320" s="119">
        <v>45593</v>
      </c>
      <c r="Z320" s="126">
        <v>-0.35</v>
      </c>
      <c r="AA320" s="108">
        <v>45593</v>
      </c>
      <c r="AB320" s="108">
        <v>-0.32</v>
      </c>
      <c r="AC320" s="108">
        <v>45593</v>
      </c>
      <c r="AD320" s="108">
        <v>-0.2</v>
      </c>
    </row>
    <row r="321" spans="1:30">
      <c r="A321" s="99">
        <v>35247</v>
      </c>
      <c r="B321" s="122">
        <v>7.83590909090909</v>
      </c>
      <c r="C321" s="122">
        <v>245.9818181818182</v>
      </c>
      <c r="D321" s="122">
        <v>25.011363636363637</v>
      </c>
      <c r="E321" s="122">
        <f t="shared" si="48"/>
        <v>0.32694090909091056</v>
      </c>
      <c r="F321" s="121">
        <f t="shared" si="44"/>
        <v>0.33704527217822206</v>
      </c>
      <c r="G321" s="127">
        <f t="shared" si="47"/>
        <v>-1.1692111849923581E-2</v>
      </c>
      <c r="J321" s="122">
        <v>7.95</v>
      </c>
      <c r="K321" s="122">
        <v>252.48</v>
      </c>
      <c r="L321" s="122">
        <v>24.09</v>
      </c>
      <c r="M321" s="122">
        <f t="shared" si="50"/>
        <v>0.25445999999999902</v>
      </c>
      <c r="N321" s="128">
        <f t="shared" si="51"/>
        <v>0.32298286541710247</v>
      </c>
      <c r="O321" s="124">
        <f t="shared" si="45"/>
        <v>0.11409090909091013</v>
      </c>
      <c r="P321" s="124">
        <f t="shared" si="45"/>
        <v>6.4981818181817914</v>
      </c>
      <c r="Q321" s="124">
        <f t="shared" si="46"/>
        <v>-0.92136363636363683</v>
      </c>
      <c r="R321" s="124"/>
      <c r="S321" s="124"/>
      <c r="T321" s="124"/>
      <c r="U321" s="119">
        <v>7.62</v>
      </c>
      <c r="V321" s="129">
        <f t="shared" si="49"/>
        <v>-0.21590909090908994</v>
      </c>
      <c r="W321" s="119"/>
      <c r="X321" s="126"/>
      <c r="Y321" s="119">
        <v>45594</v>
      </c>
      <c r="Z321" s="126">
        <v>-0.35</v>
      </c>
      <c r="AA321" s="108">
        <v>45594</v>
      </c>
      <c r="AB321" s="108">
        <v>-0.34</v>
      </c>
      <c r="AC321" s="108">
        <v>45594</v>
      </c>
      <c r="AD321" s="108">
        <v>-0.2</v>
      </c>
    </row>
    <row r="322" spans="1:30">
      <c r="A322" s="99">
        <v>35278</v>
      </c>
      <c r="B322" s="122">
        <v>7.9053409090909099</v>
      </c>
      <c r="C322" s="122">
        <v>251.98636363636362</v>
      </c>
      <c r="D322" s="122">
        <v>25.12318181818182</v>
      </c>
      <c r="E322" s="122">
        <f t="shared" si="48"/>
        <v>0.40190909090908988</v>
      </c>
      <c r="F322" s="121">
        <f t="shared" si="44"/>
        <v>0.33266724848776674</v>
      </c>
      <c r="G322" s="127">
        <f t="shared" si="47"/>
        <v>-4.3780236904553127E-3</v>
      </c>
      <c r="J322" s="122">
        <v>8.16</v>
      </c>
      <c r="K322" s="122">
        <v>261.19</v>
      </c>
      <c r="L322" s="122">
        <v>23.99</v>
      </c>
      <c r="M322" s="122">
        <f t="shared" si="50"/>
        <v>0.22507999999999839</v>
      </c>
      <c r="N322" s="128">
        <f t="shared" si="51"/>
        <v>0.31471375347641289</v>
      </c>
      <c r="O322" s="124">
        <f t="shared" si="45"/>
        <v>0.25465909090909022</v>
      </c>
      <c r="P322" s="124">
        <f t="shared" si="45"/>
        <v>9.2036363636363774</v>
      </c>
      <c r="Q322" s="124">
        <f t="shared" si="46"/>
        <v>-1.1331818181818214</v>
      </c>
      <c r="R322" s="124"/>
      <c r="S322" s="124"/>
      <c r="T322" s="124"/>
      <c r="U322" s="119">
        <v>7.82</v>
      </c>
      <c r="V322" s="129">
        <f t="shared" si="49"/>
        <v>-8.5340909090909634E-2</v>
      </c>
      <c r="W322" s="119"/>
      <c r="X322" s="126"/>
      <c r="Y322" s="119">
        <v>45595</v>
      </c>
      <c r="Z322" s="126">
        <v>-0.35</v>
      </c>
      <c r="AA322" s="108">
        <v>45595</v>
      </c>
      <c r="AB322" s="108">
        <v>-0.34</v>
      </c>
      <c r="AC322" s="108">
        <v>45595</v>
      </c>
      <c r="AD322" s="108">
        <v>-0.2</v>
      </c>
    </row>
    <row r="323" spans="1:30">
      <c r="A323" s="99">
        <v>35309</v>
      </c>
      <c r="B323" s="122">
        <v>7.9395000000000007</v>
      </c>
      <c r="C323" s="122">
        <v>260.10000000000002</v>
      </c>
      <c r="D323" s="122">
        <v>25.243000000000002</v>
      </c>
      <c r="E323" s="122">
        <f t="shared" si="48"/>
        <v>0.55943000000000076</v>
      </c>
      <c r="F323" s="121">
        <f t="shared" ref="F323:F386" si="52">D323/100*11/(B323+E323)</f>
        <v>0.32671524533088286</v>
      </c>
      <c r="G323" s="127">
        <f t="shared" si="47"/>
        <v>-5.9520031568838783E-3</v>
      </c>
      <c r="J323" s="122">
        <v>8.1999999999999993</v>
      </c>
      <c r="K323" s="122">
        <v>276.36</v>
      </c>
      <c r="L323" s="122">
        <v>23.92</v>
      </c>
      <c r="M323" s="122">
        <f t="shared" si="50"/>
        <v>0.51112000000000002</v>
      </c>
      <c r="N323" s="128">
        <f t="shared" si="51"/>
        <v>0.30205071219315088</v>
      </c>
      <c r="O323" s="124">
        <f t="shared" ref="O323:Q386" si="53">J323-B323</f>
        <v>0.26049999999999862</v>
      </c>
      <c r="P323" s="124">
        <f t="shared" si="53"/>
        <v>16.259999999999991</v>
      </c>
      <c r="Q323" s="124">
        <f t="shared" si="53"/>
        <v>-1.3230000000000004</v>
      </c>
      <c r="R323" s="124"/>
      <c r="S323" s="124"/>
      <c r="T323" s="124"/>
      <c r="U323" s="119">
        <v>7.79</v>
      </c>
      <c r="V323" s="129">
        <f t="shared" si="49"/>
        <v>-0.14950000000000063</v>
      </c>
      <c r="W323" s="119"/>
      <c r="X323" s="126"/>
      <c r="Y323" s="119">
        <v>45596</v>
      </c>
      <c r="Z323" s="126">
        <v>-0.35</v>
      </c>
      <c r="AA323" s="108">
        <v>45596</v>
      </c>
      <c r="AB323" s="108">
        <v>-0.34</v>
      </c>
      <c r="AC323" s="108">
        <v>45596</v>
      </c>
      <c r="AD323" s="108">
        <v>-0.2</v>
      </c>
    </row>
    <row r="324" spans="1:30">
      <c r="A324" s="99">
        <v>35339</v>
      </c>
      <c r="B324" s="122">
        <v>7.07</v>
      </c>
      <c r="C324" s="122">
        <v>233.17826086956521</v>
      </c>
      <c r="D324" s="122">
        <v>23.35478260869565</v>
      </c>
      <c r="E324" s="122">
        <f t="shared" si="48"/>
        <v>0.62894782608695543</v>
      </c>
      <c r="F324" s="121">
        <f t="shared" si="52"/>
        <v>0.33368534830846452</v>
      </c>
      <c r="G324" s="127">
        <f t="shared" ref="G324:G387" si="54">F324-F323</f>
        <v>6.9701029775816603E-3</v>
      </c>
      <c r="J324" s="122">
        <v>7.11</v>
      </c>
      <c r="K324" s="122">
        <v>248.48</v>
      </c>
      <c r="L324" s="122">
        <v>21.95</v>
      </c>
      <c r="M324" s="122">
        <f t="shared" si="50"/>
        <v>0.77105999999999941</v>
      </c>
      <c r="N324" s="128">
        <f t="shared" si="51"/>
        <v>0.30636741758088376</v>
      </c>
      <c r="O324" s="124">
        <f t="shared" si="53"/>
        <v>4.0000000000000036E-2</v>
      </c>
      <c r="P324" s="124">
        <f t="shared" si="53"/>
        <v>15.301739130434783</v>
      </c>
      <c r="Q324" s="124">
        <f t="shared" si="53"/>
        <v>-1.4047826086956512</v>
      </c>
      <c r="R324" s="124"/>
      <c r="S324" s="124"/>
      <c r="T324" s="124"/>
      <c r="U324" s="119">
        <v>6.94</v>
      </c>
      <c r="V324" s="129">
        <f t="shared" si="49"/>
        <v>-0.12999999999999989</v>
      </c>
      <c r="W324" s="119"/>
      <c r="X324" s="126"/>
      <c r="Y324" s="119">
        <v>45597</v>
      </c>
      <c r="Z324" s="126">
        <v>-0.4</v>
      </c>
      <c r="AA324" s="108">
        <v>45597</v>
      </c>
      <c r="AB324" s="108">
        <v>-0.37</v>
      </c>
      <c r="AC324" s="108">
        <v>45597</v>
      </c>
      <c r="AD324" s="108">
        <v>-0.25</v>
      </c>
    </row>
    <row r="325" spans="1:30">
      <c r="A325" s="99">
        <v>35370</v>
      </c>
      <c r="B325" s="122">
        <v>6.9361249999999997</v>
      </c>
      <c r="C325" s="122">
        <v>231.83</v>
      </c>
      <c r="D325" s="122">
        <v>23.133000000000003</v>
      </c>
      <c r="E325" s="122">
        <f t="shared" si="48"/>
        <v>0.70876500000000142</v>
      </c>
      <c r="F325" s="121">
        <f t="shared" si="52"/>
        <v>0.33285371012532555</v>
      </c>
      <c r="G325" s="127">
        <f t="shared" si="54"/>
        <v>-8.3163818313897186E-4</v>
      </c>
      <c r="J325" s="122">
        <v>7.03</v>
      </c>
      <c r="K325" s="122">
        <v>251.47</v>
      </c>
      <c r="L325" s="122">
        <v>21.81</v>
      </c>
      <c r="M325" s="122">
        <f t="shared" si="50"/>
        <v>0.90143999999999913</v>
      </c>
      <c r="N325" s="128">
        <f t="shared" si="51"/>
        <v>0.30247975147009876</v>
      </c>
      <c r="O325" s="124">
        <f t="shared" si="53"/>
        <v>9.3875000000000597E-2</v>
      </c>
      <c r="P325" s="124">
        <f t="shared" si="53"/>
        <v>19.639999999999986</v>
      </c>
      <c r="Q325" s="124">
        <f t="shared" si="53"/>
        <v>-1.323000000000004</v>
      </c>
      <c r="R325" s="124"/>
      <c r="S325" s="124"/>
      <c r="T325" s="124"/>
      <c r="U325" s="119">
        <v>6.9</v>
      </c>
      <c r="V325" s="129">
        <f t="shared" si="49"/>
        <v>-3.6124999999999297E-2</v>
      </c>
      <c r="W325" s="119"/>
      <c r="X325" s="126"/>
      <c r="Y325" s="119">
        <v>45600</v>
      </c>
      <c r="Z325" s="126">
        <v>-0.4</v>
      </c>
      <c r="AA325" s="108">
        <v>45600</v>
      </c>
      <c r="AB325" s="108">
        <v>-0.38</v>
      </c>
      <c r="AC325" s="108">
        <v>45600</v>
      </c>
      <c r="AD325" s="108">
        <v>-0.2</v>
      </c>
    </row>
    <row r="326" spans="1:30">
      <c r="A326" s="99">
        <v>35400</v>
      </c>
      <c r="B326" s="122">
        <v>6.9983333333333331</v>
      </c>
      <c r="C326" s="122">
        <v>226.89523809523811</v>
      </c>
      <c r="D326" s="122">
        <v>23.104761904761901</v>
      </c>
      <c r="E326" s="122">
        <f t="shared" si="48"/>
        <v>0.53488571428571419</v>
      </c>
      <c r="F326" s="121">
        <f t="shared" si="52"/>
        <v>0.33737553540635251</v>
      </c>
      <c r="G326" s="127">
        <f t="shared" si="54"/>
        <v>4.5218252810269588E-3</v>
      </c>
      <c r="J326" s="122">
        <v>7.08</v>
      </c>
      <c r="K326" s="122">
        <v>250.64</v>
      </c>
      <c r="L326" s="122">
        <v>21.61</v>
      </c>
      <c r="M326" s="122">
        <f t="shared" si="50"/>
        <v>0.81118000000000023</v>
      </c>
      <c r="N326" s="128">
        <f t="shared" si="51"/>
        <v>0.3012350497644205</v>
      </c>
      <c r="O326" s="124">
        <f t="shared" si="53"/>
        <v>8.1666666666666998E-2</v>
      </c>
      <c r="P326" s="124">
        <f t="shared" si="53"/>
        <v>23.744761904761873</v>
      </c>
      <c r="Q326" s="124">
        <f t="shared" si="53"/>
        <v>-1.4947619047619014</v>
      </c>
      <c r="R326" s="124"/>
      <c r="S326" s="124"/>
      <c r="T326" s="124"/>
      <c r="U326" s="119">
        <v>6.91</v>
      </c>
      <c r="V326" s="129">
        <f t="shared" si="49"/>
        <v>-8.8333333333332931E-2</v>
      </c>
      <c r="W326" s="119"/>
      <c r="X326" s="126"/>
      <c r="Y326" s="119">
        <v>45601</v>
      </c>
      <c r="Z326" s="126">
        <v>-0.38</v>
      </c>
      <c r="AA326" s="108">
        <v>45601</v>
      </c>
      <c r="AB326" s="108">
        <v>-0.37</v>
      </c>
      <c r="AC326" s="108">
        <v>45601</v>
      </c>
      <c r="AD326" s="108">
        <v>-0.2</v>
      </c>
    </row>
    <row r="327" spans="1:30">
      <c r="A327" s="99">
        <v>35431</v>
      </c>
      <c r="B327" s="122">
        <v>7.3085227272727256</v>
      </c>
      <c r="C327" s="122">
        <v>231.82727272727269</v>
      </c>
      <c r="D327" s="122">
        <v>24.097727272727273</v>
      </c>
      <c r="E327" s="122">
        <f t="shared" si="48"/>
        <v>0.442427272727274</v>
      </c>
      <c r="F327" s="121">
        <f t="shared" si="52"/>
        <v>0.34199033666840839</v>
      </c>
      <c r="G327" s="127">
        <f t="shared" si="54"/>
        <v>4.6148012620558787E-3</v>
      </c>
      <c r="J327" s="122">
        <v>7.37</v>
      </c>
      <c r="K327" s="122">
        <v>249.22</v>
      </c>
      <c r="L327" s="122">
        <v>22.45</v>
      </c>
      <c r="M327" s="122">
        <f t="shared" si="50"/>
        <v>0.58233999999999941</v>
      </c>
      <c r="N327" s="128">
        <f t="shared" si="51"/>
        <v>0.31053752731900297</v>
      </c>
      <c r="O327" s="124">
        <f t="shared" si="53"/>
        <v>6.1477272727274546E-2</v>
      </c>
      <c r="P327" s="124">
        <f t="shared" si="53"/>
        <v>17.392727272727313</v>
      </c>
      <c r="Q327" s="124">
        <f t="shared" si="53"/>
        <v>-1.6477272727272734</v>
      </c>
      <c r="R327" s="124"/>
      <c r="S327" s="124"/>
      <c r="T327" s="124"/>
      <c r="U327" s="119">
        <v>7.13</v>
      </c>
      <c r="V327" s="129">
        <f t="shared" si="49"/>
        <v>-0.17852272727272567</v>
      </c>
      <c r="W327" s="119"/>
      <c r="X327" s="126"/>
      <c r="Y327" s="119">
        <v>45602</v>
      </c>
      <c r="Z327" s="126">
        <v>-0.35</v>
      </c>
      <c r="AA327" s="108">
        <v>45602</v>
      </c>
      <c r="AB327" s="108">
        <v>-0.37</v>
      </c>
      <c r="AC327" s="108">
        <v>45602</v>
      </c>
      <c r="AD327" s="108">
        <v>-0.2</v>
      </c>
    </row>
    <row r="328" spans="1:30">
      <c r="A328" s="99">
        <v>35462</v>
      </c>
      <c r="B328" s="122">
        <v>7.6346052631578951</v>
      </c>
      <c r="C328" s="122">
        <v>248.07368421052635</v>
      </c>
      <c r="D328" s="122">
        <v>23.905263157894741</v>
      </c>
      <c r="E328" s="122">
        <f t="shared" si="48"/>
        <v>0.45259473684210594</v>
      </c>
      <c r="F328" s="121">
        <f t="shared" si="52"/>
        <v>0.32515319855678371</v>
      </c>
      <c r="G328" s="127">
        <f t="shared" si="54"/>
        <v>-1.6837138111624683E-2</v>
      </c>
      <c r="J328" s="122">
        <v>7.69</v>
      </c>
      <c r="K328" s="122">
        <v>262.42</v>
      </c>
      <c r="L328" s="122">
        <v>22.41</v>
      </c>
      <c r="M328" s="122">
        <f t="shared" si="50"/>
        <v>0.54834000000000049</v>
      </c>
      <c r="N328" s="128">
        <f t="shared" si="51"/>
        <v>0.2992229017010708</v>
      </c>
      <c r="O328" s="124">
        <f t="shared" si="53"/>
        <v>5.5394736842105274E-2</v>
      </c>
      <c r="P328" s="124">
        <f t="shared" si="53"/>
        <v>14.346315789473664</v>
      </c>
      <c r="Q328" s="124">
        <f t="shared" si="53"/>
        <v>-1.4952631578947404</v>
      </c>
      <c r="R328" s="124"/>
      <c r="S328" s="124"/>
      <c r="T328" s="124"/>
      <c r="U328" s="119">
        <v>7.38</v>
      </c>
      <c r="V328" s="129">
        <f t="shared" si="49"/>
        <v>-0.25460526315789522</v>
      </c>
      <c r="W328" s="119"/>
      <c r="X328" s="126"/>
      <c r="Y328" s="119">
        <v>45603</v>
      </c>
      <c r="Z328" s="126">
        <v>-0.35</v>
      </c>
      <c r="AA328" s="108">
        <v>45603</v>
      </c>
      <c r="AB328" s="108">
        <v>-0.33</v>
      </c>
      <c r="AC328" s="108">
        <v>45603</v>
      </c>
      <c r="AD328" s="108">
        <v>-0.2</v>
      </c>
    </row>
    <row r="329" spans="1:30">
      <c r="A329" s="99">
        <v>35490</v>
      </c>
      <c r="B329" s="122">
        <v>8.3558750000000011</v>
      </c>
      <c r="C329" s="122">
        <v>271.065</v>
      </c>
      <c r="D329" s="122">
        <v>24.918499999999998</v>
      </c>
      <c r="E329" s="122">
        <f t="shared" si="48"/>
        <v>0.34858999999999796</v>
      </c>
      <c r="F329" s="121">
        <f t="shared" si="52"/>
        <v>0.31489988184224998</v>
      </c>
      <c r="G329" s="127">
        <f t="shared" si="54"/>
        <v>-1.0253316714533722E-2</v>
      </c>
      <c r="J329" s="122">
        <v>8.33</v>
      </c>
      <c r="K329" s="122">
        <v>280.52</v>
      </c>
      <c r="L329" s="122">
        <v>23.29</v>
      </c>
      <c r="M329" s="122">
        <f t="shared" si="50"/>
        <v>0.40334000000000003</v>
      </c>
      <c r="N329" s="128">
        <f t="shared" si="51"/>
        <v>0.29334710431518757</v>
      </c>
      <c r="O329" s="124">
        <f t="shared" si="53"/>
        <v>-2.5875000000000981E-2</v>
      </c>
      <c r="P329" s="124">
        <f t="shared" si="53"/>
        <v>9.4549999999999841</v>
      </c>
      <c r="Q329" s="124">
        <f t="shared" si="53"/>
        <v>-1.6284999999999989</v>
      </c>
      <c r="R329" s="124"/>
      <c r="S329" s="124"/>
      <c r="T329" s="124"/>
      <c r="U329" s="119">
        <v>7.97</v>
      </c>
      <c r="V329" s="129">
        <f t="shared" si="49"/>
        <v>-0.3858750000000013</v>
      </c>
      <c r="W329" s="119"/>
      <c r="X329" s="126"/>
      <c r="Y329" s="119">
        <v>45604</v>
      </c>
      <c r="Z329" s="126">
        <v>-0.35</v>
      </c>
      <c r="AA329" s="108">
        <v>45604</v>
      </c>
      <c r="AB329" s="108">
        <v>-0.33</v>
      </c>
      <c r="AC329" s="108">
        <v>45604</v>
      </c>
      <c r="AD329" s="108">
        <v>-0.2</v>
      </c>
    </row>
    <row r="330" spans="1:30">
      <c r="A330" s="99">
        <v>35521</v>
      </c>
      <c r="B330" s="122">
        <v>8.5272727272727291</v>
      </c>
      <c r="C330" s="122">
        <v>280.61818181818182</v>
      </c>
      <c r="D330" s="122">
        <v>24.359545454545458</v>
      </c>
      <c r="E330" s="122">
        <f t="shared" si="48"/>
        <v>0.32587727272727207</v>
      </c>
      <c r="F330" s="121">
        <f t="shared" si="52"/>
        <v>0.30266628262256934</v>
      </c>
      <c r="G330" s="127">
        <f t="shared" si="54"/>
        <v>-1.2233599219680646E-2</v>
      </c>
      <c r="J330" s="122">
        <v>8.5399999999999991</v>
      </c>
      <c r="K330" s="122">
        <v>288.57</v>
      </c>
      <c r="L330" s="122">
        <v>23.17</v>
      </c>
      <c r="M330" s="122">
        <f t="shared" si="50"/>
        <v>0.35724000000000089</v>
      </c>
      <c r="N330" s="128">
        <f t="shared" si="51"/>
        <v>0.28645962118589585</v>
      </c>
      <c r="O330" s="124">
        <f t="shared" si="53"/>
        <v>1.2727272727270034E-2</v>
      </c>
      <c r="P330" s="124">
        <f t="shared" si="53"/>
        <v>7.9518181818181688</v>
      </c>
      <c r="Q330" s="124">
        <f t="shared" si="53"/>
        <v>-1.1895454545454562</v>
      </c>
      <c r="R330" s="124"/>
      <c r="S330" s="124"/>
      <c r="T330" s="124"/>
      <c r="U330" s="119">
        <v>8.23</v>
      </c>
      <c r="V330" s="129">
        <f t="shared" si="49"/>
        <v>-0.29727272727272869</v>
      </c>
      <c r="W330" s="119"/>
      <c r="X330" s="126"/>
      <c r="Y330" s="119">
        <v>45607</v>
      </c>
      <c r="Z330" s="126">
        <v>-0.35</v>
      </c>
      <c r="AA330" s="108">
        <v>45607</v>
      </c>
      <c r="AB330" s="108">
        <v>-0.33</v>
      </c>
      <c r="AC330" s="108">
        <v>45607</v>
      </c>
      <c r="AD330" s="108">
        <v>-0.18</v>
      </c>
    </row>
    <row r="331" spans="1:30">
      <c r="A331" s="99">
        <v>35551</v>
      </c>
      <c r="B331" s="122">
        <v>8.6713095238095246</v>
      </c>
      <c r="C331" s="122">
        <v>287.45714285714291</v>
      </c>
      <c r="D331" s="122">
        <v>24.174285714285713</v>
      </c>
      <c r="E331" s="122">
        <f t="shared" si="48"/>
        <v>0.31191904761904787</v>
      </c>
      <c r="F331" s="121">
        <f t="shared" si="52"/>
        <v>0.29601511387887897</v>
      </c>
      <c r="G331" s="127">
        <f t="shared" si="54"/>
        <v>-6.6511687436903721E-3</v>
      </c>
      <c r="J331" s="122">
        <v>8.7799999999999994</v>
      </c>
      <c r="K331" s="122">
        <v>306.39</v>
      </c>
      <c r="L331" s="122">
        <v>23.68</v>
      </c>
      <c r="M331" s="122">
        <f t="shared" si="50"/>
        <v>0.56537999999999933</v>
      </c>
      <c r="N331" s="128">
        <f t="shared" si="51"/>
        <v>0.27872595870900918</v>
      </c>
      <c r="O331" s="124">
        <f t="shared" si="53"/>
        <v>0.10869047619047478</v>
      </c>
      <c r="P331" s="124">
        <f t="shared" si="53"/>
        <v>18.932857142857074</v>
      </c>
      <c r="Q331" s="124">
        <f t="shared" si="53"/>
        <v>-0.49428571428571288</v>
      </c>
      <c r="R331" s="124"/>
      <c r="S331" s="124"/>
      <c r="T331" s="124"/>
      <c r="U331" s="119">
        <v>8.4</v>
      </c>
      <c r="V331" s="129">
        <f t="shared" si="49"/>
        <v>-0.27130952380952422</v>
      </c>
      <c r="W331" s="119"/>
      <c r="X331" s="126"/>
      <c r="Y331" s="119">
        <v>45608</v>
      </c>
      <c r="Z331" s="126">
        <v>-0.35</v>
      </c>
      <c r="AA331" s="108">
        <v>45608</v>
      </c>
      <c r="AB331" s="108">
        <v>-0.33</v>
      </c>
      <c r="AC331" s="108">
        <v>45608</v>
      </c>
      <c r="AD331" s="108">
        <v>-0.18</v>
      </c>
    </row>
    <row r="332" spans="1:30">
      <c r="A332" s="99">
        <v>35582</v>
      </c>
      <c r="B332" s="122">
        <v>8.2939285714285713</v>
      </c>
      <c r="C332" s="122">
        <v>272.7523809523808</v>
      </c>
      <c r="D332" s="122">
        <v>23.038095238095238</v>
      </c>
      <c r="E332" s="122">
        <f t="shared" si="48"/>
        <v>0.24081428571428276</v>
      </c>
      <c r="F332" s="121">
        <f t="shared" si="52"/>
        <v>0.29692640054990926</v>
      </c>
      <c r="G332" s="127">
        <f t="shared" si="54"/>
        <v>9.1128667103029803E-4</v>
      </c>
      <c r="J332" s="122">
        <v>8.3699999999999992</v>
      </c>
      <c r="K332" s="122">
        <v>287.89999999999998</v>
      </c>
      <c r="L332" s="122">
        <v>22.97</v>
      </c>
      <c r="M332" s="122">
        <f t="shared" si="50"/>
        <v>0.49050000000000082</v>
      </c>
      <c r="N332" s="128">
        <f t="shared" si="51"/>
        <v>0.28516449410304157</v>
      </c>
      <c r="O332" s="124">
        <f t="shared" si="53"/>
        <v>7.6071428571427901E-2</v>
      </c>
      <c r="P332" s="124">
        <f t="shared" si="53"/>
        <v>15.147619047619173</v>
      </c>
      <c r="Q332" s="124">
        <f t="shared" si="53"/>
        <v>-6.8095238095239097E-2</v>
      </c>
      <c r="R332" s="124"/>
      <c r="S332" s="124"/>
      <c r="T332" s="124"/>
      <c r="U332" s="119">
        <v>8.16</v>
      </c>
      <c r="V332" s="129">
        <f t="shared" si="49"/>
        <v>-0.13392857142857117</v>
      </c>
      <c r="W332" s="119"/>
      <c r="X332" s="126"/>
      <c r="Y332" s="119">
        <v>45609</v>
      </c>
      <c r="Z332" s="126">
        <v>-0.35</v>
      </c>
      <c r="AA332" s="108">
        <v>45609</v>
      </c>
      <c r="AB332" s="108">
        <v>-0.32</v>
      </c>
      <c r="AC332" s="108">
        <v>45609</v>
      </c>
      <c r="AD332" s="108">
        <v>-0.18</v>
      </c>
    </row>
    <row r="333" spans="1:30">
      <c r="A333" s="99">
        <v>35612</v>
      </c>
      <c r="B333" s="122">
        <v>7.3855681818181802</v>
      </c>
      <c r="C333" s="122">
        <v>243.44545454545451</v>
      </c>
      <c r="D333" s="122">
        <v>21.985454545454544</v>
      </c>
      <c r="E333" s="122">
        <f t="shared" si="48"/>
        <v>0.38863181818181847</v>
      </c>
      <c r="F333" s="121">
        <f t="shared" si="52"/>
        <v>0.31108023976743587</v>
      </c>
      <c r="G333" s="127">
        <f t="shared" si="54"/>
        <v>1.4153839217526609E-2</v>
      </c>
      <c r="J333" s="122">
        <v>7.69</v>
      </c>
      <c r="K333" s="122">
        <v>273.56</v>
      </c>
      <c r="L333" s="122">
        <v>21.89</v>
      </c>
      <c r="M333" s="122">
        <f t="shared" si="50"/>
        <v>0.73622000000000032</v>
      </c>
      <c r="N333" s="128">
        <f t="shared" si="51"/>
        <v>0.28576277381791598</v>
      </c>
      <c r="O333" s="124">
        <f t="shared" si="53"/>
        <v>0.30443181818182019</v>
      </c>
      <c r="P333" s="124">
        <f t="shared" si="53"/>
        <v>30.114545454545492</v>
      </c>
      <c r="Q333" s="124">
        <f t="shared" si="53"/>
        <v>-9.5454545454543904E-2</v>
      </c>
      <c r="R333" s="124"/>
      <c r="S333" s="124"/>
      <c r="T333" s="124"/>
      <c r="U333" s="119">
        <v>7.52</v>
      </c>
      <c r="V333" s="129">
        <f t="shared" si="49"/>
        <v>0.13443181818181937</v>
      </c>
      <c r="W333" s="119"/>
      <c r="X333" s="126"/>
      <c r="Y333" s="119">
        <v>45610</v>
      </c>
      <c r="Z333" s="126">
        <v>-0.35</v>
      </c>
      <c r="AA333" s="108">
        <v>45610</v>
      </c>
      <c r="AB333" s="108">
        <v>-0.32</v>
      </c>
      <c r="AC333" s="108">
        <v>45610</v>
      </c>
      <c r="AD333" s="108">
        <v>-0.18</v>
      </c>
    </row>
    <row r="334" spans="1:30">
      <c r="A334" s="99">
        <v>35643</v>
      </c>
      <c r="B334" s="122">
        <v>6.6173809523809508</v>
      </c>
      <c r="C334" s="122">
        <v>235.18095238095233</v>
      </c>
      <c r="D334" s="122">
        <v>22.301904761904762</v>
      </c>
      <c r="E334" s="122">
        <f t="shared" si="48"/>
        <v>1.0098095238095244</v>
      </c>
      <c r="F334" s="121">
        <f t="shared" si="52"/>
        <v>0.32163999725293596</v>
      </c>
      <c r="G334" s="127">
        <f t="shared" si="54"/>
        <v>1.0559757485500088E-2</v>
      </c>
      <c r="J334" s="122">
        <v>7.41</v>
      </c>
      <c r="K334" s="122">
        <v>273.32</v>
      </c>
      <c r="L334" s="122">
        <v>22.07</v>
      </c>
      <c r="M334" s="122">
        <f t="shared" si="50"/>
        <v>1.0307399999999998</v>
      </c>
      <c r="N334" s="128">
        <f t="shared" si="51"/>
        <v>0.2876169624938098</v>
      </c>
      <c r="O334" s="124">
        <f t="shared" si="53"/>
        <v>0.79261904761904933</v>
      </c>
      <c r="P334" s="124">
        <f t="shared" si="53"/>
        <v>38.139047619047659</v>
      </c>
      <c r="Q334" s="124">
        <f t="shared" si="53"/>
        <v>-0.23190476190476161</v>
      </c>
      <c r="R334" s="124"/>
      <c r="S334" s="124"/>
      <c r="T334" s="124"/>
      <c r="U334" s="119">
        <v>7.25</v>
      </c>
      <c r="V334" s="129">
        <f t="shared" si="49"/>
        <v>0.63261904761904919</v>
      </c>
      <c r="W334" s="119"/>
      <c r="X334" s="126"/>
      <c r="Y334" s="119">
        <v>45611</v>
      </c>
      <c r="Z334" s="126">
        <v>-0.35</v>
      </c>
      <c r="AA334" s="108">
        <v>45611</v>
      </c>
      <c r="AB334" s="108">
        <v>-0.32</v>
      </c>
      <c r="AC334" s="108">
        <v>45611</v>
      </c>
      <c r="AD334" s="108">
        <v>-0.25</v>
      </c>
    </row>
    <row r="335" spans="1:30">
      <c r="A335" s="99">
        <v>35674</v>
      </c>
      <c r="B335" s="122">
        <v>6.3688095238095226</v>
      </c>
      <c r="C335" s="122">
        <v>225.1142857142857</v>
      </c>
      <c r="D335" s="122">
        <v>23.19</v>
      </c>
      <c r="E335" s="122">
        <f t="shared" si="48"/>
        <v>1.1346047619047637</v>
      </c>
      <c r="F335" s="121">
        <f t="shared" si="52"/>
        <v>0.3399652348740288</v>
      </c>
      <c r="G335" s="127">
        <f t="shared" si="54"/>
        <v>1.8325237621092838E-2</v>
      </c>
      <c r="J335" s="122">
        <v>7.03</v>
      </c>
      <c r="K335" s="122">
        <v>278.29000000000002</v>
      </c>
      <c r="L335" s="122">
        <v>22.88</v>
      </c>
      <c r="M335" s="122">
        <f t="shared" si="50"/>
        <v>1.6091799999999994</v>
      </c>
      <c r="N335" s="128">
        <f t="shared" si="51"/>
        <v>0.29132394509664111</v>
      </c>
      <c r="O335" s="124">
        <f t="shared" si="53"/>
        <v>0.66119047619047766</v>
      </c>
      <c r="P335" s="124">
        <f t="shared" si="53"/>
        <v>53.175714285714321</v>
      </c>
      <c r="Q335" s="124">
        <f t="shared" si="53"/>
        <v>-0.31000000000000227</v>
      </c>
      <c r="R335" s="124"/>
      <c r="S335" s="124"/>
      <c r="T335" s="124"/>
      <c r="U335" s="119">
        <v>6.72</v>
      </c>
      <c r="V335" s="129">
        <f t="shared" si="49"/>
        <v>0.35119047619047716</v>
      </c>
      <c r="W335" s="119"/>
      <c r="X335" s="126"/>
      <c r="Y335" s="119">
        <v>45614</v>
      </c>
      <c r="Z335" s="126">
        <v>-0.35</v>
      </c>
      <c r="AA335" s="108">
        <v>45614</v>
      </c>
      <c r="AB335" s="108">
        <v>-0.32</v>
      </c>
      <c r="AC335" s="108">
        <v>45614</v>
      </c>
      <c r="AD335" s="108">
        <v>-0.25</v>
      </c>
    </row>
    <row r="336" spans="1:30">
      <c r="A336" s="99">
        <v>35704</v>
      </c>
      <c r="B336" s="122">
        <v>6.8239130434782593</v>
      </c>
      <c r="C336" s="122">
        <v>219.32608695652178</v>
      </c>
      <c r="D336" s="122">
        <v>24.79304347826087</v>
      </c>
      <c r="E336" s="122">
        <f t="shared" si="48"/>
        <v>0.72849565217391632</v>
      </c>
      <c r="F336" s="121">
        <f t="shared" si="52"/>
        <v>0.36110794483073061</v>
      </c>
      <c r="G336" s="127">
        <f t="shared" si="54"/>
        <v>2.1142709956701811E-2</v>
      </c>
      <c r="J336" s="122">
        <v>6.84</v>
      </c>
      <c r="K336" s="122">
        <v>229.28</v>
      </c>
      <c r="L336" s="122">
        <v>24.32</v>
      </c>
      <c r="M336" s="122">
        <f t="shared" si="50"/>
        <v>0.87936000000000014</v>
      </c>
      <c r="N336" s="128">
        <f t="shared" si="51"/>
        <v>0.34655722754217966</v>
      </c>
      <c r="O336" s="124">
        <f t="shared" si="53"/>
        <v>1.6086956521740525E-2</v>
      </c>
      <c r="P336" s="124">
        <f t="shared" si="53"/>
        <v>9.9539130434782237</v>
      </c>
      <c r="Q336" s="124">
        <f t="shared" si="53"/>
        <v>-0.47304347826086968</v>
      </c>
      <c r="R336" s="124"/>
      <c r="S336" s="124"/>
      <c r="T336" s="124"/>
      <c r="U336" s="119">
        <v>6.49</v>
      </c>
      <c r="V336" s="129">
        <f t="shared" si="49"/>
        <v>-0.33391304347825912</v>
      </c>
      <c r="W336" s="119"/>
      <c r="X336" s="126"/>
      <c r="Y336" s="119">
        <v>45615</v>
      </c>
      <c r="Z336" s="126">
        <v>-0.35</v>
      </c>
      <c r="AA336" s="108">
        <v>45615</v>
      </c>
      <c r="AB336" s="108">
        <v>-0.32</v>
      </c>
      <c r="AC336" s="108">
        <v>45615</v>
      </c>
      <c r="AD336" s="108">
        <v>-0.25</v>
      </c>
    </row>
    <row r="337" spans="1:30">
      <c r="A337" s="99">
        <v>35735</v>
      </c>
      <c r="B337" s="122">
        <v>7.2193421052631592</v>
      </c>
      <c r="C337" s="122">
        <v>235.58421052631576</v>
      </c>
      <c r="D337" s="122">
        <v>25.66</v>
      </c>
      <c r="E337" s="122">
        <f t="shared" si="48"/>
        <v>0.78611052631578815</v>
      </c>
      <c r="F337" s="121">
        <f t="shared" si="52"/>
        <v>0.35258468570106166</v>
      </c>
      <c r="G337" s="127">
        <f t="shared" si="54"/>
        <v>-8.5232591296689475E-3</v>
      </c>
      <c r="J337" s="122">
        <v>7.27</v>
      </c>
      <c r="K337" s="122">
        <v>245.34</v>
      </c>
      <c r="L337" s="122">
        <v>25.73</v>
      </c>
      <c r="M337" s="122">
        <f t="shared" si="50"/>
        <v>0.95777999999999963</v>
      </c>
      <c r="N337" s="128">
        <f t="shared" si="51"/>
        <v>0.34399315489718985</v>
      </c>
      <c r="O337" s="124">
        <f t="shared" si="53"/>
        <v>5.0657894736840348E-2</v>
      </c>
      <c r="P337" s="124">
        <f t="shared" si="53"/>
        <v>9.7557894736842456</v>
      </c>
      <c r="Q337" s="124">
        <f t="shared" si="53"/>
        <v>7.0000000000000284E-2</v>
      </c>
      <c r="R337" s="124"/>
      <c r="S337" s="124"/>
      <c r="T337" s="124"/>
      <c r="U337" s="119">
        <v>6.86</v>
      </c>
      <c r="V337" s="129">
        <f t="shared" si="49"/>
        <v>-0.35934210526315891</v>
      </c>
      <c r="W337" s="119"/>
      <c r="X337" s="126"/>
      <c r="Y337" s="119">
        <v>45616</v>
      </c>
      <c r="Z337" s="126">
        <v>-0.35</v>
      </c>
      <c r="AA337" s="108">
        <v>45616</v>
      </c>
      <c r="AB337" s="108">
        <v>-0.32</v>
      </c>
      <c r="AC337" s="108">
        <v>45616</v>
      </c>
      <c r="AD337" s="108">
        <v>-0.25</v>
      </c>
    </row>
    <row r="338" spans="1:30">
      <c r="A338" s="99">
        <v>35765</v>
      </c>
      <c r="B338" s="122">
        <v>6.9281818181818204</v>
      </c>
      <c r="C338" s="122">
        <v>214.61363636363637</v>
      </c>
      <c r="D338" s="122">
        <v>24.943636363636358</v>
      </c>
      <c r="E338" s="122">
        <f t="shared" si="48"/>
        <v>0.53711818181817872</v>
      </c>
      <c r="F338" s="121">
        <f t="shared" si="52"/>
        <v>0.36754048732134004</v>
      </c>
      <c r="G338" s="127">
        <f t="shared" si="54"/>
        <v>1.4955801620278375E-2</v>
      </c>
      <c r="J338" s="122">
        <v>6.99</v>
      </c>
      <c r="K338" s="122">
        <v>225.5</v>
      </c>
      <c r="L338" s="122">
        <v>25.08</v>
      </c>
      <c r="M338" s="122">
        <f t="shared" si="50"/>
        <v>0.72979999999999912</v>
      </c>
      <c r="N338" s="128">
        <f t="shared" si="51"/>
        <v>0.35736677115987459</v>
      </c>
      <c r="O338" s="124">
        <f t="shared" si="53"/>
        <v>6.1818181818179774E-2</v>
      </c>
      <c r="P338" s="124">
        <f t="shared" si="53"/>
        <v>10.886363636363626</v>
      </c>
      <c r="Q338" s="124">
        <f t="shared" si="53"/>
        <v>0.13636363636364024</v>
      </c>
      <c r="R338" s="124"/>
      <c r="S338" s="124"/>
      <c r="T338" s="124"/>
      <c r="U338" s="119">
        <v>6.72</v>
      </c>
      <c r="V338" s="129">
        <f t="shared" si="49"/>
        <v>-0.20818181818182069</v>
      </c>
      <c r="W338" s="119"/>
      <c r="X338" s="126"/>
      <c r="Y338" s="119">
        <v>45617</v>
      </c>
      <c r="Z338" s="126">
        <v>-0.35</v>
      </c>
      <c r="AA338" s="108">
        <v>45617</v>
      </c>
      <c r="AB338" s="108">
        <v>-0.32</v>
      </c>
      <c r="AC338" s="108">
        <v>45617</v>
      </c>
      <c r="AD338" s="108">
        <v>-0.25</v>
      </c>
    </row>
    <row r="339" spans="1:30">
      <c r="A339" s="99">
        <v>35796</v>
      </c>
      <c r="B339" s="122">
        <v>6.7143750000000004</v>
      </c>
      <c r="C339" s="122">
        <v>195.87</v>
      </c>
      <c r="D339" s="122">
        <v>25.159500000000001</v>
      </c>
      <c r="E339" s="122">
        <f t="shared" ref="E339:E402" si="55">(C339/2000*44)+(D339/100*11)-B339</f>
        <v>0.36230999999999991</v>
      </c>
      <c r="F339" s="121">
        <f t="shared" si="52"/>
        <v>0.39107929772202665</v>
      </c>
      <c r="G339" s="127">
        <f t="shared" si="54"/>
        <v>2.3538810400686616E-2</v>
      </c>
      <c r="J339" s="122">
        <v>6.79</v>
      </c>
      <c r="K339" s="122">
        <v>202.79</v>
      </c>
      <c r="L339" s="122">
        <v>25.1</v>
      </c>
      <c r="M339" s="122">
        <f t="shared" si="50"/>
        <v>0.43238000000000021</v>
      </c>
      <c r="N339" s="128">
        <f t="shared" si="51"/>
        <v>0.38228395625818634</v>
      </c>
      <c r="O339" s="124">
        <f t="shared" si="53"/>
        <v>7.5624999999999609E-2</v>
      </c>
      <c r="P339" s="124">
        <f t="shared" si="53"/>
        <v>6.9199999999999875</v>
      </c>
      <c r="Q339" s="124">
        <f t="shared" si="53"/>
        <v>-5.9499999999999886E-2</v>
      </c>
      <c r="R339" s="124"/>
      <c r="S339" s="124"/>
      <c r="T339" s="124"/>
      <c r="U339" s="119">
        <v>6.69</v>
      </c>
      <c r="V339" s="129">
        <f t="shared" si="49"/>
        <v>-2.4375000000000036E-2</v>
      </c>
      <c r="W339" s="119"/>
      <c r="X339" s="126"/>
      <c r="Y339" s="119">
        <v>45618</v>
      </c>
      <c r="Z339" s="126">
        <v>-0.35</v>
      </c>
      <c r="AA339" s="108">
        <v>45618</v>
      </c>
      <c r="AB339" s="108">
        <v>-0.28999999999999998</v>
      </c>
      <c r="AC339" s="108">
        <v>45618</v>
      </c>
      <c r="AD339" s="108">
        <v>-0.25</v>
      </c>
    </row>
    <row r="340" spans="1:30">
      <c r="A340" s="99">
        <v>35827</v>
      </c>
      <c r="B340" s="122">
        <v>6.7332894736842119</v>
      </c>
      <c r="C340" s="122">
        <v>187.89473684210532</v>
      </c>
      <c r="D340" s="122">
        <v>26.374210526315789</v>
      </c>
      <c r="E340" s="122">
        <f t="shared" si="55"/>
        <v>0.3015578947368418</v>
      </c>
      <c r="F340" s="121">
        <f t="shared" si="52"/>
        <v>0.41239887746788351</v>
      </c>
      <c r="G340" s="127">
        <f t="shared" si="54"/>
        <v>2.1319579745856854E-2</v>
      </c>
      <c r="J340" s="122">
        <v>6.8</v>
      </c>
      <c r="K340" s="122">
        <v>192.75</v>
      </c>
      <c r="L340" s="122">
        <v>26.51</v>
      </c>
      <c r="M340" s="122">
        <f t="shared" si="50"/>
        <v>0.35660000000000025</v>
      </c>
      <c r="N340" s="128">
        <f t="shared" si="51"/>
        <v>0.40747002766676915</v>
      </c>
      <c r="O340" s="124">
        <f t="shared" si="53"/>
        <v>6.6710526315787888E-2</v>
      </c>
      <c r="P340" s="124">
        <f t="shared" si="53"/>
        <v>4.855263157894683</v>
      </c>
      <c r="Q340" s="124">
        <f t="shared" si="53"/>
        <v>0.13578947368421268</v>
      </c>
      <c r="R340" s="124"/>
      <c r="S340" s="124"/>
      <c r="T340" s="124"/>
      <c r="U340" s="119">
        <v>6.57</v>
      </c>
      <c r="V340" s="129">
        <f t="shared" si="49"/>
        <v>-0.16328947368421165</v>
      </c>
      <c r="W340" s="119"/>
      <c r="X340" s="126"/>
      <c r="Y340" s="119">
        <v>45621</v>
      </c>
      <c r="Z340" s="126">
        <v>-0.35</v>
      </c>
      <c r="AA340" s="108">
        <v>45621</v>
      </c>
      <c r="AB340" s="108">
        <v>-0.28999999999999998</v>
      </c>
      <c r="AC340" s="108">
        <v>45621</v>
      </c>
      <c r="AD340" s="108">
        <v>-0.25</v>
      </c>
    </row>
    <row r="341" spans="1:30">
      <c r="A341" s="99">
        <v>35855</v>
      </c>
      <c r="B341" s="122">
        <v>6.5572727272727267</v>
      </c>
      <c r="C341" s="122">
        <v>172.90909090909091</v>
      </c>
      <c r="D341" s="122">
        <v>27.213636363636365</v>
      </c>
      <c r="E341" s="122">
        <f t="shared" si="55"/>
        <v>0.24022727272727273</v>
      </c>
      <c r="F341" s="121">
        <f t="shared" si="52"/>
        <v>0.44038249356381026</v>
      </c>
      <c r="G341" s="127">
        <f t="shared" si="54"/>
        <v>2.7983616095926755E-2</v>
      </c>
      <c r="J341" s="122">
        <v>6.62</v>
      </c>
      <c r="K341" s="122">
        <v>174.2</v>
      </c>
      <c r="L341" s="122">
        <v>27.09</v>
      </c>
      <c r="M341" s="122">
        <f t="shared" si="50"/>
        <v>0.19229999999999947</v>
      </c>
      <c r="N341" s="128">
        <f t="shared" si="51"/>
        <v>0.43742935572420472</v>
      </c>
      <c r="O341" s="124">
        <f t="shared" si="53"/>
        <v>6.2727272727273409E-2</v>
      </c>
      <c r="P341" s="124">
        <f t="shared" si="53"/>
        <v>1.2909090909090821</v>
      </c>
      <c r="Q341" s="124">
        <f t="shared" si="53"/>
        <v>-0.12363636363636488</v>
      </c>
      <c r="R341" s="124"/>
      <c r="S341" s="124"/>
      <c r="T341" s="124"/>
      <c r="U341" s="119">
        <v>6.4</v>
      </c>
      <c r="V341" s="129">
        <f t="shared" si="49"/>
        <v>-0.15727272727272634</v>
      </c>
      <c r="W341" s="119"/>
      <c r="X341" s="126"/>
      <c r="Y341" s="119">
        <v>45622</v>
      </c>
      <c r="Z341" s="126">
        <v>-0.35</v>
      </c>
      <c r="AA341" s="108">
        <v>45622</v>
      </c>
      <c r="AB341" s="108">
        <v>-0.28999999999999998</v>
      </c>
      <c r="AC341" s="108">
        <v>45622</v>
      </c>
      <c r="AD341" s="108">
        <v>-0.25</v>
      </c>
    </row>
    <row r="342" spans="1:30">
      <c r="A342" s="99">
        <v>35886</v>
      </c>
      <c r="B342" s="122">
        <v>6.397261904761903</v>
      </c>
      <c r="C342" s="122">
        <v>160.10476190476189</v>
      </c>
      <c r="D342" s="122">
        <v>27.861904761904764</v>
      </c>
      <c r="E342" s="122">
        <f t="shared" si="55"/>
        <v>0.18985238095238266</v>
      </c>
      <c r="F342" s="121">
        <f t="shared" si="52"/>
        <v>0.46527347042638806</v>
      </c>
      <c r="G342" s="127">
        <f t="shared" si="54"/>
        <v>2.4890976862577796E-2</v>
      </c>
      <c r="J342" s="122">
        <v>6.49</v>
      </c>
      <c r="K342" s="122">
        <v>162.51</v>
      </c>
      <c r="L342" s="122">
        <v>28.09</v>
      </c>
      <c r="M342" s="122">
        <f t="shared" si="50"/>
        <v>0.17511999999999972</v>
      </c>
      <c r="N342" s="128">
        <f t="shared" si="51"/>
        <v>0.46359255347240558</v>
      </c>
      <c r="O342" s="124">
        <f t="shared" si="53"/>
        <v>9.2738095238097173E-2</v>
      </c>
      <c r="P342" s="124">
        <f t="shared" si="53"/>
        <v>2.4052380952381043</v>
      </c>
      <c r="Q342" s="124">
        <f t="shared" si="53"/>
        <v>0.22809523809523569</v>
      </c>
      <c r="R342" s="124"/>
      <c r="S342" s="124"/>
      <c r="T342" s="124"/>
      <c r="U342" s="119">
        <v>6.26</v>
      </c>
      <c r="V342" s="129">
        <f t="shared" si="49"/>
        <v>-0.13726190476190325</v>
      </c>
      <c r="W342" s="119"/>
      <c r="X342" s="126"/>
      <c r="Y342" s="119">
        <v>45623</v>
      </c>
      <c r="Z342" s="126">
        <v>-0.35</v>
      </c>
      <c r="AA342" s="108">
        <v>45623</v>
      </c>
      <c r="AB342" s="108">
        <v>-0.28999999999999998</v>
      </c>
      <c r="AC342" s="108">
        <v>45623</v>
      </c>
      <c r="AD342" s="108">
        <v>-0.25</v>
      </c>
    </row>
    <row r="343" spans="1:30">
      <c r="A343" s="99">
        <v>35916</v>
      </c>
      <c r="B343" s="122">
        <v>6.388374999999999</v>
      </c>
      <c r="C343" s="122">
        <v>158.005</v>
      </c>
      <c r="D343" s="122">
        <v>28.155499999999996</v>
      </c>
      <c r="E343" s="122">
        <f t="shared" si="55"/>
        <v>0.18484000000000034</v>
      </c>
      <c r="F343" s="121">
        <f t="shared" si="52"/>
        <v>0.47117050028030422</v>
      </c>
      <c r="G343" s="127">
        <f t="shared" si="54"/>
        <v>5.8970298539161581E-3</v>
      </c>
      <c r="J343" s="122">
        <v>6.49</v>
      </c>
      <c r="K343" s="122">
        <v>160.03</v>
      </c>
      <c r="L343" s="122">
        <v>28.28</v>
      </c>
      <c r="M343" s="122">
        <f t="shared" si="50"/>
        <v>0.14146000000000036</v>
      </c>
      <c r="N343" s="128">
        <f t="shared" si="51"/>
        <v>0.46909730285638451</v>
      </c>
      <c r="O343" s="124">
        <f t="shared" si="53"/>
        <v>0.10162500000000119</v>
      </c>
      <c r="P343" s="124">
        <f t="shared" si="53"/>
        <v>2.0250000000000057</v>
      </c>
      <c r="Q343" s="124">
        <f t="shared" si="53"/>
        <v>0.12450000000000472</v>
      </c>
      <c r="R343" s="124"/>
      <c r="S343" s="124"/>
      <c r="T343" s="124"/>
      <c r="U343" s="119">
        <v>6.26</v>
      </c>
      <c r="V343" s="129">
        <f t="shared" si="49"/>
        <v>-0.12837499999999924</v>
      </c>
      <c r="W343" s="119"/>
      <c r="X343" s="126"/>
      <c r="Y343" s="119">
        <v>45625</v>
      </c>
      <c r="Z343" s="126">
        <v>-0.35</v>
      </c>
      <c r="AA343" s="108">
        <v>45625</v>
      </c>
      <c r="AB343" s="108">
        <v>-0.28999999999999998</v>
      </c>
      <c r="AC343" s="108">
        <v>45625</v>
      </c>
      <c r="AD343" s="108">
        <v>-0.25</v>
      </c>
    </row>
    <row r="344" spans="1:30">
      <c r="A344" s="99">
        <v>35947</v>
      </c>
      <c r="B344" s="122">
        <v>6.2896590909090913</v>
      </c>
      <c r="C344" s="122">
        <v>161.86363636363637</v>
      </c>
      <c r="D344" s="122">
        <v>25.634545454545457</v>
      </c>
      <c r="E344" s="122">
        <f t="shared" si="55"/>
        <v>9.1140909090909439E-2</v>
      </c>
      <c r="F344" s="121">
        <f t="shared" si="52"/>
        <v>0.44191950852557665</v>
      </c>
      <c r="G344" s="127">
        <f t="shared" si="54"/>
        <v>-2.9250991754727562E-2</v>
      </c>
      <c r="J344" s="122">
        <v>6.4</v>
      </c>
      <c r="K344" s="122">
        <v>168.55</v>
      </c>
      <c r="L344" s="122">
        <v>25.83</v>
      </c>
      <c r="M344" s="122">
        <f t="shared" si="50"/>
        <v>0.14939999999999909</v>
      </c>
      <c r="N344" s="128">
        <f t="shared" si="51"/>
        <v>0.43382599932818272</v>
      </c>
      <c r="O344" s="124">
        <f t="shared" si="53"/>
        <v>0.1103409090909091</v>
      </c>
      <c r="P344" s="124">
        <f t="shared" si="53"/>
        <v>6.6863636363636374</v>
      </c>
      <c r="Q344" s="124">
        <f t="shared" si="53"/>
        <v>0.19545454545454177</v>
      </c>
      <c r="R344" s="124"/>
      <c r="S344" s="124"/>
      <c r="T344" s="124"/>
      <c r="U344" s="119">
        <v>6.16</v>
      </c>
      <c r="V344" s="129">
        <f t="shared" si="49"/>
        <v>-0.12965909090909111</v>
      </c>
      <c r="W344" s="119"/>
      <c r="X344" s="126"/>
      <c r="Y344" s="119">
        <v>45628</v>
      </c>
      <c r="Z344" s="126">
        <v>-0.23</v>
      </c>
      <c r="AA344" s="108">
        <v>45628</v>
      </c>
      <c r="AB344" s="108">
        <v>-0.3</v>
      </c>
      <c r="AC344" s="108">
        <v>45628</v>
      </c>
      <c r="AD344" s="108">
        <v>-0.33</v>
      </c>
    </row>
    <row r="345" spans="1:30">
      <c r="A345" s="99">
        <v>35977</v>
      </c>
      <c r="B345" s="122">
        <v>6.1977272727272741</v>
      </c>
      <c r="C345" s="122">
        <v>162.44999999999999</v>
      </c>
      <c r="D345" s="122">
        <v>24.78863636363636</v>
      </c>
      <c r="E345" s="122">
        <f t="shared" si="55"/>
        <v>0.10292272727272511</v>
      </c>
      <c r="F345" s="121">
        <f t="shared" si="52"/>
        <v>0.43277280915461103</v>
      </c>
      <c r="G345" s="127">
        <f t="shared" si="54"/>
        <v>-9.1466993709656275E-3</v>
      </c>
      <c r="J345" s="122">
        <v>6.4</v>
      </c>
      <c r="K345" s="122">
        <v>183.43</v>
      </c>
      <c r="L345" s="122">
        <v>24.88</v>
      </c>
      <c r="M345" s="122">
        <f t="shared" si="50"/>
        <v>0.3722600000000007</v>
      </c>
      <c r="N345" s="128">
        <f t="shared" si="51"/>
        <v>0.40411915667738685</v>
      </c>
      <c r="O345" s="124">
        <f t="shared" si="53"/>
        <v>0.20227272727272627</v>
      </c>
      <c r="P345" s="124">
        <f t="shared" si="53"/>
        <v>20.980000000000018</v>
      </c>
      <c r="Q345" s="124">
        <f t="shared" si="53"/>
        <v>9.1363636363638534E-2</v>
      </c>
      <c r="R345" s="124"/>
      <c r="S345" s="124"/>
      <c r="T345" s="124"/>
      <c r="U345" s="119">
        <v>6.14</v>
      </c>
      <c r="V345" s="129">
        <f t="shared" si="49"/>
        <v>-5.7727272727274404E-2</v>
      </c>
      <c r="W345" s="119"/>
      <c r="X345" s="126"/>
      <c r="Y345" s="119">
        <v>45629</v>
      </c>
      <c r="Z345" s="126">
        <v>-0.28000000000000003</v>
      </c>
      <c r="AA345" s="108">
        <v>45629</v>
      </c>
      <c r="AB345" s="108">
        <v>-0.3</v>
      </c>
      <c r="AC345" s="108">
        <v>45629</v>
      </c>
      <c r="AD345" s="108">
        <v>-0.33</v>
      </c>
    </row>
    <row r="346" spans="1:30">
      <c r="A346" s="99">
        <v>36008</v>
      </c>
      <c r="B346" s="122">
        <v>5.3634523809523795</v>
      </c>
      <c r="C346" s="122">
        <v>137.25238095238097</v>
      </c>
      <c r="D346" s="122">
        <v>23.759523809523806</v>
      </c>
      <c r="E346" s="122">
        <f t="shared" si="55"/>
        <v>0.26964761904762113</v>
      </c>
      <c r="F346" s="121">
        <f t="shared" si="52"/>
        <v>0.46396258171302096</v>
      </c>
      <c r="G346" s="127">
        <f t="shared" si="54"/>
        <v>3.1189772558409934E-2</v>
      </c>
      <c r="J346" s="122">
        <v>5.57</v>
      </c>
      <c r="K346" s="122">
        <v>146.25</v>
      </c>
      <c r="L346" s="122">
        <v>24</v>
      </c>
      <c r="M346" s="122">
        <f t="shared" si="50"/>
        <v>0.28749999999999964</v>
      </c>
      <c r="N346" s="128">
        <f t="shared" si="51"/>
        <v>0.45070422535211263</v>
      </c>
      <c r="O346" s="124">
        <f t="shared" si="53"/>
        <v>0.20654761904762076</v>
      </c>
      <c r="P346" s="124">
        <f t="shared" si="53"/>
        <v>8.9976190476190254</v>
      </c>
      <c r="Q346" s="124">
        <f t="shared" si="53"/>
        <v>0.24047619047619406</v>
      </c>
      <c r="R346" s="124"/>
      <c r="S346" s="124"/>
      <c r="T346" s="124"/>
      <c r="U346" s="119">
        <v>5.43</v>
      </c>
      <c r="V346" s="129">
        <f t="shared" si="49"/>
        <v>6.6547619047620188E-2</v>
      </c>
      <c r="W346" s="119"/>
      <c r="X346" s="126"/>
      <c r="Y346" s="119">
        <v>45630</v>
      </c>
      <c r="Z346" s="126">
        <v>-0.28000000000000003</v>
      </c>
      <c r="AA346" s="108">
        <v>45630</v>
      </c>
      <c r="AB346" s="108">
        <v>-0.3</v>
      </c>
      <c r="AC346" s="108">
        <v>45630</v>
      </c>
      <c r="AD346" s="108">
        <v>-0.33</v>
      </c>
    </row>
    <row r="347" spans="1:30">
      <c r="A347" s="99">
        <v>36039</v>
      </c>
      <c r="B347" s="122">
        <v>5.2504761904761903</v>
      </c>
      <c r="C347" s="122">
        <v>128.80000000000001</v>
      </c>
      <c r="D347" s="122">
        <v>24.751904761904761</v>
      </c>
      <c r="E347" s="122">
        <f t="shared" si="55"/>
        <v>0.30583333333333407</v>
      </c>
      <c r="F347" s="121">
        <f t="shared" si="52"/>
        <v>0.49002121140702326</v>
      </c>
      <c r="G347" s="127">
        <f t="shared" si="54"/>
        <v>2.60586296940023E-2</v>
      </c>
      <c r="J347" s="122">
        <v>5.33</v>
      </c>
      <c r="K347" s="122">
        <v>135.83000000000001</v>
      </c>
      <c r="L347" s="122">
        <v>25.14</v>
      </c>
      <c r="M347" s="122">
        <f t="shared" si="50"/>
        <v>0.42365999999999993</v>
      </c>
      <c r="N347" s="128">
        <f t="shared" si="51"/>
        <v>0.48063319695637213</v>
      </c>
      <c r="O347" s="124">
        <f t="shared" si="53"/>
        <v>7.9523809523809774E-2</v>
      </c>
      <c r="P347" s="124">
        <f t="shared" si="53"/>
        <v>7.0300000000000011</v>
      </c>
      <c r="Q347" s="124">
        <f t="shared" si="53"/>
        <v>0.38809523809523938</v>
      </c>
      <c r="R347" s="124"/>
      <c r="S347" s="124"/>
      <c r="T347" s="124"/>
      <c r="U347" s="119">
        <v>5.25</v>
      </c>
      <c r="V347" s="129">
        <f t="shared" ref="V347:V410" si="56">U347-B347</f>
        <v>-4.7619047619029686E-4</v>
      </c>
      <c r="W347" s="119"/>
      <c r="X347" s="126"/>
      <c r="Y347" s="119">
        <v>45631</v>
      </c>
      <c r="Z347" s="126">
        <v>-0.23</v>
      </c>
      <c r="AA347" s="108">
        <v>45631</v>
      </c>
      <c r="AB347" s="108">
        <v>-0.3</v>
      </c>
      <c r="AC347" s="108">
        <v>45631</v>
      </c>
      <c r="AD347" s="108">
        <v>-0.33</v>
      </c>
    </row>
    <row r="348" spans="1:30">
      <c r="A348" s="99">
        <v>36069</v>
      </c>
      <c r="B348" s="122">
        <v>5.4632954545454551</v>
      </c>
      <c r="C348" s="122">
        <v>139.01818181818183</v>
      </c>
      <c r="D348" s="122">
        <v>24.63045454545454</v>
      </c>
      <c r="E348" s="122">
        <f t="shared" si="55"/>
        <v>0.30445454545454442</v>
      </c>
      <c r="F348" s="121">
        <f t="shared" si="52"/>
        <v>0.46974123358328634</v>
      </c>
      <c r="G348" s="127">
        <f t="shared" si="54"/>
        <v>-2.0279977823736917E-2</v>
      </c>
      <c r="J348" s="122">
        <v>5.36</v>
      </c>
      <c r="K348" s="122">
        <v>135.69999999999999</v>
      </c>
      <c r="L348" s="122">
        <v>25.21</v>
      </c>
      <c r="M348" s="122">
        <f t="shared" si="50"/>
        <v>0.39849999999999941</v>
      </c>
      <c r="N348" s="128">
        <f t="shared" si="51"/>
        <v>0.48156638013371539</v>
      </c>
      <c r="O348" s="124">
        <f t="shared" si="53"/>
        <v>-0.10329545454545475</v>
      </c>
      <c r="P348" s="124">
        <f t="shared" si="53"/>
        <v>-3.3181818181818414</v>
      </c>
      <c r="Q348" s="124">
        <f t="shared" si="53"/>
        <v>0.57954545454546036</v>
      </c>
      <c r="R348" s="124"/>
      <c r="S348" s="124"/>
      <c r="T348" s="124"/>
      <c r="U348" s="119">
        <v>5.18</v>
      </c>
      <c r="V348" s="129">
        <f t="shared" si="56"/>
        <v>-0.28329545454545535</v>
      </c>
      <c r="W348" s="119"/>
      <c r="X348" s="126"/>
      <c r="Y348" s="119">
        <v>45632</v>
      </c>
      <c r="Z348" s="126">
        <v>-0.23</v>
      </c>
      <c r="AA348" s="108">
        <v>45632</v>
      </c>
      <c r="AB348" s="108">
        <v>-0.3</v>
      </c>
      <c r="AC348" s="108">
        <v>45632</v>
      </c>
      <c r="AD348" s="108">
        <v>-0.33</v>
      </c>
    </row>
    <row r="349" spans="1:30">
      <c r="A349" s="99">
        <v>36100</v>
      </c>
      <c r="B349" s="122">
        <v>5.761000000000001</v>
      </c>
      <c r="C349" s="122">
        <v>145.44</v>
      </c>
      <c r="D349" s="122">
        <v>24.758000000000003</v>
      </c>
      <c r="E349" s="122">
        <f t="shared" si="55"/>
        <v>0.16205999999999854</v>
      </c>
      <c r="F349" s="121">
        <f t="shared" si="52"/>
        <v>0.45979274226497796</v>
      </c>
      <c r="G349" s="127">
        <f t="shared" si="54"/>
        <v>-9.9484913183083834E-3</v>
      </c>
      <c r="J349" s="122">
        <v>5.72</v>
      </c>
      <c r="K349" s="122">
        <v>144.44999999999999</v>
      </c>
      <c r="L349" s="122">
        <v>25.21</v>
      </c>
      <c r="M349" s="122">
        <f t="shared" si="50"/>
        <v>0.23099999999999987</v>
      </c>
      <c r="N349" s="128">
        <f t="shared" si="51"/>
        <v>0.46598890942698706</v>
      </c>
      <c r="O349" s="124">
        <f t="shared" si="53"/>
        <v>-4.1000000000001258E-2</v>
      </c>
      <c r="P349" s="124">
        <f t="shared" si="53"/>
        <v>-0.99000000000000909</v>
      </c>
      <c r="Q349" s="124">
        <f t="shared" si="53"/>
        <v>0.45199999999999818</v>
      </c>
      <c r="R349" s="124"/>
      <c r="S349" s="124"/>
      <c r="T349" s="124"/>
      <c r="U349" s="119">
        <v>5.39</v>
      </c>
      <c r="V349" s="129">
        <f t="shared" si="56"/>
        <v>-0.37100000000000133</v>
      </c>
      <c r="W349" s="119"/>
      <c r="X349" s="126"/>
      <c r="Y349" s="119">
        <v>45635</v>
      </c>
      <c r="Z349" s="126">
        <v>-0.23</v>
      </c>
      <c r="AA349" s="108">
        <v>45635</v>
      </c>
      <c r="AB349" s="108">
        <v>-0.3</v>
      </c>
      <c r="AC349" s="108">
        <v>45635</v>
      </c>
      <c r="AD349" s="108">
        <v>-0.35</v>
      </c>
    </row>
    <row r="350" spans="1:30">
      <c r="A350" s="99">
        <v>36130</v>
      </c>
      <c r="B350" s="122">
        <v>5.5760227272727283</v>
      </c>
      <c r="C350" s="122">
        <v>145.3590909090909</v>
      </c>
      <c r="D350" s="122">
        <v>23.805</v>
      </c>
      <c r="E350" s="122">
        <f t="shared" si="55"/>
        <v>0.24042727272727138</v>
      </c>
      <c r="F350" s="121">
        <f t="shared" si="52"/>
        <v>0.45019728528569836</v>
      </c>
      <c r="G350" s="127">
        <f t="shared" si="54"/>
        <v>-9.5954569792796041E-3</v>
      </c>
      <c r="J350" s="122">
        <v>5.58</v>
      </c>
      <c r="K350" s="122">
        <v>146.41</v>
      </c>
      <c r="L350" s="122">
        <v>23.99</v>
      </c>
      <c r="M350" s="122">
        <f t="shared" si="50"/>
        <v>0.27991999999999884</v>
      </c>
      <c r="N350" s="128">
        <f t="shared" si="51"/>
        <v>0.45033037993692748</v>
      </c>
      <c r="O350" s="124">
        <f t="shared" si="53"/>
        <v>3.9772727272717745E-3</v>
      </c>
      <c r="P350" s="124">
        <f t="shared" si="53"/>
        <v>1.0509090909091015</v>
      </c>
      <c r="Q350" s="124">
        <f t="shared" si="53"/>
        <v>0.18499999999999872</v>
      </c>
      <c r="R350" s="124"/>
      <c r="S350" s="124"/>
      <c r="T350" s="124"/>
      <c r="U350" s="119">
        <v>5.37</v>
      </c>
      <c r="V350" s="129">
        <f t="shared" si="56"/>
        <v>-0.20602272727272819</v>
      </c>
      <c r="W350" s="119"/>
      <c r="X350" s="126"/>
      <c r="Y350" s="119">
        <v>45636</v>
      </c>
      <c r="Z350" s="126">
        <v>-0.23</v>
      </c>
      <c r="AA350" s="108">
        <v>45636</v>
      </c>
      <c r="AB350" s="108">
        <v>-0.3</v>
      </c>
      <c r="AC350" s="108">
        <v>45636</v>
      </c>
      <c r="AD350" s="108">
        <v>-0.35</v>
      </c>
    </row>
    <row r="351" spans="1:30">
      <c r="A351" s="99">
        <v>36161</v>
      </c>
      <c r="B351" s="122">
        <v>5.3215789473684199</v>
      </c>
      <c r="C351" s="122">
        <v>135.1684210526316</v>
      </c>
      <c r="D351" s="122">
        <v>23.042631578947372</v>
      </c>
      <c r="E351" s="122">
        <f t="shared" si="55"/>
        <v>0.1868157894736866</v>
      </c>
      <c r="F351" s="121">
        <f t="shared" si="52"/>
        <v>0.46015029691523468</v>
      </c>
      <c r="G351" s="127">
        <f t="shared" si="54"/>
        <v>9.9530116295363236E-3</v>
      </c>
      <c r="J351" s="122">
        <v>5.32</v>
      </c>
      <c r="K351" s="122">
        <v>138.82</v>
      </c>
      <c r="L351" s="122">
        <v>22.88</v>
      </c>
      <c r="M351" s="122">
        <f t="shared" si="50"/>
        <v>0.25084000000000017</v>
      </c>
      <c r="N351" s="128">
        <f t="shared" si="51"/>
        <v>0.45178105994787138</v>
      </c>
      <c r="O351" s="124">
        <f t="shared" si="53"/>
        <v>-1.5789473684195698E-3</v>
      </c>
      <c r="P351" s="124">
        <f t="shared" si="53"/>
        <v>3.6515789473683924</v>
      </c>
      <c r="Q351" s="124">
        <f t="shared" si="53"/>
        <v>-0.1626315789473729</v>
      </c>
      <c r="R351" s="124"/>
      <c r="S351" s="124"/>
      <c r="T351" s="124"/>
      <c r="U351" s="119">
        <v>5.32</v>
      </c>
      <c r="V351" s="129">
        <f t="shared" si="56"/>
        <v>-1.5789473684195698E-3</v>
      </c>
      <c r="W351" s="119"/>
      <c r="X351" s="126"/>
      <c r="Y351" s="119">
        <v>45637</v>
      </c>
      <c r="Z351" s="126">
        <v>-0.23</v>
      </c>
      <c r="AA351" s="108">
        <v>45637</v>
      </c>
      <c r="AB351" s="108">
        <v>-0.33</v>
      </c>
      <c r="AC351" s="108">
        <v>45637</v>
      </c>
      <c r="AD351" s="108">
        <v>-0.35</v>
      </c>
    </row>
    <row r="352" spans="1:30">
      <c r="A352" s="99">
        <v>36192</v>
      </c>
      <c r="B352" s="122">
        <v>4.8892105263157895</v>
      </c>
      <c r="C352" s="122">
        <v>129.77894736842103</v>
      </c>
      <c r="D352" s="122">
        <v>20.098421052631576</v>
      </c>
      <c r="E352" s="122">
        <f t="shared" si="55"/>
        <v>0.17675263157894605</v>
      </c>
      <c r="F352" s="121">
        <f t="shared" si="52"/>
        <v>0.43640789458647145</v>
      </c>
      <c r="G352" s="127">
        <f t="shared" si="54"/>
        <v>-2.3742402328763235E-2</v>
      </c>
      <c r="J352" s="122">
        <v>4.9000000000000004</v>
      </c>
      <c r="K352" s="122">
        <v>132.32</v>
      </c>
      <c r="L352" s="122">
        <v>19.96</v>
      </c>
      <c r="M352" s="122">
        <f t="shared" si="50"/>
        <v>0.20663999999999927</v>
      </c>
      <c r="N352" s="128">
        <f t="shared" si="51"/>
        <v>0.42995002584869896</v>
      </c>
      <c r="O352" s="124">
        <f t="shared" si="53"/>
        <v>1.0789473684210904E-2</v>
      </c>
      <c r="P352" s="124">
        <f t="shared" si="53"/>
        <v>2.5410526315789639</v>
      </c>
      <c r="Q352" s="124">
        <f t="shared" si="53"/>
        <v>-0.13842105263157478</v>
      </c>
      <c r="R352" s="124"/>
      <c r="S352" s="124"/>
      <c r="T352" s="124"/>
      <c r="U352" s="119">
        <v>4.8</v>
      </c>
      <c r="V352" s="129">
        <f t="shared" si="56"/>
        <v>-8.9210526315789629E-2</v>
      </c>
      <c r="W352" s="119"/>
      <c r="X352" s="126"/>
      <c r="Y352" s="119">
        <v>45638</v>
      </c>
      <c r="Z352" s="126">
        <v>-0.23</v>
      </c>
      <c r="AA352" s="108">
        <v>45638</v>
      </c>
      <c r="AB352" s="108">
        <v>-0.3</v>
      </c>
      <c r="AC352" s="108">
        <v>45638</v>
      </c>
      <c r="AD352" s="108">
        <v>-0.35</v>
      </c>
    </row>
    <row r="353" spans="1:30">
      <c r="A353" s="99">
        <v>36220</v>
      </c>
      <c r="B353" s="122">
        <v>4.813478260869565</v>
      </c>
      <c r="C353" s="122">
        <v>132.5</v>
      </c>
      <c r="D353" s="122">
        <v>18.813913043478262</v>
      </c>
      <c r="E353" s="122">
        <f t="shared" si="55"/>
        <v>0.17105217391304439</v>
      </c>
      <c r="F353" s="121">
        <f t="shared" si="52"/>
        <v>0.41519065072633415</v>
      </c>
      <c r="G353" s="127">
        <f t="shared" si="54"/>
        <v>-2.1217243860137291E-2</v>
      </c>
      <c r="J353" s="122">
        <v>4.75</v>
      </c>
      <c r="K353" s="122">
        <v>133</v>
      </c>
      <c r="L353" s="122">
        <v>18.54</v>
      </c>
      <c r="M353" s="122">
        <f t="shared" si="50"/>
        <v>0.21539999999999981</v>
      </c>
      <c r="N353" s="128">
        <f t="shared" si="51"/>
        <v>0.41072219760744344</v>
      </c>
      <c r="O353" s="124">
        <f t="shared" si="53"/>
        <v>-6.3478260869564984E-2</v>
      </c>
      <c r="P353" s="124">
        <f t="shared" si="53"/>
        <v>0.5</v>
      </c>
      <c r="Q353" s="124">
        <f t="shared" si="53"/>
        <v>-0.27391304347826306</v>
      </c>
      <c r="R353" s="124"/>
      <c r="S353" s="124"/>
      <c r="T353" s="124"/>
      <c r="U353" s="119">
        <v>4.6100000000000003</v>
      </c>
      <c r="V353" s="129">
        <f t="shared" si="56"/>
        <v>-0.20347826086956466</v>
      </c>
      <c r="W353" s="119"/>
      <c r="X353" s="126"/>
      <c r="Y353" s="119">
        <v>45639</v>
      </c>
      <c r="Z353" s="126">
        <v>-0.23</v>
      </c>
      <c r="AA353" s="108">
        <v>45639</v>
      </c>
      <c r="AB353" s="108">
        <v>-0.3</v>
      </c>
      <c r="AC353" s="108">
        <v>45639</v>
      </c>
      <c r="AD353" s="108">
        <v>-0.35</v>
      </c>
    </row>
    <row r="354" spans="1:30">
      <c r="A354" s="99">
        <v>36251</v>
      </c>
      <c r="B354" s="122">
        <v>4.8310714285714296</v>
      </c>
      <c r="C354" s="122">
        <v>132.90952380952382</v>
      </c>
      <c r="D354" s="122">
        <v>19.124285714285708</v>
      </c>
      <c r="E354" s="122">
        <f t="shared" si="55"/>
        <v>0.19660952380952157</v>
      </c>
      <c r="F354" s="121">
        <f t="shared" si="52"/>
        <v>0.41841784482668803</v>
      </c>
      <c r="G354" s="127">
        <f t="shared" si="54"/>
        <v>3.2271941003538807E-3</v>
      </c>
      <c r="J354" s="122">
        <v>4.8</v>
      </c>
      <c r="K354" s="122">
        <v>134.51</v>
      </c>
      <c r="L354" s="122">
        <v>18.78</v>
      </c>
      <c r="M354" s="122">
        <f t="shared" si="50"/>
        <v>0.22501999999999978</v>
      </c>
      <c r="N354" s="128">
        <f t="shared" si="51"/>
        <v>0.41110284138172593</v>
      </c>
      <c r="O354" s="124">
        <f t="shared" si="53"/>
        <v>-3.1071428571429749E-2</v>
      </c>
      <c r="P354" s="124">
        <f t="shared" si="53"/>
        <v>1.6004761904761722</v>
      </c>
      <c r="Q354" s="124">
        <f t="shared" si="53"/>
        <v>-0.3442857142857072</v>
      </c>
      <c r="R354" s="124"/>
      <c r="S354" s="124"/>
      <c r="T354" s="124"/>
      <c r="U354" s="119">
        <v>4.63</v>
      </c>
      <c r="V354" s="129">
        <f t="shared" si="56"/>
        <v>-0.20107142857142968</v>
      </c>
      <c r="W354" s="119"/>
      <c r="X354" s="126"/>
      <c r="Y354" s="119">
        <v>45642</v>
      </c>
      <c r="Z354" s="126">
        <v>-0.23</v>
      </c>
      <c r="AA354" s="108">
        <v>45642</v>
      </c>
      <c r="AB354" s="108">
        <v>-0.3</v>
      </c>
      <c r="AC354" s="108">
        <v>45642</v>
      </c>
      <c r="AD354" s="108">
        <v>-0.35</v>
      </c>
    </row>
    <row r="355" spans="1:30">
      <c r="A355" s="99">
        <v>36281</v>
      </c>
      <c r="B355" s="122">
        <v>4.715374999999999</v>
      </c>
      <c r="C355" s="122">
        <v>132.16999999999999</v>
      </c>
      <c r="D355" s="122">
        <v>18.332999999999998</v>
      </c>
      <c r="E355" s="122">
        <f t="shared" si="55"/>
        <v>0.20899500000000071</v>
      </c>
      <c r="F355" s="121">
        <f t="shared" si="52"/>
        <v>0.40952040565595199</v>
      </c>
      <c r="G355" s="127">
        <f t="shared" si="54"/>
        <v>-8.8974391707360434E-3</v>
      </c>
      <c r="J355" s="122">
        <v>4.68</v>
      </c>
      <c r="K355" s="122">
        <v>133.19999999999999</v>
      </c>
      <c r="L355" s="122">
        <v>17.850000000000001</v>
      </c>
      <c r="M355" s="122">
        <f t="shared" si="50"/>
        <v>0.21390000000000065</v>
      </c>
      <c r="N355" s="128">
        <f t="shared" si="51"/>
        <v>0.40121375590020231</v>
      </c>
      <c r="O355" s="124">
        <f t="shared" si="53"/>
        <v>-3.5374999999999268E-2</v>
      </c>
      <c r="P355" s="124">
        <f t="shared" si="53"/>
        <v>1.0300000000000011</v>
      </c>
      <c r="Q355" s="124">
        <f t="shared" si="53"/>
        <v>-0.48299999999999699</v>
      </c>
      <c r="R355" s="124"/>
      <c r="S355" s="124"/>
      <c r="T355" s="124"/>
      <c r="U355" s="119">
        <v>4.5</v>
      </c>
      <c r="V355" s="129">
        <f t="shared" si="56"/>
        <v>-0.21537499999999898</v>
      </c>
      <c r="W355" s="119"/>
      <c r="X355" s="126"/>
      <c r="Y355" s="119">
        <v>45643</v>
      </c>
      <c r="Z355" s="126">
        <v>-0.23</v>
      </c>
      <c r="AA355" s="108">
        <v>45643</v>
      </c>
      <c r="AB355" s="108">
        <v>-0.3</v>
      </c>
      <c r="AC355" s="108">
        <v>45643</v>
      </c>
      <c r="AD355" s="108">
        <v>-0.35</v>
      </c>
    </row>
    <row r="356" spans="1:30">
      <c r="A356" s="99">
        <v>36312</v>
      </c>
      <c r="B356" s="122">
        <v>4.6264772727272723</v>
      </c>
      <c r="C356" s="122">
        <v>136.40909090909091</v>
      </c>
      <c r="D356" s="122">
        <v>16.928636363636361</v>
      </c>
      <c r="E356" s="122">
        <f t="shared" si="55"/>
        <v>0.23667272727272692</v>
      </c>
      <c r="F356" s="121">
        <f t="shared" si="52"/>
        <v>0.38291025364218667</v>
      </c>
      <c r="G356" s="127">
        <f t="shared" si="54"/>
        <v>-2.661015201376532E-2</v>
      </c>
      <c r="J356" s="122">
        <v>4.62</v>
      </c>
      <c r="K356" s="122">
        <v>139.07</v>
      </c>
      <c r="L356" s="122">
        <v>16.5</v>
      </c>
      <c r="M356" s="122">
        <f t="shared" si="50"/>
        <v>0.25454000000000043</v>
      </c>
      <c r="N356" s="128">
        <f t="shared" si="51"/>
        <v>0.37234282619488196</v>
      </c>
      <c r="O356" s="124">
        <f t="shared" si="53"/>
        <v>-6.4772727272721653E-3</v>
      </c>
      <c r="P356" s="124">
        <f t="shared" si="53"/>
        <v>2.6609090909090867</v>
      </c>
      <c r="Q356" s="124">
        <f t="shared" si="53"/>
        <v>-0.42863636363636104</v>
      </c>
      <c r="R356" s="124"/>
      <c r="S356" s="124"/>
      <c r="T356" s="124"/>
      <c r="U356" s="119">
        <v>4.4400000000000004</v>
      </c>
      <c r="V356" s="129">
        <f t="shared" si="56"/>
        <v>-0.18647727272727188</v>
      </c>
      <c r="W356" s="119"/>
      <c r="X356" s="126"/>
      <c r="Y356" s="119">
        <v>45644</v>
      </c>
      <c r="Z356" s="126">
        <v>-0.23</v>
      </c>
      <c r="AA356" s="108">
        <v>45644</v>
      </c>
      <c r="AB356" s="108">
        <v>-0.3</v>
      </c>
      <c r="AC356" s="108">
        <v>45644</v>
      </c>
      <c r="AD356" s="108">
        <v>-0.35</v>
      </c>
    </row>
    <row r="357" spans="1:30">
      <c r="A357" s="99">
        <v>36342</v>
      </c>
      <c r="B357" s="122">
        <v>4.3072619047619041</v>
      </c>
      <c r="C357" s="122">
        <v>129.42380952380952</v>
      </c>
      <c r="D357" s="122">
        <v>15.510952380952379</v>
      </c>
      <c r="E357" s="122">
        <f t="shared" si="55"/>
        <v>0.24626666666666708</v>
      </c>
      <c r="F357" s="121">
        <f t="shared" si="52"/>
        <v>0.37469947429570571</v>
      </c>
      <c r="G357" s="127">
        <f t="shared" si="54"/>
        <v>-8.2107793464809564E-3</v>
      </c>
      <c r="J357" s="122">
        <v>4.25</v>
      </c>
      <c r="K357" s="122">
        <v>132.72999999999999</v>
      </c>
      <c r="L357" s="122">
        <v>15.29</v>
      </c>
      <c r="M357" s="122">
        <f t="shared" si="50"/>
        <v>0.35196000000000005</v>
      </c>
      <c r="N357" s="128">
        <f t="shared" si="51"/>
        <v>0.36547471077540866</v>
      </c>
      <c r="O357" s="124">
        <f t="shared" si="53"/>
        <v>-5.726190476190407E-2</v>
      </c>
      <c r="P357" s="124">
        <f t="shared" si="53"/>
        <v>3.3061904761904657</v>
      </c>
      <c r="Q357" s="124">
        <f t="shared" si="53"/>
        <v>-0.22095238095237946</v>
      </c>
      <c r="R357" s="124"/>
      <c r="S357" s="124"/>
      <c r="T357" s="124"/>
      <c r="U357" s="119">
        <v>4.1900000000000004</v>
      </c>
      <c r="V357" s="129">
        <f t="shared" si="56"/>
        <v>-0.11726190476190368</v>
      </c>
      <c r="W357" s="119"/>
      <c r="X357" s="126"/>
      <c r="Y357" s="119">
        <v>45645</v>
      </c>
      <c r="Z357" s="126">
        <v>-0.23</v>
      </c>
      <c r="AA357" s="108">
        <v>45645</v>
      </c>
      <c r="AB357" s="108">
        <v>-0.33</v>
      </c>
      <c r="AC357" s="108">
        <v>45645</v>
      </c>
      <c r="AD357" s="108">
        <v>-0.35</v>
      </c>
    </row>
    <row r="358" spans="1:30">
      <c r="A358" s="99">
        <v>36373</v>
      </c>
      <c r="B358" s="122">
        <v>4.6862500000000002</v>
      </c>
      <c r="C358" s="122">
        <v>140.22727272727272</v>
      </c>
      <c r="D358" s="122">
        <v>16.774090909090912</v>
      </c>
      <c r="E358" s="122">
        <f t="shared" si="55"/>
        <v>0.24390000000000001</v>
      </c>
      <c r="F358" s="121">
        <f t="shared" si="52"/>
        <v>0.37425838970416725</v>
      </c>
      <c r="G358" s="127">
        <f t="shared" si="54"/>
        <v>-4.4108459153846535E-4</v>
      </c>
      <c r="J358" s="122">
        <v>4.6500000000000004</v>
      </c>
      <c r="K358" s="122">
        <v>141.69</v>
      </c>
      <c r="L358" s="122">
        <v>16.5</v>
      </c>
      <c r="M358" s="122">
        <f t="shared" si="50"/>
        <v>0.28218000000000032</v>
      </c>
      <c r="N358" s="128">
        <f t="shared" si="51"/>
        <v>0.36799143583567506</v>
      </c>
      <c r="O358" s="124">
        <f t="shared" si="53"/>
        <v>-3.6249999999999893E-2</v>
      </c>
      <c r="P358" s="124">
        <f t="shared" si="53"/>
        <v>1.4627272727272782</v>
      </c>
      <c r="Q358" s="124">
        <f t="shared" si="53"/>
        <v>-0.27409090909091205</v>
      </c>
      <c r="R358" s="124"/>
      <c r="S358" s="124"/>
      <c r="T358" s="124"/>
      <c r="U358" s="119">
        <v>4.3899999999999997</v>
      </c>
      <c r="V358" s="129">
        <f t="shared" si="56"/>
        <v>-0.29625000000000057</v>
      </c>
      <c r="W358" s="119"/>
      <c r="X358" s="126"/>
      <c r="Y358" s="119">
        <v>45646</v>
      </c>
      <c r="Z358" s="126">
        <v>-0.2</v>
      </c>
      <c r="AA358" s="108">
        <v>45646</v>
      </c>
      <c r="AB358" s="108">
        <v>-0.33</v>
      </c>
      <c r="AC358" s="108">
        <v>45646</v>
      </c>
      <c r="AD358" s="108">
        <v>-0.35</v>
      </c>
    </row>
    <row r="359" spans="1:30">
      <c r="A359" s="99">
        <v>36404</v>
      </c>
      <c r="B359" s="122">
        <v>4.9471428571428575</v>
      </c>
      <c r="C359" s="122">
        <v>147.01428571428573</v>
      </c>
      <c r="D359" s="122">
        <v>17.100952380952382</v>
      </c>
      <c r="E359" s="122">
        <f t="shared" si="55"/>
        <v>0.16827619047619091</v>
      </c>
      <c r="F359" s="121">
        <f t="shared" si="52"/>
        <v>0.36773229023735893</v>
      </c>
      <c r="G359" s="127">
        <f t="shared" si="54"/>
        <v>-6.5260994668083216E-3</v>
      </c>
      <c r="J359" s="122">
        <v>4.8499999999999996</v>
      </c>
      <c r="K359" s="122">
        <v>150.63</v>
      </c>
      <c r="L359" s="122">
        <v>16.79</v>
      </c>
      <c r="M359" s="122">
        <f t="shared" si="50"/>
        <v>0.31076000000000015</v>
      </c>
      <c r="N359" s="128">
        <f t="shared" si="51"/>
        <v>0.35787364651717968</v>
      </c>
      <c r="O359" s="124">
        <f t="shared" si="53"/>
        <v>-9.7142857142857864E-2</v>
      </c>
      <c r="P359" s="124">
        <f t="shared" si="53"/>
        <v>3.6157142857142617</v>
      </c>
      <c r="Q359" s="124">
        <f t="shared" si="53"/>
        <v>-0.31095238095238287</v>
      </c>
      <c r="R359" s="124"/>
      <c r="S359" s="124"/>
      <c r="T359" s="124"/>
      <c r="U359" s="119">
        <v>4.57</v>
      </c>
      <c r="V359" s="129">
        <f t="shared" si="56"/>
        <v>-0.37714285714285722</v>
      </c>
      <c r="W359" s="119"/>
      <c r="X359" s="126"/>
      <c r="Y359" s="119">
        <v>45649</v>
      </c>
      <c r="Z359" s="126">
        <v>-0.2</v>
      </c>
      <c r="AA359" s="108">
        <v>45649</v>
      </c>
      <c r="AB359" s="108">
        <v>-0.33</v>
      </c>
      <c r="AC359" s="108">
        <v>45649</v>
      </c>
      <c r="AD359" s="108">
        <v>-0.35</v>
      </c>
    </row>
    <row r="360" spans="1:30">
      <c r="A360" s="99">
        <v>36434</v>
      </c>
      <c r="B360" s="122">
        <v>4.8485714285714279</v>
      </c>
      <c r="C360" s="122">
        <v>151.42857142857142</v>
      </c>
      <c r="D360" s="122">
        <v>16.566190476190478</v>
      </c>
      <c r="E360" s="122">
        <f t="shared" si="55"/>
        <v>0.30513809523809599</v>
      </c>
      <c r="F360" s="121">
        <f t="shared" si="52"/>
        <v>0.35358627488845301</v>
      </c>
      <c r="G360" s="127">
        <f t="shared" si="54"/>
        <v>-1.4146015348905916E-2</v>
      </c>
      <c r="J360" s="122">
        <v>4.7</v>
      </c>
      <c r="K360" s="122">
        <v>153.57</v>
      </c>
      <c r="L360" s="122">
        <v>16.079999999999998</v>
      </c>
      <c r="M360" s="122">
        <f t="shared" si="50"/>
        <v>0.44733999999999963</v>
      </c>
      <c r="N360" s="128">
        <f t="shared" si="51"/>
        <v>0.34363379920502624</v>
      </c>
      <c r="O360" s="124">
        <f t="shared" si="53"/>
        <v>-0.14857142857142769</v>
      </c>
      <c r="P360" s="124">
        <f t="shared" si="53"/>
        <v>2.1414285714285768</v>
      </c>
      <c r="Q360" s="124">
        <f t="shared" si="53"/>
        <v>-0.48619047619047961</v>
      </c>
      <c r="R360" s="124"/>
      <c r="S360" s="124"/>
      <c r="T360" s="124"/>
      <c r="U360" s="119">
        <v>4.4800000000000004</v>
      </c>
      <c r="V360" s="129">
        <f t="shared" si="56"/>
        <v>-0.36857142857142744</v>
      </c>
      <c r="W360" s="119"/>
      <c r="X360" s="126"/>
      <c r="Y360" s="119">
        <v>45650</v>
      </c>
      <c r="Z360" s="126">
        <v>-0.2</v>
      </c>
      <c r="AA360" s="108">
        <v>45650</v>
      </c>
      <c r="AB360" s="108">
        <v>-0.33</v>
      </c>
      <c r="AC360" s="108">
        <v>45650</v>
      </c>
      <c r="AD360" s="108">
        <v>-0.35</v>
      </c>
    </row>
    <row r="361" spans="1:30">
      <c r="A361" s="99">
        <v>36465</v>
      </c>
      <c r="B361" s="122">
        <v>4.7182142857142848</v>
      </c>
      <c r="C361" s="122">
        <v>149.18571428571428</v>
      </c>
      <c r="D361" s="122">
        <v>16.158571428571427</v>
      </c>
      <c r="E361" s="122">
        <f t="shared" si="55"/>
        <v>0.34131428571428657</v>
      </c>
      <c r="F361" s="121">
        <f t="shared" si="52"/>
        <v>0.35130602230021429</v>
      </c>
      <c r="G361" s="127">
        <f t="shared" si="54"/>
        <v>-2.2802525882387181E-3</v>
      </c>
      <c r="J361" s="122">
        <v>4.6399999999999997</v>
      </c>
      <c r="K361" s="122">
        <v>154.71</v>
      </c>
      <c r="L361" s="122">
        <v>15.63</v>
      </c>
      <c r="M361" s="122">
        <f t="shared" si="50"/>
        <v>0.4829200000000009</v>
      </c>
      <c r="N361" s="128">
        <f t="shared" si="51"/>
        <v>0.33560937902602417</v>
      </c>
      <c r="O361" s="124">
        <f t="shared" si="53"/>
        <v>-7.8214285714285126E-2</v>
      </c>
      <c r="P361" s="124">
        <f t="shared" si="53"/>
        <v>5.5242857142857247</v>
      </c>
      <c r="Q361" s="124">
        <f t="shared" si="53"/>
        <v>-0.52857142857142669</v>
      </c>
      <c r="R361" s="124"/>
      <c r="S361" s="124"/>
      <c r="T361" s="124"/>
      <c r="U361" s="119">
        <v>4.45</v>
      </c>
      <c r="V361" s="129">
        <f t="shared" si="56"/>
        <v>-0.26821428571428463</v>
      </c>
      <c r="W361" s="119"/>
      <c r="X361" s="126"/>
      <c r="Y361" s="119">
        <v>45652</v>
      </c>
      <c r="Z361" s="126">
        <v>-0.2</v>
      </c>
      <c r="AA361" s="108">
        <v>45652</v>
      </c>
      <c r="AB361" s="108">
        <v>-0.33</v>
      </c>
      <c r="AC361" s="108">
        <v>45652</v>
      </c>
      <c r="AD361" s="108">
        <v>-0.35</v>
      </c>
    </row>
    <row r="362" spans="1:30">
      <c r="A362" s="99">
        <v>36495</v>
      </c>
      <c r="B362" s="122">
        <v>4.6252380952380951</v>
      </c>
      <c r="C362" s="122">
        <v>146.36190476190478</v>
      </c>
      <c r="D362" s="122">
        <v>15.962380952380951</v>
      </c>
      <c r="E362" s="122">
        <f t="shared" si="55"/>
        <v>0.35058571428571472</v>
      </c>
      <c r="F362" s="121">
        <f t="shared" si="52"/>
        <v>0.35287863316244344</v>
      </c>
      <c r="G362" s="127">
        <f t="shared" si="54"/>
        <v>1.5726108622291513E-3</v>
      </c>
      <c r="J362" s="122">
        <v>4.5999999999999996</v>
      </c>
      <c r="K362" s="122">
        <v>153.88999999999999</v>
      </c>
      <c r="L362" s="122">
        <v>15.33</v>
      </c>
      <c r="M362" s="122">
        <f t="shared" si="50"/>
        <v>0.47188000000000052</v>
      </c>
      <c r="N362" s="128">
        <f t="shared" si="51"/>
        <v>0.33248026372863709</v>
      </c>
      <c r="O362" s="124">
        <f t="shared" si="53"/>
        <v>-2.5238095238095504E-2</v>
      </c>
      <c r="P362" s="124">
        <f t="shared" si="53"/>
        <v>7.5280952380952044</v>
      </c>
      <c r="Q362" s="124">
        <f t="shared" si="53"/>
        <v>-0.63238095238095049</v>
      </c>
      <c r="R362" s="124"/>
      <c r="S362" s="124"/>
      <c r="T362" s="124"/>
      <c r="U362" s="119">
        <v>4.43</v>
      </c>
      <c r="V362" s="129">
        <f t="shared" si="56"/>
        <v>-0.19523809523809543</v>
      </c>
      <c r="W362" s="119"/>
      <c r="X362" s="126"/>
      <c r="Y362" s="119">
        <v>45653</v>
      </c>
      <c r="Z362" s="126">
        <v>-0.2</v>
      </c>
      <c r="AA362" s="108">
        <v>45653</v>
      </c>
      <c r="AB362" s="108">
        <v>-0.33</v>
      </c>
      <c r="AC362" s="108">
        <v>45653</v>
      </c>
      <c r="AD362" s="108">
        <v>-0.35</v>
      </c>
    </row>
    <row r="363" spans="1:30">
      <c r="A363" s="99">
        <v>36526</v>
      </c>
      <c r="B363" s="122">
        <v>4.9477500000000001</v>
      </c>
      <c r="C363" s="122">
        <v>157.11500000000001</v>
      </c>
      <c r="D363" s="122">
        <v>16.2805</v>
      </c>
      <c r="E363" s="122">
        <f t="shared" si="55"/>
        <v>0.29963499999999943</v>
      </c>
      <c r="F363" s="121">
        <f t="shared" si="52"/>
        <v>0.3412852306434539</v>
      </c>
      <c r="G363" s="127">
        <f t="shared" si="54"/>
        <v>-1.1593402518989548E-2</v>
      </c>
      <c r="J363" s="122">
        <v>4.8600000000000003</v>
      </c>
      <c r="K363" s="122">
        <v>163.41</v>
      </c>
      <c r="L363" s="122">
        <v>15.56</v>
      </c>
      <c r="M363" s="122">
        <f t="shared" si="50"/>
        <v>0.44662000000000024</v>
      </c>
      <c r="N363" s="128">
        <f t="shared" si="51"/>
        <v>0.32254052485386181</v>
      </c>
      <c r="O363" s="124">
        <f t="shared" si="53"/>
        <v>-8.7749999999999773E-2</v>
      </c>
      <c r="P363" s="124">
        <f t="shared" si="53"/>
        <v>6.2949999999999875</v>
      </c>
      <c r="Q363" s="124">
        <f t="shared" si="53"/>
        <v>-0.72049999999999947</v>
      </c>
      <c r="R363" s="124"/>
      <c r="S363" s="124"/>
      <c r="T363" s="124"/>
      <c r="U363" s="119">
        <v>4.62</v>
      </c>
      <c r="V363" s="129">
        <f t="shared" si="56"/>
        <v>-0.32774999999999999</v>
      </c>
      <c r="W363" s="119"/>
      <c r="X363" s="126"/>
      <c r="Y363" s="119">
        <v>45656</v>
      </c>
      <c r="Z363" s="126">
        <v>-0.2</v>
      </c>
      <c r="AA363" s="108">
        <v>45656</v>
      </c>
      <c r="AB363" s="108">
        <v>-0.33</v>
      </c>
      <c r="AC363" s="108">
        <v>45656</v>
      </c>
      <c r="AD363" s="108">
        <v>-0.35</v>
      </c>
    </row>
    <row r="364" spans="1:30">
      <c r="A364" s="99">
        <v>36557</v>
      </c>
      <c r="B364" s="122">
        <v>5.0548750000000009</v>
      </c>
      <c r="C364" s="122">
        <v>163.715</v>
      </c>
      <c r="D364" s="122">
        <v>15.740999999999996</v>
      </c>
      <c r="E364" s="122">
        <f t="shared" si="55"/>
        <v>0.27836499999999909</v>
      </c>
      <c r="F364" s="121">
        <f t="shared" si="52"/>
        <v>0.3246638066166157</v>
      </c>
      <c r="G364" s="127">
        <f t="shared" si="54"/>
        <v>-1.6621424026838194E-2</v>
      </c>
      <c r="J364" s="122">
        <v>5</v>
      </c>
      <c r="K364" s="122">
        <v>170.51</v>
      </c>
      <c r="L364" s="122">
        <v>15.09</v>
      </c>
      <c r="M364" s="122">
        <f t="shared" si="50"/>
        <v>0.41112000000000037</v>
      </c>
      <c r="N364" s="128">
        <f t="shared" si="51"/>
        <v>0.30675719629208004</v>
      </c>
      <c r="O364" s="124">
        <f t="shared" si="53"/>
        <v>-5.4875000000000895E-2</v>
      </c>
      <c r="P364" s="124">
        <f t="shared" si="53"/>
        <v>6.7949999999999875</v>
      </c>
      <c r="Q364" s="124">
        <f t="shared" si="53"/>
        <v>-0.65099999999999625</v>
      </c>
      <c r="R364" s="124"/>
      <c r="S364" s="124"/>
      <c r="T364" s="124"/>
      <c r="U364" s="119">
        <v>4.79</v>
      </c>
      <c r="V364" s="129">
        <f t="shared" si="56"/>
        <v>-0.26487500000000086</v>
      </c>
      <c r="W364" s="119"/>
      <c r="X364" s="126"/>
      <c r="Y364" s="119">
        <v>45657</v>
      </c>
      <c r="Z364" s="126">
        <v>-0.2</v>
      </c>
      <c r="AA364" s="108">
        <v>45657</v>
      </c>
      <c r="AB364" s="108">
        <v>-0.33</v>
      </c>
      <c r="AC364" s="108">
        <v>45657</v>
      </c>
      <c r="AD364" s="108">
        <v>-0.35</v>
      </c>
    </row>
    <row r="365" spans="1:30">
      <c r="A365" s="99">
        <v>36586</v>
      </c>
      <c r="B365" s="122">
        <v>5.2380434782608694</v>
      </c>
      <c r="C365" s="122">
        <v>168.71304347826086</v>
      </c>
      <c r="D365" s="122">
        <v>16.990434782608698</v>
      </c>
      <c r="E365" s="122">
        <f t="shared" si="55"/>
        <v>0.34259130434782659</v>
      </c>
      <c r="F365" s="121">
        <f t="shared" si="52"/>
        <v>0.33489878820081248</v>
      </c>
      <c r="G365" s="127">
        <f t="shared" si="54"/>
        <v>1.0234981584196778E-2</v>
      </c>
      <c r="J365" s="122">
        <v>5.13</v>
      </c>
      <c r="K365" s="122">
        <v>175.5</v>
      </c>
      <c r="L365" s="122">
        <v>16.22</v>
      </c>
      <c r="M365" s="122">
        <f t="shared" si="50"/>
        <v>0.51519999999999921</v>
      </c>
      <c r="N365" s="128">
        <f t="shared" si="51"/>
        <v>0.31605611847233051</v>
      </c>
      <c r="O365" s="124">
        <f t="shared" si="53"/>
        <v>-0.10804347826086946</v>
      </c>
      <c r="P365" s="124">
        <f t="shared" si="53"/>
        <v>6.7869565217391425</v>
      </c>
      <c r="Q365" s="124">
        <f t="shared" si="53"/>
        <v>-0.77043478260869946</v>
      </c>
      <c r="R365" s="124"/>
      <c r="S365" s="124"/>
      <c r="T365" s="124"/>
      <c r="U365" s="119">
        <v>4.91</v>
      </c>
      <c r="V365" s="129">
        <f t="shared" si="56"/>
        <v>-0.32804347826086921</v>
      </c>
      <c r="W365" s="119"/>
      <c r="X365" s="126"/>
      <c r="Y365" s="119">
        <v>45659</v>
      </c>
      <c r="Z365" s="126">
        <v>-0.21</v>
      </c>
      <c r="AA365" s="108">
        <v>45659</v>
      </c>
      <c r="AB365" s="108">
        <v>-0.38</v>
      </c>
      <c r="AC365" s="108">
        <v>45659</v>
      </c>
      <c r="AD365" s="108">
        <v>-0.4</v>
      </c>
    </row>
    <row r="366" spans="1:30">
      <c r="A366" s="99">
        <v>36617</v>
      </c>
      <c r="B366" s="122">
        <v>5.3638750000000002</v>
      </c>
      <c r="C366" s="122">
        <v>170.36</v>
      </c>
      <c r="D366" s="122">
        <v>18.167000000000002</v>
      </c>
      <c r="E366" s="122">
        <f t="shared" si="55"/>
        <v>0.38241499999999995</v>
      </c>
      <c r="F366" s="121">
        <f t="shared" si="52"/>
        <v>0.34776699400830802</v>
      </c>
      <c r="G366" s="127">
        <f t="shared" si="54"/>
        <v>1.2868205807495536E-2</v>
      </c>
      <c r="J366" s="122">
        <v>5.29</v>
      </c>
      <c r="K366" s="122">
        <v>177.53</v>
      </c>
      <c r="L366" s="122">
        <v>17.52</v>
      </c>
      <c r="M366" s="122">
        <f t="shared" si="50"/>
        <v>0.54286000000000012</v>
      </c>
      <c r="N366" s="128">
        <f t="shared" si="51"/>
        <v>0.33040395277788254</v>
      </c>
      <c r="O366" s="124">
        <f t="shared" si="53"/>
        <v>-7.3875000000000135E-2</v>
      </c>
      <c r="P366" s="124">
        <f t="shared" si="53"/>
        <v>7.1699999999999875</v>
      </c>
      <c r="Q366" s="124">
        <f t="shared" si="53"/>
        <v>-0.64700000000000202</v>
      </c>
      <c r="R366" s="124"/>
      <c r="S366" s="124"/>
      <c r="T366" s="124"/>
      <c r="U366" s="119">
        <v>5</v>
      </c>
      <c r="V366" s="129">
        <f t="shared" si="56"/>
        <v>-0.36387500000000017</v>
      </c>
      <c r="W366" s="119"/>
      <c r="X366" s="126"/>
      <c r="Y366" s="119">
        <v>45660</v>
      </c>
      <c r="Z366" s="126">
        <v>-0.21</v>
      </c>
      <c r="AA366" s="108">
        <v>45660</v>
      </c>
      <c r="AB366" s="108">
        <v>-0.38</v>
      </c>
      <c r="AC366" s="108">
        <v>45660</v>
      </c>
      <c r="AD366" s="108">
        <v>-0.4</v>
      </c>
    </row>
    <row r="367" spans="1:30">
      <c r="A367" s="99">
        <v>36647</v>
      </c>
      <c r="B367" s="122">
        <v>5.5180681818181814</v>
      </c>
      <c r="C367" s="122">
        <v>181.85</v>
      </c>
      <c r="D367" s="122">
        <v>17.446363636363639</v>
      </c>
      <c r="E367" s="122">
        <f t="shared" si="55"/>
        <v>0.40173181818181813</v>
      </c>
      <c r="F367" s="121">
        <f t="shared" si="52"/>
        <v>0.32418324943410259</v>
      </c>
      <c r="G367" s="127">
        <f t="shared" si="54"/>
        <v>-2.3583744574205423E-2</v>
      </c>
      <c r="J367" s="122">
        <v>5.42</v>
      </c>
      <c r="K367" s="122">
        <v>189.34</v>
      </c>
      <c r="L367" s="122">
        <v>16.75</v>
      </c>
      <c r="M367" s="122">
        <f t="shared" si="50"/>
        <v>0.58798000000000084</v>
      </c>
      <c r="N367" s="128">
        <f t="shared" si="51"/>
        <v>0.3066754549782123</v>
      </c>
      <c r="O367" s="124">
        <f t="shared" si="53"/>
        <v>-9.8068181818181444E-2</v>
      </c>
      <c r="P367" s="124">
        <f t="shared" si="53"/>
        <v>7.4900000000000091</v>
      </c>
      <c r="Q367" s="124">
        <f t="shared" si="53"/>
        <v>-0.69636363636363896</v>
      </c>
      <c r="R367" s="124"/>
      <c r="S367" s="124"/>
      <c r="T367" s="124"/>
      <c r="U367" s="119">
        <v>5.19</v>
      </c>
      <c r="V367" s="129">
        <f t="shared" si="56"/>
        <v>-0.32806818181818098</v>
      </c>
      <c r="W367" s="119"/>
      <c r="X367" s="126"/>
      <c r="Y367" s="119">
        <v>45663</v>
      </c>
      <c r="Z367" s="126">
        <v>-0.21</v>
      </c>
      <c r="AA367" s="108">
        <v>45663</v>
      </c>
      <c r="AB367" s="108">
        <v>-0.38</v>
      </c>
      <c r="AC367" s="108">
        <v>45663</v>
      </c>
      <c r="AD367" s="108">
        <v>-0.4</v>
      </c>
    </row>
    <row r="368" spans="1:30">
      <c r="A368" s="99">
        <v>36678</v>
      </c>
      <c r="B368" s="122">
        <v>5.0877272727272738</v>
      </c>
      <c r="C368" s="122">
        <v>173.71818181818182</v>
      </c>
      <c r="D368" s="122">
        <v>16.290909090909093</v>
      </c>
      <c r="E368" s="122">
        <f t="shared" si="55"/>
        <v>0.52607272727272658</v>
      </c>
      <c r="F368" s="121">
        <f t="shared" si="52"/>
        <v>0.31921336705974562</v>
      </c>
      <c r="G368" s="127">
        <f t="shared" si="54"/>
        <v>-4.9698823743569709E-3</v>
      </c>
      <c r="J368" s="122">
        <v>5.0999999999999996</v>
      </c>
      <c r="K368" s="122">
        <v>177.45</v>
      </c>
      <c r="L368" s="122">
        <v>15.65</v>
      </c>
      <c r="M368" s="122">
        <f t="shared" si="50"/>
        <v>0.52540000000000031</v>
      </c>
      <c r="N368" s="128">
        <f t="shared" si="51"/>
        <v>0.30602268283144313</v>
      </c>
      <c r="O368" s="124">
        <f t="shared" si="53"/>
        <v>1.2272727272725881E-2</v>
      </c>
      <c r="P368" s="124">
        <f t="shared" si="53"/>
        <v>3.7318181818181699</v>
      </c>
      <c r="Q368" s="124">
        <f t="shared" si="53"/>
        <v>-0.64090909090909243</v>
      </c>
      <c r="R368" s="124"/>
      <c r="S368" s="124"/>
      <c r="T368" s="124"/>
      <c r="U368" s="119">
        <v>4.93</v>
      </c>
      <c r="V368" s="129">
        <f t="shared" si="56"/>
        <v>-0.15772727272727405</v>
      </c>
      <c r="W368" s="119"/>
      <c r="X368" s="126"/>
      <c r="Y368" s="119">
        <v>45664</v>
      </c>
      <c r="Z368" s="126">
        <v>-0.21</v>
      </c>
      <c r="AA368" s="108">
        <v>45664</v>
      </c>
      <c r="AB368" s="108">
        <v>-0.38</v>
      </c>
      <c r="AC368" s="108">
        <v>45664</v>
      </c>
      <c r="AD368" s="108">
        <v>-0.4</v>
      </c>
    </row>
    <row r="369" spans="1:35">
      <c r="A369" s="99">
        <v>36708</v>
      </c>
      <c r="B369" s="122">
        <v>4.6111249999999995</v>
      </c>
      <c r="C369" s="122">
        <v>156.565</v>
      </c>
      <c r="D369" s="122">
        <v>15.524000000000004</v>
      </c>
      <c r="E369" s="122">
        <f t="shared" si="55"/>
        <v>0.54094500000000068</v>
      </c>
      <c r="F369" s="121">
        <f t="shared" si="52"/>
        <v>0.33144735999316788</v>
      </c>
      <c r="G369" s="127">
        <f t="shared" si="54"/>
        <v>1.2233992933422255E-2</v>
      </c>
      <c r="J369" s="122">
        <v>4.74</v>
      </c>
      <c r="K369" s="122">
        <v>163.38</v>
      </c>
      <c r="L369" s="122">
        <v>14.7</v>
      </c>
      <c r="M369" s="122">
        <f t="shared" si="50"/>
        <v>0.47135999999999978</v>
      </c>
      <c r="N369" s="128">
        <f t="shared" si="51"/>
        <v>0.31028368794326239</v>
      </c>
      <c r="O369" s="124">
        <f t="shared" si="53"/>
        <v>0.12887500000000074</v>
      </c>
      <c r="P369" s="124">
        <f t="shared" si="53"/>
        <v>6.8149999999999977</v>
      </c>
      <c r="Q369" s="124">
        <f t="shared" si="53"/>
        <v>-0.82400000000000517</v>
      </c>
      <c r="R369" s="124"/>
      <c r="S369" s="124"/>
      <c r="T369" s="124"/>
      <c r="U369" s="119">
        <v>4.53</v>
      </c>
      <c r="V369" s="129">
        <f t="shared" si="56"/>
        <v>-8.1124999999999226E-2</v>
      </c>
      <c r="W369" s="119"/>
      <c r="X369" s="126"/>
      <c r="Y369" s="119">
        <v>45665</v>
      </c>
      <c r="Z369" s="126">
        <v>-0.21</v>
      </c>
      <c r="AA369" s="108">
        <v>45665</v>
      </c>
      <c r="AB369" s="108">
        <v>-0.38</v>
      </c>
      <c r="AC369" s="108">
        <v>45665</v>
      </c>
      <c r="AD369" s="108">
        <v>-0.4</v>
      </c>
    </row>
    <row r="370" spans="1:35">
      <c r="A370" s="99">
        <v>36739</v>
      </c>
      <c r="B370" s="122">
        <v>4.5770652173913051</v>
      </c>
      <c r="C370" s="122">
        <v>154.79130434782613</v>
      </c>
      <c r="D370" s="122">
        <v>15.328260869565218</v>
      </c>
      <c r="E370" s="122">
        <f t="shared" si="55"/>
        <v>0.51445217391304343</v>
      </c>
      <c r="F370" s="121">
        <f t="shared" si="52"/>
        <v>0.33116035281188061</v>
      </c>
      <c r="G370" s="127">
        <f t="shared" si="54"/>
        <v>-2.8700718128726876E-4</v>
      </c>
      <c r="J370" s="122">
        <v>4.63</v>
      </c>
      <c r="K370" s="122">
        <v>157.44999999999999</v>
      </c>
      <c r="L370" s="122">
        <v>14.34</v>
      </c>
      <c r="M370" s="122">
        <f t="shared" si="50"/>
        <v>0.41129999999999978</v>
      </c>
      <c r="N370" s="128">
        <f t="shared" si="51"/>
        <v>0.31289548330787692</v>
      </c>
      <c r="O370" s="124">
        <f t="shared" si="53"/>
        <v>5.2934782608694775E-2</v>
      </c>
      <c r="P370" s="124">
        <f t="shared" si="53"/>
        <v>2.6586956521738614</v>
      </c>
      <c r="Q370" s="124">
        <f t="shared" si="53"/>
        <v>-0.98826086956521841</v>
      </c>
      <c r="R370" s="124"/>
      <c r="S370" s="124"/>
      <c r="T370" s="124"/>
      <c r="U370" s="119">
        <v>4.45</v>
      </c>
      <c r="V370" s="129">
        <f t="shared" si="56"/>
        <v>-0.12706521739130494</v>
      </c>
      <c r="W370" s="119"/>
      <c r="X370" s="126"/>
      <c r="Y370" s="119">
        <v>45666</v>
      </c>
      <c r="Z370" s="126">
        <v>-0.21</v>
      </c>
      <c r="AA370" s="108">
        <v>45666</v>
      </c>
      <c r="AB370" s="108">
        <v>-0.38</v>
      </c>
      <c r="AC370" s="108">
        <v>45666</v>
      </c>
      <c r="AD370" s="108">
        <v>-0.4</v>
      </c>
    </row>
    <row r="371" spans="1:35">
      <c r="A371" s="99">
        <v>36770</v>
      </c>
      <c r="B371" s="119" t="e">
        <f>'[4]Monthly Prices'!$CF11</f>
        <v>#DIV/0!</v>
      </c>
      <c r="C371" s="122">
        <v>169.64500000000001</v>
      </c>
      <c r="D371" s="122">
        <v>15.497</v>
      </c>
      <c r="E371" s="122" t="e">
        <f t="shared" si="55"/>
        <v>#DIV/0!</v>
      </c>
      <c r="F371" s="121" t="e">
        <f t="shared" si="52"/>
        <v>#DIV/0!</v>
      </c>
      <c r="G371" s="127" t="e">
        <f t="shared" si="54"/>
        <v>#DIV/0!</v>
      </c>
      <c r="J371" s="122">
        <v>4.84</v>
      </c>
      <c r="K371" s="122">
        <v>174.6</v>
      </c>
      <c r="L371" s="122">
        <v>14.24</v>
      </c>
      <c r="M371" s="122">
        <f t="shared" si="50"/>
        <v>0.56760000000000055</v>
      </c>
      <c r="N371" s="128">
        <f t="shared" si="51"/>
        <v>0.28966639544344996</v>
      </c>
      <c r="O371" s="124" t="e">
        <f t="shared" si="53"/>
        <v>#DIV/0!</v>
      </c>
      <c r="P371" s="124">
        <f t="shared" si="53"/>
        <v>4.9549999999999841</v>
      </c>
      <c r="Q371" s="124">
        <f t="shared" si="53"/>
        <v>-1.2569999999999997</v>
      </c>
      <c r="R371" s="124"/>
      <c r="S371" s="124"/>
      <c r="T371" s="124"/>
      <c r="U371" s="119">
        <v>4.59</v>
      </c>
      <c r="V371" s="129" t="e">
        <f t="shared" si="56"/>
        <v>#DIV/0!</v>
      </c>
      <c r="W371" s="119"/>
      <c r="X371" s="126"/>
      <c r="Y371" s="119">
        <v>45667</v>
      </c>
      <c r="Z371" s="126">
        <v>-0.21</v>
      </c>
      <c r="AA371" s="108">
        <v>45667</v>
      </c>
      <c r="AB371" s="108">
        <v>-0.38</v>
      </c>
      <c r="AC371" s="108">
        <v>45667</v>
      </c>
      <c r="AD371" s="108">
        <v>-0.4</v>
      </c>
    </row>
    <row r="372" spans="1:35">
      <c r="A372" s="99">
        <v>36800</v>
      </c>
      <c r="B372" s="119" t="e">
        <f>'[4]Monthly Prices'!$CF12</f>
        <v>#DIV/0!</v>
      </c>
      <c r="C372" s="122">
        <v>167.7681818181818</v>
      </c>
      <c r="D372" s="122">
        <v>15.06772727272727</v>
      </c>
      <c r="E372" s="122" t="e">
        <f t="shared" si="55"/>
        <v>#DIV/0!</v>
      </c>
      <c r="F372" s="121" t="e">
        <f t="shared" si="52"/>
        <v>#DIV/0!</v>
      </c>
      <c r="G372" s="127" t="e">
        <f t="shared" si="54"/>
        <v>#DIV/0!</v>
      </c>
      <c r="J372" s="122">
        <v>4.68</v>
      </c>
      <c r="K372" s="122">
        <v>171.52</v>
      </c>
      <c r="L372" s="122">
        <v>13.51</v>
      </c>
      <c r="M372" s="122">
        <f t="shared" si="50"/>
        <v>0.57953999999999972</v>
      </c>
      <c r="N372" s="128">
        <f t="shared" si="51"/>
        <v>0.2825532270883005</v>
      </c>
      <c r="O372" s="124" t="e">
        <f t="shared" si="53"/>
        <v>#DIV/0!</v>
      </c>
      <c r="P372" s="124">
        <f t="shared" si="53"/>
        <v>3.7518181818182086</v>
      </c>
      <c r="Q372" s="124">
        <f t="shared" si="53"/>
        <v>-1.55772727272727</v>
      </c>
      <c r="R372" s="124"/>
      <c r="S372" s="124"/>
      <c r="T372" s="124"/>
      <c r="U372" s="119">
        <v>4.45</v>
      </c>
      <c r="V372" s="129" t="e">
        <f t="shared" si="56"/>
        <v>#DIV/0!</v>
      </c>
      <c r="W372" s="119"/>
      <c r="X372" s="126"/>
      <c r="Y372" s="119">
        <v>45670</v>
      </c>
      <c r="Z372" s="126">
        <v>-0.21</v>
      </c>
      <c r="AA372" s="108">
        <v>45670</v>
      </c>
      <c r="AB372" s="108">
        <v>-0.38</v>
      </c>
      <c r="AC372" s="108">
        <v>45670</v>
      </c>
      <c r="AD372" s="108">
        <v>-0.43</v>
      </c>
    </row>
    <row r="373" spans="1:35">
      <c r="A373" s="99">
        <v>36831</v>
      </c>
      <c r="B373" s="119" t="e">
        <f>'[4]Monthly Prices'!$CF13</f>
        <v>#DIV/0!</v>
      </c>
      <c r="C373" s="122">
        <v>176.28571428571428</v>
      </c>
      <c r="D373" s="122">
        <v>14.992380952380953</v>
      </c>
      <c r="E373" s="122" t="e">
        <f t="shared" si="55"/>
        <v>#DIV/0!</v>
      </c>
      <c r="F373" s="121" t="e">
        <f t="shared" si="52"/>
        <v>#DIV/0!</v>
      </c>
      <c r="G373" s="127" t="e">
        <f t="shared" si="54"/>
        <v>#DIV/0!</v>
      </c>
      <c r="J373" s="122">
        <v>4.83</v>
      </c>
      <c r="K373" s="122">
        <v>179.95</v>
      </c>
      <c r="L373" s="122">
        <v>13.37</v>
      </c>
      <c r="M373" s="122">
        <f t="shared" ref="M373:M436" si="57">(K373/2000*44)+(L373/100*11)-J373</f>
        <v>0.59959999999999969</v>
      </c>
      <c r="N373" s="128">
        <f t="shared" ref="N373:N436" si="58">L373/100*11/(J373+M373)</f>
        <v>0.27086709886547811</v>
      </c>
      <c r="O373" s="124" t="e">
        <f t="shared" si="53"/>
        <v>#DIV/0!</v>
      </c>
      <c r="P373" s="124">
        <f t="shared" si="53"/>
        <v>3.664285714285711</v>
      </c>
      <c r="Q373" s="124">
        <f t="shared" si="53"/>
        <v>-1.6223809523809543</v>
      </c>
      <c r="R373" s="124"/>
      <c r="S373" s="124"/>
      <c r="T373" s="124"/>
      <c r="U373" s="119">
        <v>4.55</v>
      </c>
      <c r="V373" s="129" t="e">
        <f t="shared" si="56"/>
        <v>#DIV/0!</v>
      </c>
      <c r="W373" s="119"/>
      <c r="X373" s="126"/>
      <c r="Y373" s="119">
        <v>45671</v>
      </c>
      <c r="Z373" s="126">
        <v>-0.23</v>
      </c>
      <c r="AA373" s="108">
        <v>45671</v>
      </c>
      <c r="AB373" s="108">
        <v>-0.38</v>
      </c>
      <c r="AC373" s="108">
        <v>45671</v>
      </c>
      <c r="AD373" s="108">
        <v>-0.45</v>
      </c>
    </row>
    <row r="374" spans="1:35">
      <c r="A374" s="99">
        <v>36861</v>
      </c>
      <c r="B374" s="119" t="e">
        <f>'[4]Monthly Prices'!$CF14</f>
        <v>#DIV/0!</v>
      </c>
      <c r="C374" s="122">
        <v>191.065</v>
      </c>
      <c r="D374" s="122">
        <v>14.991499999999997</v>
      </c>
      <c r="E374" s="122" t="e">
        <f t="shared" si="55"/>
        <v>#DIV/0!</v>
      </c>
      <c r="F374" s="121" t="e">
        <f t="shared" si="52"/>
        <v>#DIV/0!</v>
      </c>
      <c r="G374" s="127" t="e">
        <f t="shared" si="54"/>
        <v>#DIV/0!</v>
      </c>
      <c r="J374" s="122">
        <v>5.0599999999999996</v>
      </c>
      <c r="K374" s="122">
        <v>195.65</v>
      </c>
      <c r="L374" s="122">
        <v>13.12</v>
      </c>
      <c r="M374" s="122">
        <f t="shared" si="57"/>
        <v>0.68750000000000089</v>
      </c>
      <c r="N374" s="128">
        <f t="shared" si="58"/>
        <v>0.25110047846889949</v>
      </c>
      <c r="O374" s="124" t="e">
        <f t="shared" si="53"/>
        <v>#DIV/0!</v>
      </c>
      <c r="P374" s="124">
        <f t="shared" si="53"/>
        <v>4.585000000000008</v>
      </c>
      <c r="Q374" s="124">
        <f t="shared" si="53"/>
        <v>-1.8714999999999975</v>
      </c>
      <c r="R374" s="124"/>
      <c r="S374" s="124"/>
      <c r="T374" s="124"/>
      <c r="U374" s="119">
        <v>4.78</v>
      </c>
      <c r="V374" s="129" t="e">
        <f t="shared" si="56"/>
        <v>#DIV/0!</v>
      </c>
      <c r="W374" s="119"/>
      <c r="X374" s="126"/>
      <c r="Y374" s="119">
        <v>45672</v>
      </c>
      <c r="Z374" s="126">
        <v>-0.23</v>
      </c>
      <c r="AA374" s="108">
        <v>45672</v>
      </c>
      <c r="AB374" s="108">
        <v>-0.38</v>
      </c>
      <c r="AC374" s="108">
        <v>45672</v>
      </c>
      <c r="AD374" s="108">
        <v>-0.45</v>
      </c>
    </row>
    <row r="375" spans="1:35">
      <c r="A375" s="99">
        <v>36892</v>
      </c>
      <c r="B375" s="119" t="e">
        <f>'[4]Monthly Prices'!$CF15</f>
        <v>#DIV/0!</v>
      </c>
      <c r="C375" s="122">
        <v>177.41904761904766</v>
      </c>
      <c r="D375" s="122">
        <v>14.708095238095238</v>
      </c>
      <c r="E375" s="122" t="e">
        <f t="shared" si="55"/>
        <v>#DIV/0!</v>
      </c>
      <c r="F375" s="121" t="e">
        <f t="shared" si="52"/>
        <v>#DIV/0!</v>
      </c>
      <c r="G375" s="127" t="e">
        <f t="shared" si="54"/>
        <v>#DIV/0!</v>
      </c>
      <c r="J375" s="122">
        <v>4.78</v>
      </c>
      <c r="K375" s="122">
        <v>183.24</v>
      </c>
      <c r="L375" s="122">
        <v>12.54</v>
      </c>
      <c r="M375" s="122">
        <f t="shared" si="57"/>
        <v>0.63067999999999991</v>
      </c>
      <c r="N375" s="128">
        <f t="shared" si="58"/>
        <v>0.25494022932422539</v>
      </c>
      <c r="O375" s="124" t="e">
        <f t="shared" si="53"/>
        <v>#DIV/0!</v>
      </c>
      <c r="P375" s="124">
        <f t="shared" si="53"/>
        <v>5.8209523809523489</v>
      </c>
      <c r="Q375" s="124">
        <f t="shared" si="53"/>
        <v>-2.1680952380952387</v>
      </c>
      <c r="R375" s="124"/>
      <c r="S375" s="124"/>
      <c r="T375" s="124"/>
      <c r="U375" s="119">
        <v>4.68</v>
      </c>
      <c r="V375" s="129" t="e">
        <f t="shared" si="56"/>
        <v>#DIV/0!</v>
      </c>
      <c r="W375" s="119"/>
      <c r="X375" s="126"/>
      <c r="Y375" s="119">
        <v>45673</v>
      </c>
      <c r="Z375" s="126">
        <v>-0.23</v>
      </c>
      <c r="AA375" s="108">
        <v>45673</v>
      </c>
      <c r="AB375" s="108">
        <v>-0.38</v>
      </c>
      <c r="AC375" s="108">
        <v>45673</v>
      </c>
      <c r="AD375" s="108">
        <v>-0.45</v>
      </c>
      <c r="AG375" s="130">
        <f>'[6]Monthly Palm Oil'!$D2</f>
        <v>1142.1764705882354</v>
      </c>
      <c r="AH375" s="131">
        <f>'[6]Monthly Palm Oil'!$X2</f>
        <v>13.634134335857837</v>
      </c>
      <c r="AI375" s="131">
        <f>D377-AH375</f>
        <v>2.4613202095967104</v>
      </c>
    </row>
    <row r="376" spans="1:35">
      <c r="A376" s="99">
        <v>36923</v>
      </c>
      <c r="B376" s="119" t="e">
        <f>'[4]Monthly Prices'!$CF16</f>
        <v>#DIV/0!</v>
      </c>
      <c r="C376" s="122">
        <v>162.12105263157892</v>
      </c>
      <c r="D376" s="122">
        <v>14.755263157894738</v>
      </c>
      <c r="E376" s="122" t="e">
        <f t="shared" si="55"/>
        <v>#DIV/0!</v>
      </c>
      <c r="F376" s="121" t="e">
        <f t="shared" si="52"/>
        <v>#DIV/0!</v>
      </c>
      <c r="G376" s="127" t="e">
        <f t="shared" si="54"/>
        <v>#DIV/0!</v>
      </c>
      <c r="J376" s="122">
        <v>4.57</v>
      </c>
      <c r="K376" s="122">
        <v>166.08</v>
      </c>
      <c r="L376" s="122">
        <v>12.38</v>
      </c>
      <c r="M376" s="122">
        <f t="shared" si="57"/>
        <v>0.4455600000000004</v>
      </c>
      <c r="N376" s="128">
        <f t="shared" si="58"/>
        <v>0.27151504517940167</v>
      </c>
      <c r="O376" s="124" t="e">
        <f t="shared" si="53"/>
        <v>#DIV/0!</v>
      </c>
      <c r="P376" s="124">
        <f t="shared" si="53"/>
        <v>3.958947368421093</v>
      </c>
      <c r="Q376" s="124">
        <f t="shared" si="53"/>
        <v>-2.3752631578947376</v>
      </c>
      <c r="R376" s="124"/>
      <c r="S376" s="124"/>
      <c r="T376" s="124"/>
      <c r="U376" s="119">
        <v>4.46</v>
      </c>
      <c r="V376" s="129" t="e">
        <f t="shared" si="56"/>
        <v>#DIV/0!</v>
      </c>
      <c r="W376" s="119"/>
      <c r="X376" s="126"/>
      <c r="Y376" s="119">
        <v>45674</v>
      </c>
      <c r="Z376" s="126">
        <v>-0.23</v>
      </c>
      <c r="AA376" s="108">
        <v>45674</v>
      </c>
      <c r="AB376" s="108">
        <v>-0.38</v>
      </c>
      <c r="AC376" s="108">
        <v>45674</v>
      </c>
      <c r="AD376" s="108">
        <v>-0.45</v>
      </c>
      <c r="AG376" s="130">
        <f>'[6]Monthly Palm Oil'!$D3</f>
        <v>1060.9411764705883</v>
      </c>
      <c r="AH376" s="131">
        <f>'[6]Monthly Palm Oil'!$X3</f>
        <v>12.664507836851966</v>
      </c>
      <c r="AI376" s="131">
        <f t="shared" ref="AI376:AI439" si="59">D378-AH376</f>
        <v>2.4824921631480343</v>
      </c>
    </row>
    <row r="377" spans="1:35">
      <c r="A377" s="99">
        <v>36951</v>
      </c>
      <c r="B377" s="119" t="e">
        <f>'[4]Monthly Prices'!$CF17</f>
        <v>#DIV/0!</v>
      </c>
      <c r="C377" s="122">
        <v>153.43636363636364</v>
      </c>
      <c r="D377" s="122">
        <v>16.095454545454547</v>
      </c>
      <c r="E377" s="122" t="e">
        <f t="shared" si="55"/>
        <v>#DIV/0!</v>
      </c>
      <c r="F377" s="121" t="e">
        <f t="shared" si="52"/>
        <v>#DIV/0!</v>
      </c>
      <c r="G377" s="127" t="e">
        <f t="shared" si="54"/>
        <v>#DIV/0!</v>
      </c>
      <c r="J377" s="122">
        <v>4.51</v>
      </c>
      <c r="K377" s="122">
        <v>156.32</v>
      </c>
      <c r="L377" s="122">
        <v>13.91</v>
      </c>
      <c r="M377" s="122">
        <f t="shared" si="57"/>
        <v>0.45913999999999966</v>
      </c>
      <c r="N377" s="128">
        <f t="shared" si="58"/>
        <v>0.30792048523486965</v>
      </c>
      <c r="O377" s="124" t="e">
        <f t="shared" si="53"/>
        <v>#DIV/0!</v>
      </c>
      <c r="P377" s="124">
        <f t="shared" si="53"/>
        <v>2.8836363636363558</v>
      </c>
      <c r="Q377" s="124">
        <f t="shared" si="53"/>
        <v>-2.1854545454545473</v>
      </c>
      <c r="R377" s="124"/>
      <c r="S377" s="124"/>
      <c r="T377" s="124"/>
      <c r="U377" s="119">
        <v>4.3899999999999997</v>
      </c>
      <c r="V377" s="129" t="e">
        <f t="shared" si="56"/>
        <v>#DIV/0!</v>
      </c>
      <c r="W377" s="119"/>
      <c r="X377" s="126"/>
      <c r="Y377" s="119">
        <v>45678</v>
      </c>
      <c r="Z377" s="126">
        <v>-0.23</v>
      </c>
      <c r="AA377" s="108">
        <v>45678</v>
      </c>
      <c r="AB377" s="108">
        <v>-0.38</v>
      </c>
      <c r="AC377" s="108">
        <v>45678</v>
      </c>
      <c r="AD377" s="108">
        <v>-0.45</v>
      </c>
      <c r="AG377" s="130">
        <f>'[6]Monthly Palm Oil'!$D4</f>
        <v>1124.0454545454545</v>
      </c>
      <c r="AH377" s="131">
        <f>'[6]Monthly Palm Oil'!$X4</f>
        <v>13.417831214778765</v>
      </c>
      <c r="AI377" s="131">
        <f t="shared" si="59"/>
        <v>1.3665166113081906</v>
      </c>
    </row>
    <row r="378" spans="1:35">
      <c r="A378" s="99">
        <v>36982</v>
      </c>
      <c r="B378" s="119" t="e">
        <f>'[4]Monthly Prices'!$CF18</f>
        <v>#DIV/0!</v>
      </c>
      <c r="C378" s="122">
        <v>153.33500000000001</v>
      </c>
      <c r="D378" s="122">
        <v>15.147</v>
      </c>
      <c r="E378" s="122" t="e">
        <f t="shared" si="55"/>
        <v>#DIV/0!</v>
      </c>
      <c r="F378" s="121" t="e">
        <f t="shared" si="52"/>
        <v>#DIV/0!</v>
      </c>
      <c r="G378" s="127" t="e">
        <f t="shared" si="54"/>
        <v>#DIV/0!</v>
      </c>
      <c r="J378" s="122">
        <v>4.41</v>
      </c>
      <c r="K378" s="122">
        <v>158.47</v>
      </c>
      <c r="L378" s="122">
        <v>13.53</v>
      </c>
      <c r="M378" s="122">
        <f t="shared" si="57"/>
        <v>0.56463999999999981</v>
      </c>
      <c r="N378" s="128">
        <f t="shared" si="58"/>
        <v>0.29917742791438173</v>
      </c>
      <c r="O378" s="124" t="e">
        <f t="shared" si="53"/>
        <v>#DIV/0!</v>
      </c>
      <c r="P378" s="124">
        <f t="shared" si="53"/>
        <v>5.1349999999999909</v>
      </c>
      <c r="Q378" s="124">
        <f t="shared" si="53"/>
        <v>-1.6170000000000009</v>
      </c>
      <c r="R378" s="124"/>
      <c r="S378" s="124"/>
      <c r="T378" s="124"/>
      <c r="U378" s="119">
        <v>4.22</v>
      </c>
      <c r="V378" s="129" t="e">
        <f t="shared" si="56"/>
        <v>#DIV/0!</v>
      </c>
      <c r="W378" s="119"/>
      <c r="X378" s="126"/>
      <c r="Y378" s="119">
        <v>45679</v>
      </c>
      <c r="Z378" s="126">
        <v>-0.23</v>
      </c>
      <c r="AA378" s="108">
        <v>45679</v>
      </c>
      <c r="AB378" s="108">
        <v>-0.38</v>
      </c>
      <c r="AC378" s="108">
        <v>45679</v>
      </c>
      <c r="AD378" s="108">
        <v>-0.45</v>
      </c>
      <c r="AG378" s="130">
        <f>'[6]Monthly Palm Oil'!$D5</f>
        <v>1205.2222222222222</v>
      </c>
      <c r="AH378" s="131">
        <f>'[6]Monthly Palm Oil'!$X5</f>
        <v>14.387125402276119</v>
      </c>
      <c r="AI378" s="131">
        <f t="shared" si="59"/>
        <v>0.69192221677149846</v>
      </c>
    </row>
    <row r="379" spans="1:35">
      <c r="A379" s="99">
        <v>37012</v>
      </c>
      <c r="B379" s="119" t="e">
        <f>'[4]Monthly Prices'!$CF19</f>
        <v>#DIV/0!</v>
      </c>
      <c r="C379" s="122">
        <v>159.81363636363633</v>
      </c>
      <c r="D379" s="122">
        <v>14.784347826086956</v>
      </c>
      <c r="E379" s="122" t="e">
        <f t="shared" si="55"/>
        <v>#DIV/0!</v>
      </c>
      <c r="F379" s="121" t="e">
        <f t="shared" si="52"/>
        <v>#DIV/0!</v>
      </c>
      <c r="G379" s="127" t="e">
        <f t="shared" si="54"/>
        <v>#DIV/0!</v>
      </c>
      <c r="J379" s="122">
        <v>4.57</v>
      </c>
      <c r="K379" s="122">
        <v>165.14</v>
      </c>
      <c r="L379" s="122">
        <v>13.53</v>
      </c>
      <c r="M379" s="122">
        <f t="shared" si="57"/>
        <v>0.55137999999999909</v>
      </c>
      <c r="N379" s="128">
        <f t="shared" si="58"/>
        <v>0.29060526654925045</v>
      </c>
      <c r="O379" s="124" t="e">
        <f t="shared" si="53"/>
        <v>#DIV/0!</v>
      </c>
      <c r="P379" s="124">
        <f t="shared" si="53"/>
        <v>5.3263636363636522</v>
      </c>
      <c r="Q379" s="124">
        <f t="shared" si="53"/>
        <v>-1.2543478260869563</v>
      </c>
      <c r="R379" s="124"/>
      <c r="S379" s="124"/>
      <c r="T379" s="124"/>
      <c r="U379" s="119">
        <v>4.33</v>
      </c>
      <c r="V379" s="129" t="e">
        <f t="shared" si="56"/>
        <v>#DIV/0!</v>
      </c>
      <c r="W379" s="119"/>
      <c r="X379" s="126"/>
      <c r="Y379" s="119">
        <v>45680</v>
      </c>
      <c r="Z379" s="126">
        <v>-0.21</v>
      </c>
      <c r="AA379" s="108">
        <v>45680</v>
      </c>
      <c r="AB379" s="108">
        <v>-0.38</v>
      </c>
      <c r="AC379" s="108">
        <v>45680</v>
      </c>
      <c r="AD379" s="108">
        <v>-0.45</v>
      </c>
      <c r="AG379" s="130">
        <f>'[6]Monthly Palm Oil'!$D6</f>
        <v>1085.4000000000001</v>
      </c>
      <c r="AH379" s="131">
        <f>'[6]Monthly Palm Oil'!$X6</f>
        <v>12.95656398228977</v>
      </c>
      <c r="AI379" s="131">
        <f t="shared" si="59"/>
        <v>4.4867693510435647</v>
      </c>
    </row>
    <row r="380" spans="1:35">
      <c r="A380" s="99">
        <v>37043</v>
      </c>
      <c r="B380" s="119" t="e">
        <f>'[4]Monthly Prices'!$CF20</f>
        <v>#DIV/0!</v>
      </c>
      <c r="C380" s="122">
        <v>167.87142857142854</v>
      </c>
      <c r="D380" s="122">
        <v>15.079047619047618</v>
      </c>
      <c r="E380" s="122" t="e">
        <f t="shared" si="55"/>
        <v>#DIV/0!</v>
      </c>
      <c r="F380" s="121" t="e">
        <f t="shared" si="52"/>
        <v>#DIV/0!</v>
      </c>
      <c r="G380" s="127" t="e">
        <f t="shared" si="54"/>
        <v>#DIV/0!</v>
      </c>
      <c r="J380" s="122">
        <v>4.74</v>
      </c>
      <c r="K380" s="122">
        <v>172.6</v>
      </c>
      <c r="L380" s="122">
        <v>14.21</v>
      </c>
      <c r="M380" s="122">
        <f t="shared" si="57"/>
        <v>0.6203000000000003</v>
      </c>
      <c r="N380" s="128">
        <f t="shared" si="58"/>
        <v>0.29160681305150826</v>
      </c>
      <c r="O380" s="124" t="e">
        <f t="shared" si="53"/>
        <v>#DIV/0!</v>
      </c>
      <c r="P380" s="124">
        <f t="shared" si="53"/>
        <v>4.7285714285714562</v>
      </c>
      <c r="Q380" s="124">
        <f t="shared" si="53"/>
        <v>-0.86904761904761685</v>
      </c>
      <c r="R380" s="124"/>
      <c r="S380" s="124"/>
      <c r="T380" s="124"/>
      <c r="U380" s="119">
        <v>4.46</v>
      </c>
      <c r="V380" s="129" t="e">
        <f t="shared" si="56"/>
        <v>#DIV/0!</v>
      </c>
      <c r="W380" s="119"/>
      <c r="X380" s="126"/>
      <c r="Y380" s="119">
        <v>45681</v>
      </c>
      <c r="Z380" s="126">
        <v>-0.19</v>
      </c>
      <c r="AA380" s="108">
        <v>45681</v>
      </c>
      <c r="AB380" s="108">
        <v>-0.38</v>
      </c>
      <c r="AC380" s="108">
        <v>45681</v>
      </c>
      <c r="AD380" s="108">
        <v>-0.45</v>
      </c>
      <c r="AG380" s="130">
        <f>'[6]Monthly Palm Oil'!$D7</f>
        <v>1054.047619047619</v>
      </c>
      <c r="AH380" s="131">
        <f>'[6]Monthly Palm Oil'!$X7</f>
        <v>12.582816687846057</v>
      </c>
      <c r="AI380" s="131">
        <f t="shared" si="59"/>
        <v>5.4924007034582889</v>
      </c>
    </row>
    <row r="381" spans="1:35">
      <c r="A381" s="99">
        <v>37073</v>
      </c>
      <c r="B381" s="119" t="e">
        <f>'[4]Monthly Prices'!$CF21</f>
        <v>#DIV/0!</v>
      </c>
      <c r="C381" s="122">
        <v>174.42857142857142</v>
      </c>
      <c r="D381" s="122">
        <v>17.443333333333335</v>
      </c>
      <c r="E381" s="122" t="e">
        <f t="shared" si="55"/>
        <v>#DIV/0!</v>
      </c>
      <c r="F381" s="121" t="e">
        <f t="shared" si="52"/>
        <v>#DIV/0!</v>
      </c>
      <c r="G381" s="127" t="e">
        <f t="shared" si="54"/>
        <v>#DIV/0!</v>
      </c>
      <c r="J381" s="122">
        <v>5.17</v>
      </c>
      <c r="K381" s="122">
        <v>184.29</v>
      </c>
      <c r="L381" s="122">
        <v>16.489999999999998</v>
      </c>
      <c r="M381" s="122">
        <f t="shared" si="57"/>
        <v>0.69827999999999868</v>
      </c>
      <c r="N381" s="128">
        <f t="shared" si="58"/>
        <v>0.30910249681337637</v>
      </c>
      <c r="O381" s="124" t="e">
        <f t="shared" si="53"/>
        <v>#DIV/0!</v>
      </c>
      <c r="P381" s="124">
        <f t="shared" si="53"/>
        <v>9.8614285714285757</v>
      </c>
      <c r="Q381" s="124">
        <f t="shared" si="53"/>
        <v>-0.9533333333333367</v>
      </c>
      <c r="R381" s="124"/>
      <c r="S381" s="124"/>
      <c r="T381" s="124"/>
      <c r="U381" s="119">
        <v>4.79</v>
      </c>
      <c r="V381" s="129" t="e">
        <f t="shared" si="56"/>
        <v>#DIV/0!</v>
      </c>
      <c r="W381" s="119"/>
      <c r="X381" s="126"/>
      <c r="Y381" s="119">
        <v>45684</v>
      </c>
      <c r="Z381" s="126">
        <v>-0.19</v>
      </c>
      <c r="AA381" s="108">
        <v>45684</v>
      </c>
      <c r="AB381" s="108">
        <v>-0.38</v>
      </c>
      <c r="AC381" s="108">
        <v>45684</v>
      </c>
      <c r="AD381" s="108">
        <v>-0.45</v>
      </c>
      <c r="AG381" s="130">
        <f>'[6]Monthly Palm Oil'!$D8</f>
        <v>1034.75</v>
      </c>
      <c r="AH381" s="131">
        <f>'[6]Monthly Palm Oil'!$X8</f>
        <v>12.352059849469626</v>
      </c>
      <c r="AI381" s="131">
        <f t="shared" si="59"/>
        <v>3.9291166211186095</v>
      </c>
    </row>
    <row r="382" spans="1:35">
      <c r="A382" s="99">
        <v>37104</v>
      </c>
      <c r="B382" s="119" t="e">
        <f>'[4]Monthly Prices'!$CF22</f>
        <v>#DIV/0!</v>
      </c>
      <c r="C382" s="122">
        <v>169.26956521739132</v>
      </c>
      <c r="D382" s="122">
        <v>18.075217391304346</v>
      </c>
      <c r="E382" s="122" t="e">
        <f t="shared" si="55"/>
        <v>#DIV/0!</v>
      </c>
      <c r="F382" s="121" t="e">
        <f t="shared" si="52"/>
        <v>#DIV/0!</v>
      </c>
      <c r="G382" s="127" t="e">
        <f t="shared" si="54"/>
        <v>#DIV/0!</v>
      </c>
      <c r="J382" s="122">
        <v>5.0999999999999996</v>
      </c>
      <c r="K382" s="122">
        <v>178.46</v>
      </c>
      <c r="L382" s="122">
        <v>17.079999999999998</v>
      </c>
      <c r="M382" s="122">
        <f t="shared" si="57"/>
        <v>0.70492000000000044</v>
      </c>
      <c r="N382" s="128">
        <f t="shared" si="58"/>
        <v>0.32365648449935569</v>
      </c>
      <c r="O382" s="124" t="e">
        <f t="shared" si="53"/>
        <v>#DIV/0!</v>
      </c>
      <c r="P382" s="124">
        <f t="shared" si="53"/>
        <v>9.1904347826086905</v>
      </c>
      <c r="Q382" s="124">
        <f t="shared" si="53"/>
        <v>-0.99521739130434739</v>
      </c>
      <c r="R382" s="124"/>
      <c r="S382" s="124"/>
      <c r="T382" s="124"/>
      <c r="U382" s="119">
        <v>4.8499999999999996</v>
      </c>
      <c r="V382" s="129" t="e">
        <f t="shared" si="56"/>
        <v>#DIV/0!</v>
      </c>
      <c r="W382" s="119"/>
      <c r="X382" s="126"/>
      <c r="Y382" s="119">
        <v>45685</v>
      </c>
      <c r="Z382" s="126">
        <v>-0.18</v>
      </c>
      <c r="AA382" s="108">
        <v>45685</v>
      </c>
      <c r="AB382" s="108">
        <v>-0.39</v>
      </c>
      <c r="AC382" s="108">
        <v>45685</v>
      </c>
      <c r="AD382" s="108">
        <v>-0.45</v>
      </c>
      <c r="AG382" s="130">
        <f>'[6]Monthly Palm Oil'!$D9</f>
        <v>1013.5909090909091</v>
      </c>
      <c r="AH382" s="131">
        <f>'[6]Monthly Palm Oil'!$X9</f>
        <v>12.099380186498367</v>
      </c>
      <c r="AI382" s="131">
        <f t="shared" si="59"/>
        <v>3.139315465675546</v>
      </c>
    </row>
    <row r="383" spans="1:35">
      <c r="A383" s="99">
        <v>37135</v>
      </c>
      <c r="B383" s="119" t="e">
        <f>'[4]Monthly Prices'!$CF23</f>
        <v>#DIV/0!</v>
      </c>
      <c r="C383" s="122">
        <v>165.84117647058824</v>
      </c>
      <c r="D383" s="122">
        <v>16.281176470588235</v>
      </c>
      <c r="E383" s="122" t="e">
        <f t="shared" si="55"/>
        <v>#DIV/0!</v>
      </c>
      <c r="F383" s="121" t="e">
        <f t="shared" si="52"/>
        <v>#DIV/0!</v>
      </c>
      <c r="G383" s="127" t="e">
        <f t="shared" si="54"/>
        <v>#DIV/0!</v>
      </c>
      <c r="J383" s="122">
        <v>4.6900000000000004</v>
      </c>
      <c r="K383" s="122">
        <v>171.49</v>
      </c>
      <c r="L383" s="122">
        <v>15.46</v>
      </c>
      <c r="M383" s="122">
        <f t="shared" si="57"/>
        <v>0.78338000000000019</v>
      </c>
      <c r="N383" s="128">
        <f t="shared" si="58"/>
        <v>0.31070380642308776</v>
      </c>
      <c r="O383" s="124" t="e">
        <f t="shared" si="53"/>
        <v>#DIV/0!</v>
      </c>
      <c r="P383" s="124">
        <f t="shared" si="53"/>
        <v>5.6488235294117715</v>
      </c>
      <c r="Q383" s="124">
        <f t="shared" si="53"/>
        <v>-0.82117647058823451</v>
      </c>
      <c r="R383" s="124"/>
      <c r="S383" s="124"/>
      <c r="T383" s="124"/>
      <c r="U383" s="119">
        <v>4.53</v>
      </c>
      <c r="V383" s="129" t="e">
        <f t="shared" si="56"/>
        <v>#DIV/0!</v>
      </c>
      <c r="W383" s="119"/>
      <c r="X383" s="126"/>
      <c r="Y383" s="119">
        <v>45686</v>
      </c>
      <c r="Z383" s="126">
        <v>-0.15</v>
      </c>
      <c r="AA383" s="108">
        <v>45686</v>
      </c>
      <c r="AB383" s="108">
        <v>-0.4</v>
      </c>
      <c r="AC383" s="108">
        <v>45686</v>
      </c>
      <c r="AD383" s="108">
        <v>-0.48</v>
      </c>
      <c r="AG383" s="130">
        <f>'[6]Monthly Palm Oil'!$D10</f>
        <v>950.65</v>
      </c>
      <c r="AH383" s="131">
        <f>'[6]Monthly Palm Oil'!$X10</f>
        <v>11.348144617011222</v>
      </c>
      <c r="AI383" s="131">
        <f t="shared" si="59"/>
        <v>4.6604268115602032</v>
      </c>
    </row>
    <row r="384" spans="1:35">
      <c r="A384" s="99">
        <v>37165</v>
      </c>
      <c r="B384" s="119" t="e">
        <f>'[4]Monthly Prices'!$CF24</f>
        <v>#DIV/0!</v>
      </c>
      <c r="C384" s="122">
        <v>160.65217391304347</v>
      </c>
      <c r="D384" s="122">
        <v>15.238695652173913</v>
      </c>
      <c r="E384" s="122" t="e">
        <f t="shared" si="55"/>
        <v>#DIV/0!</v>
      </c>
      <c r="F384" s="121" t="e">
        <f t="shared" si="52"/>
        <v>#DIV/0!</v>
      </c>
      <c r="G384" s="127" t="e">
        <f t="shared" si="54"/>
        <v>#DIV/0!</v>
      </c>
      <c r="J384" s="122">
        <v>4.3</v>
      </c>
      <c r="K384" s="122">
        <v>165.45</v>
      </c>
      <c r="L384" s="122">
        <v>14.38</v>
      </c>
      <c r="M384" s="122">
        <f t="shared" si="57"/>
        <v>0.92170000000000041</v>
      </c>
      <c r="N384" s="128">
        <f t="shared" si="58"/>
        <v>0.30292816515694121</v>
      </c>
      <c r="O384" s="124" t="e">
        <f t="shared" si="53"/>
        <v>#DIV/0!</v>
      </c>
      <c r="P384" s="124">
        <f t="shared" si="53"/>
        <v>4.797826086956519</v>
      </c>
      <c r="Q384" s="124">
        <f t="shared" si="53"/>
        <v>-0.85869565217391219</v>
      </c>
      <c r="R384" s="124"/>
      <c r="S384" s="124"/>
      <c r="T384" s="124"/>
      <c r="U384" s="119">
        <v>4.09</v>
      </c>
      <c r="V384" s="129" t="e">
        <f t="shared" si="56"/>
        <v>#DIV/0!</v>
      </c>
      <c r="W384" s="119"/>
      <c r="X384" s="126"/>
      <c r="Y384" s="119">
        <v>45687</v>
      </c>
      <c r="Z384" s="126">
        <v>-0.15</v>
      </c>
      <c r="AA384" s="108">
        <v>45687</v>
      </c>
      <c r="AB384" s="108">
        <v>-0.49</v>
      </c>
      <c r="AC384" s="108">
        <v>45687</v>
      </c>
      <c r="AD384" s="108">
        <v>-0.48</v>
      </c>
      <c r="AG384" s="130">
        <f>'[6]Monthly Palm Oil'!$D11</f>
        <v>836.71428571428567</v>
      </c>
      <c r="AH384" s="131">
        <f>'[6]Monthly Palm Oil'!$X11</f>
        <v>9.9879117226211651</v>
      </c>
      <c r="AI384" s="131">
        <f t="shared" si="59"/>
        <v>5.9141935405367292</v>
      </c>
    </row>
    <row r="385" spans="1:35">
      <c r="A385" s="99">
        <v>37196</v>
      </c>
      <c r="B385" s="119" t="e">
        <f>'[4]Monthly Prices'!$CF25</f>
        <v>#DIV/0!</v>
      </c>
      <c r="C385" s="122">
        <v>161.47142857142856</v>
      </c>
      <c r="D385" s="122">
        <v>16.008571428571425</v>
      </c>
      <c r="E385" s="122" t="e">
        <f t="shared" si="55"/>
        <v>#DIV/0!</v>
      </c>
      <c r="F385" s="121" t="e">
        <f t="shared" si="52"/>
        <v>#DIV/0!</v>
      </c>
      <c r="G385" s="127" t="e">
        <f t="shared" si="54"/>
        <v>#DIV/0!</v>
      </c>
      <c r="J385" s="122">
        <v>4.41</v>
      </c>
      <c r="K385" s="122">
        <v>166.1</v>
      </c>
      <c r="L385" s="122">
        <v>15.23</v>
      </c>
      <c r="M385" s="122">
        <f t="shared" si="57"/>
        <v>0.91949999999999932</v>
      </c>
      <c r="N385" s="128">
        <f t="shared" si="58"/>
        <v>0.31434468524251807</v>
      </c>
      <c r="O385" s="124" t="e">
        <f t="shared" si="53"/>
        <v>#DIV/0!</v>
      </c>
      <c r="P385" s="124">
        <f t="shared" si="53"/>
        <v>4.6285714285714334</v>
      </c>
      <c r="Q385" s="124">
        <f t="shared" si="53"/>
        <v>-0.77857142857142492</v>
      </c>
      <c r="R385" s="124"/>
      <c r="S385" s="124"/>
      <c r="T385" s="124"/>
      <c r="U385" s="119">
        <v>4.16</v>
      </c>
      <c r="V385" s="129" t="e">
        <f t="shared" si="56"/>
        <v>#DIV/0!</v>
      </c>
      <c r="W385" s="119"/>
      <c r="X385" s="126"/>
      <c r="Y385" s="119">
        <v>45688</v>
      </c>
      <c r="Z385" s="126">
        <v>-0.15</v>
      </c>
      <c r="AA385" s="108">
        <v>45688</v>
      </c>
      <c r="AB385" s="108">
        <v>-0.49</v>
      </c>
      <c r="AC385" s="108">
        <v>45688</v>
      </c>
      <c r="AD385" s="108">
        <v>-0.48</v>
      </c>
      <c r="AG385" s="130">
        <f>'[6]Monthly Palm Oil'!$D12</f>
        <v>845.23809523809518</v>
      </c>
      <c r="AH385" s="131">
        <f>'[6]Monthly Palm Oil'!$X12</f>
        <v>10.08985193839283</v>
      </c>
      <c r="AI385" s="131">
        <f t="shared" si="59"/>
        <v>5.550148061607171</v>
      </c>
    </row>
    <row r="386" spans="1:35">
      <c r="A386" s="99">
        <v>37226</v>
      </c>
      <c r="B386" s="119" t="e">
        <f>'[4]Monthly Prices'!$CF26</f>
        <v>#DIV/0!</v>
      </c>
      <c r="C386" s="122">
        <v>149.74</v>
      </c>
      <c r="D386" s="122">
        <v>15.902105263157894</v>
      </c>
      <c r="E386" s="122" t="e">
        <f t="shared" si="55"/>
        <v>#DIV/0!</v>
      </c>
      <c r="F386" s="121" t="e">
        <f t="shared" si="52"/>
        <v>#DIV/0!</v>
      </c>
      <c r="G386" s="127" t="e">
        <f t="shared" si="54"/>
        <v>#DIV/0!</v>
      </c>
      <c r="J386" s="122">
        <v>4.38</v>
      </c>
      <c r="K386" s="122">
        <v>154.18</v>
      </c>
      <c r="L386" s="122">
        <v>15.1</v>
      </c>
      <c r="M386" s="122">
        <f t="shared" si="57"/>
        <v>0.67296000000000067</v>
      </c>
      <c r="N386" s="128">
        <f t="shared" si="58"/>
        <v>0.3287182166492511</v>
      </c>
      <c r="O386" s="124" t="e">
        <f t="shared" si="53"/>
        <v>#DIV/0!</v>
      </c>
      <c r="P386" s="124">
        <f t="shared" si="53"/>
        <v>4.4399999999999977</v>
      </c>
      <c r="Q386" s="124">
        <f t="shared" si="53"/>
        <v>-0.80210526315789465</v>
      </c>
      <c r="R386" s="124"/>
      <c r="S386" s="124"/>
      <c r="T386" s="124"/>
      <c r="U386" s="119">
        <v>4.2</v>
      </c>
      <c r="V386" s="129" t="e">
        <f t="shared" si="56"/>
        <v>#DIV/0!</v>
      </c>
      <c r="W386" s="119"/>
      <c r="X386" s="126"/>
      <c r="Y386" s="119">
        <v>45691</v>
      </c>
      <c r="Z386" s="126">
        <v>-0.15</v>
      </c>
      <c r="AA386" s="108">
        <v>45691</v>
      </c>
      <c r="AB386" s="108">
        <v>-0.49</v>
      </c>
      <c r="AC386" s="108">
        <v>45691</v>
      </c>
      <c r="AD386" s="108">
        <v>-0.48</v>
      </c>
      <c r="AG386" s="130">
        <f>'[6]Monthly Palm Oil'!$D13</f>
        <v>810.29411764705878</v>
      </c>
      <c r="AH386" s="131">
        <f>'[6]Monthly Palm Oil'!$X13</f>
        <v>9.6729961441996011</v>
      </c>
      <c r="AI386" s="131">
        <f t="shared" si="59"/>
        <v>5.8370038558003987</v>
      </c>
    </row>
    <row r="387" spans="1:35">
      <c r="A387" s="99">
        <v>37257</v>
      </c>
      <c r="B387" s="119" t="e">
        <f>'[4]Monthly Prices'!$CF27</f>
        <v>#DIV/0!</v>
      </c>
      <c r="C387" s="119">
        <v>151.61000000000001</v>
      </c>
      <c r="D387" s="119">
        <v>15.64</v>
      </c>
      <c r="E387" s="122" t="e">
        <f t="shared" si="55"/>
        <v>#DIV/0!</v>
      </c>
      <c r="F387" s="121" t="e">
        <f t="shared" ref="F387:F450" si="60">D387/100*11/(B387+E387)</f>
        <v>#DIV/0!</v>
      </c>
      <c r="G387" s="127" t="e">
        <f t="shared" si="54"/>
        <v>#DIV/0!</v>
      </c>
      <c r="J387" s="122">
        <v>4.37</v>
      </c>
      <c r="K387" s="122">
        <v>158.01</v>
      </c>
      <c r="L387" s="122">
        <v>14.82</v>
      </c>
      <c r="M387" s="122">
        <f t="shared" si="57"/>
        <v>0.73641999999999985</v>
      </c>
      <c r="N387" s="128">
        <f t="shared" si="58"/>
        <v>0.31924518547240532</v>
      </c>
      <c r="O387" s="124" t="e">
        <f t="shared" ref="O387:Q450" si="61">J387-B387</f>
        <v>#DIV/0!</v>
      </c>
      <c r="P387" s="124">
        <f t="shared" si="61"/>
        <v>6.3999999999999773</v>
      </c>
      <c r="Q387" s="124">
        <f t="shared" si="61"/>
        <v>-0.82000000000000028</v>
      </c>
      <c r="R387" s="124"/>
      <c r="S387" s="124"/>
      <c r="T387" s="124"/>
      <c r="U387" s="119">
        <v>4.22</v>
      </c>
      <c r="V387" s="129" t="e">
        <f t="shared" si="56"/>
        <v>#DIV/0!</v>
      </c>
      <c r="W387" s="119"/>
      <c r="X387" s="126"/>
      <c r="Y387" s="119">
        <v>45692</v>
      </c>
      <c r="Z387" s="126">
        <v>-0.15</v>
      </c>
      <c r="AA387" s="108">
        <v>45692</v>
      </c>
      <c r="AB387" s="108">
        <v>-0.5</v>
      </c>
      <c r="AC387" s="108">
        <v>45692</v>
      </c>
      <c r="AD387" s="108">
        <v>-0.48</v>
      </c>
      <c r="AG387" s="130">
        <f>'[6]Monthly Palm Oil'!$D14</f>
        <v>791.05555555555554</v>
      </c>
      <c r="AH387" s="131">
        <f>'[6]Monthly Palm Oil'!$X14</f>
        <v>9.4437484953564095</v>
      </c>
      <c r="AI387" s="131">
        <f t="shared" si="59"/>
        <v>6.8562515046435912</v>
      </c>
    </row>
    <row r="388" spans="1:35">
      <c r="A388" s="99">
        <v>37288</v>
      </c>
      <c r="B388" s="119" t="e">
        <f>'[4]Monthly Prices'!$CF28</f>
        <v>#DIV/0!</v>
      </c>
      <c r="C388" s="119">
        <v>150.09</v>
      </c>
      <c r="D388" s="119">
        <v>15.51</v>
      </c>
      <c r="E388" s="122" t="e">
        <f t="shared" si="55"/>
        <v>#DIV/0!</v>
      </c>
      <c r="F388" s="121" t="e">
        <f t="shared" si="60"/>
        <v>#DIV/0!</v>
      </c>
      <c r="G388" s="127" t="e">
        <f t="shared" ref="G388:G451" si="62">F388-F387</f>
        <v>#DIV/0!</v>
      </c>
      <c r="J388" s="122">
        <v>4.4000000000000004</v>
      </c>
      <c r="K388" s="122">
        <v>153.11000000000001</v>
      </c>
      <c r="L388" s="122">
        <v>14.15</v>
      </c>
      <c r="M388" s="122">
        <f t="shared" si="57"/>
        <v>0.52491999999999983</v>
      </c>
      <c r="N388" s="128">
        <f t="shared" si="58"/>
        <v>0.31604574287501119</v>
      </c>
      <c r="O388" s="124" t="e">
        <f t="shared" si="61"/>
        <v>#DIV/0!</v>
      </c>
      <c r="P388" s="124">
        <f t="shared" si="61"/>
        <v>3.0200000000000102</v>
      </c>
      <c r="Q388" s="124">
        <f t="shared" si="61"/>
        <v>-1.3599999999999994</v>
      </c>
      <c r="R388" s="124"/>
      <c r="S388" s="124"/>
      <c r="T388" s="124"/>
      <c r="U388" s="119">
        <v>4.22</v>
      </c>
      <c r="V388" s="129" t="e">
        <f t="shared" si="56"/>
        <v>#DIV/0!</v>
      </c>
      <c r="W388" s="119"/>
      <c r="X388" s="126"/>
      <c r="Y388" s="119">
        <v>45693</v>
      </c>
      <c r="Z388" s="126">
        <v>-0.15</v>
      </c>
      <c r="AA388" s="108">
        <v>45693</v>
      </c>
      <c r="AB388" s="108">
        <v>-0.51</v>
      </c>
      <c r="AC388" s="108">
        <v>45693</v>
      </c>
      <c r="AD388" s="108">
        <v>-0.48</v>
      </c>
      <c r="AG388" s="130">
        <f>'[6]Monthly Palm Oil'!$D15</f>
        <v>744.72222222222217</v>
      </c>
      <c r="AH388" s="131">
        <f>'[6]Monthly Palm Oil'!$X15</f>
        <v>8.8903024746151615</v>
      </c>
      <c r="AI388" s="131">
        <f t="shared" si="59"/>
        <v>7.6696975253848372</v>
      </c>
    </row>
    <row r="389" spans="1:35">
      <c r="A389" s="99">
        <v>37316</v>
      </c>
      <c r="B389" s="119" t="e">
        <f>'[4]Monthly Prices'!$CF29</f>
        <v>#DIV/0!</v>
      </c>
      <c r="C389" s="119">
        <v>157</v>
      </c>
      <c r="D389" s="119">
        <v>16.3</v>
      </c>
      <c r="E389" s="122" t="e">
        <f t="shared" si="55"/>
        <v>#DIV/0!</v>
      </c>
      <c r="F389" s="121" t="e">
        <f t="shared" si="60"/>
        <v>#DIV/0!</v>
      </c>
      <c r="G389" s="127" t="e">
        <f t="shared" si="62"/>
        <v>#DIV/0!</v>
      </c>
      <c r="J389" s="122">
        <v>4.6399999999999997</v>
      </c>
      <c r="K389" s="122">
        <v>160.49</v>
      </c>
      <c r="L389" s="122">
        <v>14.75</v>
      </c>
      <c r="M389" s="122">
        <f t="shared" si="57"/>
        <v>0.51328000000000085</v>
      </c>
      <c r="N389" s="128">
        <f t="shared" si="58"/>
        <v>0.314848019125683</v>
      </c>
      <c r="O389" s="124" t="e">
        <f t="shared" si="61"/>
        <v>#DIV/0!</v>
      </c>
      <c r="P389" s="124">
        <f t="shared" si="61"/>
        <v>3.4900000000000091</v>
      </c>
      <c r="Q389" s="124">
        <f t="shared" si="61"/>
        <v>-1.5500000000000007</v>
      </c>
      <c r="R389" s="124">
        <f>AVERAGE(J387:J389)</f>
        <v>4.47</v>
      </c>
      <c r="S389" s="124">
        <f>AVERAGE(K387:K389)</f>
        <v>157.20333333333335</v>
      </c>
      <c r="T389" s="124">
        <f>AVERAGE(L387:L389)</f>
        <v>14.573333333333332</v>
      </c>
      <c r="U389" s="119">
        <v>4.38</v>
      </c>
      <c r="V389" s="129" t="e">
        <f t="shared" si="56"/>
        <v>#DIV/0!</v>
      </c>
      <c r="W389" s="119"/>
      <c r="X389" s="126"/>
      <c r="Y389" s="119">
        <v>45694</v>
      </c>
      <c r="Z389" s="126">
        <v>-0.15</v>
      </c>
      <c r="AA389" s="108">
        <v>45694</v>
      </c>
      <c r="AB389" s="108">
        <v>-0.51</v>
      </c>
      <c r="AC389" s="108">
        <v>45694</v>
      </c>
      <c r="AD389" s="108">
        <v>-0.48</v>
      </c>
      <c r="AG389" s="130">
        <f>'[6]Monthly Palm Oil'!$D16</f>
        <v>837.05</v>
      </c>
      <c r="AH389" s="131">
        <f>'[6]Monthly Palm Oil'!$X16</f>
        <v>9.9923464302032716</v>
      </c>
      <c r="AI389" s="131">
        <f t="shared" si="59"/>
        <v>7.1676535697967285</v>
      </c>
    </row>
    <row r="390" spans="1:35">
      <c r="A390" s="99">
        <v>37347</v>
      </c>
      <c r="B390" s="119" t="e">
        <f>'[4]Monthly Prices'!$CF30</f>
        <v>#DIV/0!</v>
      </c>
      <c r="C390" s="119">
        <v>159.6</v>
      </c>
      <c r="D390" s="119">
        <v>16.559999999999999</v>
      </c>
      <c r="E390" s="122" t="e">
        <f t="shared" si="55"/>
        <v>#DIV/0!</v>
      </c>
      <c r="F390" s="121" t="e">
        <f t="shared" si="60"/>
        <v>#DIV/0!</v>
      </c>
      <c r="G390" s="127" t="e">
        <f t="shared" si="62"/>
        <v>#DIV/0!</v>
      </c>
      <c r="J390" s="122">
        <v>4.71</v>
      </c>
      <c r="K390" s="122">
        <v>161.57</v>
      </c>
      <c r="L390" s="122">
        <v>15.31</v>
      </c>
      <c r="M390" s="122">
        <f t="shared" si="57"/>
        <v>0.52864000000000022</v>
      </c>
      <c r="N390" s="128">
        <f t="shared" si="58"/>
        <v>0.32147656643709055</v>
      </c>
      <c r="O390" s="124" t="e">
        <f t="shared" si="61"/>
        <v>#DIV/0!</v>
      </c>
      <c r="P390" s="124">
        <f t="shared" si="61"/>
        <v>1.9699999999999989</v>
      </c>
      <c r="Q390" s="124">
        <f t="shared" si="61"/>
        <v>-1.2499999999999982</v>
      </c>
      <c r="R390" s="124"/>
      <c r="S390" s="124"/>
      <c r="T390" s="124"/>
      <c r="U390" s="119">
        <v>4.47</v>
      </c>
      <c r="V390" s="129" t="e">
        <f t="shared" si="56"/>
        <v>#DIV/0!</v>
      </c>
      <c r="W390" s="132"/>
      <c r="X390" s="126"/>
      <c r="Y390" s="133">
        <v>45695</v>
      </c>
      <c r="Z390" s="126">
        <v>-0.15</v>
      </c>
      <c r="AA390" s="108">
        <v>45695</v>
      </c>
      <c r="AB390" s="108">
        <v>-0.51</v>
      </c>
      <c r="AC390" s="108">
        <v>45695</v>
      </c>
      <c r="AD390" s="108">
        <v>-0.48</v>
      </c>
      <c r="AG390" s="130">
        <f>'[6]Monthly Palm Oil'!$D17</f>
        <v>818.6</v>
      </c>
      <c r="AH390" s="131">
        <f>'[6]Monthly Palm Oil'!$X17</f>
        <v>9.7721846753870842</v>
      </c>
      <c r="AI390" s="131">
        <f t="shared" si="59"/>
        <v>8.3278153246129172</v>
      </c>
    </row>
    <row r="391" spans="1:35">
      <c r="A391" s="99">
        <v>37377</v>
      </c>
      <c r="B391" s="119" t="e">
        <f>'[4]Monthly Prices'!$CF31</f>
        <v>#DIV/0!</v>
      </c>
      <c r="C391" s="119">
        <v>162</v>
      </c>
      <c r="D391" s="119">
        <v>17.16</v>
      </c>
      <c r="E391" s="122" t="e">
        <f t="shared" si="55"/>
        <v>#DIV/0!</v>
      </c>
      <c r="F391" s="121" t="e">
        <f t="shared" si="60"/>
        <v>#DIV/0!</v>
      </c>
      <c r="G391" s="127" t="e">
        <f t="shared" si="62"/>
        <v>#DIV/0!</v>
      </c>
      <c r="J391" s="122">
        <v>4.92</v>
      </c>
      <c r="K391" s="122">
        <v>164.28</v>
      </c>
      <c r="L391" s="122">
        <v>15.99</v>
      </c>
      <c r="M391" s="122">
        <f t="shared" si="57"/>
        <v>0.45306000000000068</v>
      </c>
      <c r="N391" s="128">
        <f t="shared" si="58"/>
        <v>0.32735536174917085</v>
      </c>
      <c r="O391" s="124" t="e">
        <f t="shared" si="61"/>
        <v>#DIV/0!</v>
      </c>
      <c r="P391" s="124">
        <f t="shared" si="61"/>
        <v>2.2800000000000011</v>
      </c>
      <c r="Q391" s="124">
        <f t="shared" si="61"/>
        <v>-1.17</v>
      </c>
      <c r="R391" s="124"/>
      <c r="S391" s="124"/>
      <c r="T391" s="124"/>
      <c r="U391" s="119">
        <v>4.6399999999999997</v>
      </c>
      <c r="V391" s="129" t="e">
        <f t="shared" si="56"/>
        <v>#DIV/0!</v>
      </c>
      <c r="W391" s="119"/>
      <c r="X391" s="126"/>
      <c r="Y391" s="119">
        <v>45698</v>
      </c>
      <c r="Z391" s="126">
        <v>-0.15</v>
      </c>
      <c r="AA391" s="108">
        <v>45698</v>
      </c>
      <c r="AB391" s="108">
        <v>-0.51</v>
      </c>
      <c r="AC391" s="108">
        <v>45698</v>
      </c>
      <c r="AD391" s="108">
        <v>-0.48</v>
      </c>
      <c r="AG391" s="130">
        <f>'[6]Monthly Palm Oil'!$D18</f>
        <v>768.15</v>
      </c>
      <c r="AH391" s="131">
        <f>'[6]Monthly Palm Oil'!$X18</f>
        <v>9.169943912351993</v>
      </c>
      <c r="AI391" s="131">
        <f t="shared" si="59"/>
        <v>10.040056087648008</v>
      </c>
    </row>
    <row r="392" spans="1:35">
      <c r="A392" s="99">
        <v>37408</v>
      </c>
      <c r="B392" s="119" t="e">
        <f>'[4]Monthly Prices'!$CF32</f>
        <v>#DIV/0!</v>
      </c>
      <c r="C392" s="119">
        <v>168.59</v>
      </c>
      <c r="D392" s="119">
        <v>18.100000000000001</v>
      </c>
      <c r="E392" s="122" t="e">
        <f t="shared" si="55"/>
        <v>#DIV/0!</v>
      </c>
      <c r="F392" s="121" t="e">
        <f t="shared" si="60"/>
        <v>#DIV/0!</v>
      </c>
      <c r="G392" s="127" t="e">
        <f t="shared" si="62"/>
        <v>#DIV/0!</v>
      </c>
      <c r="J392" s="122">
        <v>5.19</v>
      </c>
      <c r="K392" s="122">
        <v>170.33</v>
      </c>
      <c r="L392" s="122">
        <v>17.690000000000001</v>
      </c>
      <c r="M392" s="122">
        <f t="shared" si="57"/>
        <v>0.50316000000000027</v>
      </c>
      <c r="N392" s="128">
        <f t="shared" si="58"/>
        <v>0.34179612025658856</v>
      </c>
      <c r="O392" s="124" t="e">
        <f t="shared" si="61"/>
        <v>#DIV/0!</v>
      </c>
      <c r="P392" s="124">
        <f t="shared" si="61"/>
        <v>1.7400000000000091</v>
      </c>
      <c r="Q392" s="124">
        <f t="shared" si="61"/>
        <v>-0.41000000000000014</v>
      </c>
      <c r="R392" s="124">
        <f>AVERAGE(J390:J392)</f>
        <v>4.9400000000000004</v>
      </c>
      <c r="S392" s="124">
        <f>AVERAGE(K390:K392)</f>
        <v>165.39333333333335</v>
      </c>
      <c r="T392" s="124">
        <f>AVERAGE(L390:L392)</f>
        <v>16.330000000000002</v>
      </c>
      <c r="U392" s="119">
        <v>4.88</v>
      </c>
      <c r="V392" s="129" t="e">
        <f t="shared" si="56"/>
        <v>#DIV/0!</v>
      </c>
      <c r="W392" s="119"/>
      <c r="X392" s="126"/>
      <c r="Y392" s="119">
        <v>45699</v>
      </c>
      <c r="Z392" s="126">
        <v>-0.15</v>
      </c>
      <c r="AA392" s="108">
        <v>45699</v>
      </c>
      <c r="AB392" s="108">
        <v>-0.51</v>
      </c>
      <c r="AC392" s="108">
        <v>45699</v>
      </c>
      <c r="AD392" s="108">
        <v>-0.48</v>
      </c>
      <c r="AG392" s="130">
        <f>'[6]Monthly Palm Oil'!$D19</f>
        <v>817.3</v>
      </c>
      <c r="AH392" s="131">
        <f>'[6]Monthly Palm Oil'!$X19</f>
        <v>9.7565260747010463</v>
      </c>
      <c r="AI392" s="131">
        <f t="shared" si="59"/>
        <v>10.823473925298952</v>
      </c>
    </row>
    <row r="393" spans="1:35">
      <c r="A393" s="99">
        <v>37438</v>
      </c>
      <c r="B393" s="119" t="e">
        <f>'[4]Monthly Prices'!$CF33</f>
        <v>#DIV/0!</v>
      </c>
      <c r="C393" s="119">
        <v>183.03</v>
      </c>
      <c r="D393" s="119">
        <v>19.21</v>
      </c>
      <c r="E393" s="122" t="e">
        <f t="shared" si="55"/>
        <v>#DIV/0!</v>
      </c>
      <c r="F393" s="121" t="e">
        <f t="shared" si="60"/>
        <v>#DIV/0!</v>
      </c>
      <c r="G393" s="127" t="e">
        <f t="shared" si="62"/>
        <v>#DIV/0!</v>
      </c>
      <c r="J393" s="122">
        <v>5.75</v>
      </c>
      <c r="K393" s="122">
        <v>187.45</v>
      </c>
      <c r="L393" s="122">
        <v>19.12</v>
      </c>
      <c r="M393" s="122">
        <f t="shared" si="57"/>
        <v>0.47710000000000008</v>
      </c>
      <c r="N393" s="128">
        <f t="shared" si="58"/>
        <v>0.33774951422010246</v>
      </c>
      <c r="O393" s="124" t="e">
        <f t="shared" si="61"/>
        <v>#DIV/0!</v>
      </c>
      <c r="P393" s="124">
        <f t="shared" si="61"/>
        <v>4.4199999999999875</v>
      </c>
      <c r="Q393" s="124">
        <f t="shared" si="61"/>
        <v>-8.9999999999999858E-2</v>
      </c>
      <c r="R393" s="124"/>
      <c r="S393" s="124"/>
      <c r="T393" s="124"/>
      <c r="U393" s="119">
        <v>5.35</v>
      </c>
      <c r="V393" s="129" t="e">
        <f t="shared" si="56"/>
        <v>#DIV/0!</v>
      </c>
      <c r="W393" s="119"/>
      <c r="X393" s="126"/>
      <c r="Y393" s="119">
        <v>45700</v>
      </c>
      <c r="Z393" s="126">
        <v>-0.15</v>
      </c>
      <c r="AA393" s="108">
        <v>45700</v>
      </c>
      <c r="AB393" s="108">
        <v>-0.51</v>
      </c>
      <c r="AC393" s="108">
        <v>45700</v>
      </c>
      <c r="AD393" s="108">
        <v>-0.48</v>
      </c>
      <c r="AG393" s="130">
        <f>'[6]Monthly Palm Oil'!$D20</f>
        <v>1078.8571428571429</v>
      </c>
      <c r="AH393" s="131">
        <f>'[6]Monthly Palm Oil'!$X20</f>
        <v>12.879261426177047</v>
      </c>
      <c r="AI393" s="131">
        <f t="shared" si="59"/>
        <v>7.2207385738229544</v>
      </c>
    </row>
    <row r="394" spans="1:35">
      <c r="A394" s="99">
        <v>37469</v>
      </c>
      <c r="B394" s="119" t="e">
        <f>'[4]Monthly Prices'!$CF34</f>
        <v>#DIV/0!</v>
      </c>
      <c r="C394" s="119">
        <v>180.09</v>
      </c>
      <c r="D394" s="119">
        <v>20.58</v>
      </c>
      <c r="E394" s="122" t="e">
        <f t="shared" si="55"/>
        <v>#DIV/0!</v>
      </c>
      <c r="F394" s="121" t="e">
        <f t="shared" si="60"/>
        <v>#DIV/0!</v>
      </c>
      <c r="G394" s="127" t="e">
        <f t="shared" si="62"/>
        <v>#DIV/0!</v>
      </c>
      <c r="J394" s="122">
        <v>5.8</v>
      </c>
      <c r="K394" s="122">
        <v>186.25</v>
      </c>
      <c r="L394" s="122">
        <v>20.61</v>
      </c>
      <c r="M394" s="122">
        <f t="shared" si="57"/>
        <v>0.56460000000000043</v>
      </c>
      <c r="N394" s="128">
        <f t="shared" si="58"/>
        <v>0.3562046318700311</v>
      </c>
      <c r="O394" s="124" t="e">
        <f t="shared" si="61"/>
        <v>#DIV/0!</v>
      </c>
      <c r="P394" s="124">
        <f t="shared" si="61"/>
        <v>6.1599999999999966</v>
      </c>
      <c r="Q394" s="124">
        <f t="shared" si="61"/>
        <v>3.0000000000001137E-2</v>
      </c>
      <c r="R394" s="124"/>
      <c r="S394" s="124"/>
      <c r="T394" s="124"/>
      <c r="U394" s="119">
        <v>5.53</v>
      </c>
      <c r="V394" s="129" t="e">
        <f t="shared" si="56"/>
        <v>#DIV/0!</v>
      </c>
      <c r="W394" s="119"/>
      <c r="X394" s="126"/>
      <c r="Y394" s="119">
        <v>45701</v>
      </c>
      <c r="Z394" s="126">
        <v>-0.15</v>
      </c>
      <c r="AA394" s="108">
        <v>45701</v>
      </c>
      <c r="AB394" s="108">
        <v>-0.51</v>
      </c>
      <c r="AC394" s="108">
        <v>45701</v>
      </c>
      <c r="AD394" s="108">
        <v>-0.48</v>
      </c>
      <c r="AG394" s="130">
        <f>'[6]Monthly Palm Oil'!$D21</f>
        <v>1188.7727272727273</v>
      </c>
      <c r="AH394" s="131">
        <f>'[6]Monthly Palm Oil'!$X21</f>
        <v>14.191537528757021</v>
      </c>
      <c r="AI394" s="131">
        <f t="shared" si="59"/>
        <v>6.0284624712429782</v>
      </c>
    </row>
    <row r="395" spans="1:35">
      <c r="A395" s="99">
        <v>37500</v>
      </c>
      <c r="B395" s="119" t="e">
        <f>'[4]Monthly Prices'!$CF35</f>
        <v>#DIV/0!</v>
      </c>
      <c r="C395" s="119">
        <v>179.87</v>
      </c>
      <c r="D395" s="119">
        <v>20.100000000000001</v>
      </c>
      <c r="E395" s="122" t="e">
        <f t="shared" si="55"/>
        <v>#DIV/0!</v>
      </c>
      <c r="F395" s="128" t="e">
        <f t="shared" si="60"/>
        <v>#DIV/0!</v>
      </c>
      <c r="G395" s="127" t="e">
        <f t="shared" si="62"/>
        <v>#DIV/0!</v>
      </c>
      <c r="J395" s="122">
        <v>5.79</v>
      </c>
      <c r="K395" s="122">
        <v>185.45</v>
      </c>
      <c r="L395" s="122">
        <v>20.32</v>
      </c>
      <c r="M395" s="122">
        <f t="shared" si="57"/>
        <v>0.52509999999999923</v>
      </c>
      <c r="N395" s="128">
        <f t="shared" si="58"/>
        <v>0.35394530569587179</v>
      </c>
      <c r="O395" s="124" t="e">
        <f t="shared" si="61"/>
        <v>#DIV/0!</v>
      </c>
      <c r="P395" s="124">
        <f t="shared" si="61"/>
        <v>5.5799999999999841</v>
      </c>
      <c r="Q395" s="124">
        <f t="shared" si="61"/>
        <v>0.21999999999999886</v>
      </c>
      <c r="R395" s="124">
        <f>AVERAGE(J393:J395)</f>
        <v>5.78</v>
      </c>
      <c r="S395" s="124">
        <f>AVERAGE(K393:K395)</f>
        <v>186.38333333333333</v>
      </c>
      <c r="T395" s="124">
        <f>AVERAGE(L393:L395)</f>
        <v>20.016666666666669</v>
      </c>
      <c r="U395" s="119">
        <v>5.39</v>
      </c>
      <c r="V395" s="129" t="e">
        <f t="shared" si="56"/>
        <v>#DIV/0!</v>
      </c>
      <c r="W395" s="134" t="e">
        <f>(SUM(V383,V371,V359,V347,V335)-MAX(V383,V371,V359,V347,V335)-MIN(V383,V371,V359,V347,V335))/3</f>
        <v>#DIV/0!</v>
      </c>
      <c r="X395" s="135" t="e">
        <f t="shared" ref="X395:X459" si="63">V395-W395</f>
        <v>#DIV/0!</v>
      </c>
      <c r="Y395" s="134">
        <v>45702</v>
      </c>
      <c r="Z395" s="135">
        <v>-0.15</v>
      </c>
      <c r="AA395" s="108">
        <v>45702</v>
      </c>
      <c r="AB395" s="108">
        <v>-0.51</v>
      </c>
      <c r="AC395" s="108">
        <v>45702</v>
      </c>
      <c r="AD395" s="108">
        <v>-0.48</v>
      </c>
      <c r="AG395" s="130">
        <f>'[6]Monthly Palm Oil'!$D22</f>
        <v>986.47058823529414</v>
      </c>
      <c r="AH395" s="131">
        <f>'[6]Monthly Palm Oil'!$X22</f>
        <v>11.776359796018825</v>
      </c>
      <c r="AI395" s="131">
        <f t="shared" si="59"/>
        <v>10.483640203981176</v>
      </c>
    </row>
    <row r="396" spans="1:35">
      <c r="A396" s="99">
        <v>37530</v>
      </c>
      <c r="B396" s="119" t="e">
        <f>'[4]Monthly Prices'!$CF36</f>
        <v>#DIV/0!</v>
      </c>
      <c r="C396" s="119">
        <v>169.44</v>
      </c>
      <c r="D396" s="119">
        <v>20.22</v>
      </c>
      <c r="E396" s="122" t="e">
        <f t="shared" si="55"/>
        <v>#DIV/0!</v>
      </c>
      <c r="F396" s="128" t="e">
        <f t="shared" si="60"/>
        <v>#DIV/0!</v>
      </c>
      <c r="G396" s="127" t="e">
        <f t="shared" si="62"/>
        <v>#DIV/0!</v>
      </c>
      <c r="J396" s="119">
        <v>5.41</v>
      </c>
      <c r="K396" s="119">
        <v>168.16</v>
      </c>
      <c r="L396" s="119">
        <v>20.75</v>
      </c>
      <c r="M396" s="122">
        <f t="shared" si="57"/>
        <v>0.57202000000000019</v>
      </c>
      <c r="N396" s="128">
        <f t="shared" si="58"/>
        <v>0.38156007502482431</v>
      </c>
      <c r="O396" s="124" t="e">
        <f t="shared" si="61"/>
        <v>#DIV/0!</v>
      </c>
      <c r="P396" s="124">
        <f t="shared" si="61"/>
        <v>-1.2800000000000011</v>
      </c>
      <c r="Q396" s="124">
        <f t="shared" si="61"/>
        <v>0.53000000000000114</v>
      </c>
      <c r="U396" s="119">
        <v>5.2</v>
      </c>
      <c r="V396" s="129" t="e">
        <f t="shared" si="56"/>
        <v>#DIV/0!</v>
      </c>
      <c r="W396" s="134" t="e">
        <f t="shared" ref="W396:W459" si="64">(SUM(V384,V372,V360,V348,V336)-MAX(V384,V372,V360,V348,V336)-MIN(V384,V372,V360,V348,V336))/3</f>
        <v>#DIV/0!</v>
      </c>
      <c r="X396" s="135" t="e">
        <f t="shared" si="63"/>
        <v>#DIV/0!</v>
      </c>
      <c r="Y396" s="134">
        <v>45706</v>
      </c>
      <c r="Z396" s="135">
        <v>-0.15</v>
      </c>
      <c r="AA396" s="108">
        <v>45706</v>
      </c>
      <c r="AB396" s="108">
        <v>-0.51</v>
      </c>
      <c r="AC396" s="108">
        <v>45706</v>
      </c>
      <c r="AD396" s="108">
        <v>-0.48</v>
      </c>
      <c r="AG396" s="130">
        <f>'[6]Monthly Palm Oil'!$D23</f>
        <v>931.82608695652175</v>
      </c>
      <c r="AH396" s="131">
        <f>'[6]Monthly Palm Oil'!$X23</f>
        <v>11.123911753615419</v>
      </c>
      <c r="AI396" s="131">
        <f t="shared" si="59"/>
        <v>10.606088246384582</v>
      </c>
    </row>
    <row r="397" spans="1:35">
      <c r="A397" s="99">
        <v>37561</v>
      </c>
      <c r="B397" s="119" t="e">
        <f>'[4]Monthly Prices'!$CF37</f>
        <v>#DIV/0!</v>
      </c>
      <c r="C397" s="119">
        <v>166.82</v>
      </c>
      <c r="D397" s="119">
        <v>22.26</v>
      </c>
      <c r="E397" s="122" t="e">
        <f t="shared" si="55"/>
        <v>#DIV/0!</v>
      </c>
      <c r="F397" s="128" t="e">
        <f t="shared" si="60"/>
        <v>#DIV/0!</v>
      </c>
      <c r="G397" s="127" t="e">
        <f t="shared" si="62"/>
        <v>#DIV/0!</v>
      </c>
      <c r="J397" s="119">
        <v>5.75</v>
      </c>
      <c r="K397" s="119">
        <v>163.24</v>
      </c>
      <c r="L397" s="119">
        <v>23.02</v>
      </c>
      <c r="M397" s="122">
        <f t="shared" si="57"/>
        <v>0.37347999999999981</v>
      </c>
      <c r="N397" s="128">
        <f t="shared" si="58"/>
        <v>0.41352302938851765</v>
      </c>
      <c r="O397" s="124" t="e">
        <f t="shared" si="61"/>
        <v>#DIV/0!</v>
      </c>
      <c r="P397" s="124">
        <f t="shared" si="61"/>
        <v>-3.5799999999999841</v>
      </c>
      <c r="Q397" s="124">
        <f t="shared" si="61"/>
        <v>0.75999999999999801</v>
      </c>
      <c r="U397" s="119">
        <v>5.46</v>
      </c>
      <c r="V397" s="129" t="e">
        <f t="shared" si="56"/>
        <v>#DIV/0!</v>
      </c>
      <c r="W397" s="134" t="e">
        <f t="shared" si="64"/>
        <v>#DIV/0!</v>
      </c>
      <c r="X397" s="135" t="e">
        <f t="shared" si="63"/>
        <v>#DIV/0!</v>
      </c>
      <c r="Y397" s="134">
        <v>45707</v>
      </c>
      <c r="Z397" s="135">
        <v>-0.15</v>
      </c>
      <c r="AA397" s="108">
        <v>45707</v>
      </c>
      <c r="AB397" s="108">
        <v>-0.51</v>
      </c>
      <c r="AC397" s="108">
        <v>45707</v>
      </c>
      <c r="AD397" s="108">
        <v>-0.48</v>
      </c>
      <c r="AG397" s="130">
        <f>'[6]Monthly Palm Oil'!$D24</f>
        <v>1112.3</v>
      </c>
      <c r="AH397" s="131">
        <f>'[6]Monthly Palm Oil'!$X24</f>
        <v>13.278421558311631</v>
      </c>
      <c r="AI397" s="131">
        <f t="shared" si="59"/>
        <v>7.3515784416883676</v>
      </c>
    </row>
    <row r="398" spans="1:35">
      <c r="A398" s="99">
        <v>37591</v>
      </c>
      <c r="B398" s="119" t="e">
        <f>'[4]Monthly Prices'!$CF38</f>
        <v>#DIV/0!</v>
      </c>
      <c r="C398" s="119">
        <v>165.46</v>
      </c>
      <c r="D398" s="119">
        <v>21.73</v>
      </c>
      <c r="E398" s="122" t="e">
        <f t="shared" si="55"/>
        <v>#DIV/0!</v>
      </c>
      <c r="F398" s="128" t="e">
        <f t="shared" si="60"/>
        <v>#DIV/0!</v>
      </c>
      <c r="G398" s="127" t="e">
        <f t="shared" si="62"/>
        <v>#DIV/0!</v>
      </c>
      <c r="J398" s="119">
        <v>5.66</v>
      </c>
      <c r="K398" s="119">
        <v>163.58000000000001</v>
      </c>
      <c r="L398" s="119">
        <v>22.6</v>
      </c>
      <c r="M398" s="122">
        <f t="shared" si="57"/>
        <v>0.42476000000000003</v>
      </c>
      <c r="N398" s="128">
        <f t="shared" si="58"/>
        <v>0.40856171812857039</v>
      </c>
      <c r="O398" s="124" t="e">
        <f t="shared" si="61"/>
        <v>#DIV/0!</v>
      </c>
      <c r="P398" s="124">
        <f t="shared" si="61"/>
        <v>-1.8799999999999955</v>
      </c>
      <c r="Q398" s="124">
        <f t="shared" si="61"/>
        <v>0.87000000000000099</v>
      </c>
      <c r="R398" s="124">
        <f>AVERAGE(J396:J398)</f>
        <v>5.6066666666666665</v>
      </c>
      <c r="S398" s="124">
        <f>AVERAGE(K396:K398)</f>
        <v>164.99333333333334</v>
      </c>
      <c r="T398" s="124">
        <f>AVERAGE(L396:L398)</f>
        <v>22.123333333333335</v>
      </c>
      <c r="U398" s="119">
        <v>5.46</v>
      </c>
      <c r="V398" s="129" t="e">
        <f t="shared" si="56"/>
        <v>#DIV/0!</v>
      </c>
      <c r="W398" s="134" t="e">
        <f t="shared" si="64"/>
        <v>#DIV/0!</v>
      </c>
      <c r="X398" s="135" t="e">
        <f t="shared" si="63"/>
        <v>#DIV/0!</v>
      </c>
      <c r="Y398" s="134">
        <v>45708</v>
      </c>
      <c r="Z398" s="135">
        <v>-0.15</v>
      </c>
      <c r="AA398" s="108">
        <v>45708</v>
      </c>
      <c r="AB398" s="108">
        <v>-0.51</v>
      </c>
      <c r="AC398" s="108">
        <v>45708</v>
      </c>
      <c r="AD398" s="108">
        <v>-0.48</v>
      </c>
      <c r="AG398" s="130">
        <f>'[6]Monthly Palm Oil'!$D25</f>
        <v>1164.875</v>
      </c>
      <c r="AH398" s="131">
        <f>'[6]Monthly Palm Oil'!$X25</f>
        <v>13.90561211081037</v>
      </c>
      <c r="AI398" s="131">
        <f t="shared" si="59"/>
        <v>6.5543878891896306</v>
      </c>
    </row>
    <row r="399" spans="1:35">
      <c r="A399" s="99">
        <v>37622</v>
      </c>
      <c r="B399" s="119" t="e">
        <f>'[4]Monthly Prices'!$CF39</f>
        <v>#DIV/0!</v>
      </c>
      <c r="C399" s="119">
        <v>168.46</v>
      </c>
      <c r="D399" s="119">
        <v>20.63</v>
      </c>
      <c r="E399" s="122" t="e">
        <f t="shared" si="55"/>
        <v>#DIV/0!</v>
      </c>
      <c r="F399" s="128" t="e">
        <f t="shared" si="60"/>
        <v>#DIV/0!</v>
      </c>
      <c r="G399" s="127" t="e">
        <f t="shared" si="62"/>
        <v>#DIV/0!</v>
      </c>
      <c r="J399" s="119">
        <v>5.7</v>
      </c>
      <c r="K399" s="119">
        <v>167.4</v>
      </c>
      <c r="L399" s="119">
        <v>21.49</v>
      </c>
      <c r="M399" s="122">
        <f t="shared" si="57"/>
        <v>0.34669999999999934</v>
      </c>
      <c r="N399" s="128">
        <f t="shared" si="58"/>
        <v>0.39094051300709476</v>
      </c>
      <c r="O399" s="124" t="e">
        <f t="shared" si="61"/>
        <v>#DIV/0!</v>
      </c>
      <c r="P399" s="124">
        <f t="shared" si="61"/>
        <v>-1.0600000000000023</v>
      </c>
      <c r="Q399" s="124">
        <f t="shared" si="61"/>
        <v>0.85999999999999943</v>
      </c>
      <c r="U399" s="119">
        <v>5.51</v>
      </c>
      <c r="V399" s="129" t="e">
        <f t="shared" si="56"/>
        <v>#DIV/0!</v>
      </c>
      <c r="W399" s="134" t="e">
        <f t="shared" si="64"/>
        <v>#DIV/0!</v>
      </c>
      <c r="X399" s="135" t="e">
        <f t="shared" si="63"/>
        <v>#DIV/0!</v>
      </c>
      <c r="Y399" s="134">
        <v>45709</v>
      </c>
      <c r="Z399" s="135">
        <v>-0.15</v>
      </c>
      <c r="AA399" s="108">
        <v>45709</v>
      </c>
      <c r="AB399" s="108">
        <v>-0.48</v>
      </c>
      <c r="AC399" s="108">
        <v>45709</v>
      </c>
      <c r="AD399" s="108">
        <v>-0.48</v>
      </c>
      <c r="AG399" s="130">
        <f>'[6]Monthly Palm Oil'!$D26</f>
        <v>1203.3809523809523</v>
      </c>
      <c r="AH399" s="131">
        <f>'[6]Monthly Palm Oil'!$X26</f>
        <v>14.365329437846057</v>
      </c>
      <c r="AI399" s="131">
        <f t="shared" si="59"/>
        <v>6.5746705621539441</v>
      </c>
    </row>
    <row r="400" spans="1:35">
      <c r="A400" s="99">
        <v>37653</v>
      </c>
      <c r="B400" s="119" t="e">
        <f>'[4]Monthly Prices'!$CF40</f>
        <v>#DIV/0!</v>
      </c>
      <c r="C400" s="119">
        <v>174.56</v>
      </c>
      <c r="D400" s="119">
        <v>20.46</v>
      </c>
      <c r="E400" s="122" t="e">
        <f t="shared" si="55"/>
        <v>#DIV/0!</v>
      </c>
      <c r="F400" s="128" t="e">
        <f t="shared" si="60"/>
        <v>#DIV/0!</v>
      </c>
      <c r="G400" s="127" t="e">
        <f t="shared" si="62"/>
        <v>#DIV/0!</v>
      </c>
      <c r="J400" s="119">
        <v>5.78</v>
      </c>
      <c r="K400" s="119">
        <v>176.76</v>
      </c>
      <c r="L400" s="119">
        <v>21.17</v>
      </c>
      <c r="M400" s="122">
        <f t="shared" si="57"/>
        <v>0.43742000000000036</v>
      </c>
      <c r="N400" s="128">
        <f t="shared" si="58"/>
        <v>0.37454442517957615</v>
      </c>
      <c r="O400" s="124" t="e">
        <f t="shared" si="61"/>
        <v>#DIV/0!</v>
      </c>
      <c r="P400" s="124">
        <f t="shared" si="61"/>
        <v>2.1999999999999886</v>
      </c>
      <c r="Q400" s="124">
        <f t="shared" si="61"/>
        <v>0.71000000000000085</v>
      </c>
      <c r="U400" s="119">
        <v>5.55</v>
      </c>
      <c r="V400" s="129" t="e">
        <f t="shared" si="56"/>
        <v>#DIV/0!</v>
      </c>
      <c r="W400" s="134" t="e">
        <f t="shared" si="64"/>
        <v>#DIV/0!</v>
      </c>
      <c r="X400" s="135" t="e">
        <f t="shared" si="63"/>
        <v>#DIV/0!</v>
      </c>
      <c r="Y400" s="134">
        <v>45712</v>
      </c>
      <c r="Z400" s="135">
        <v>-0.15</v>
      </c>
      <c r="AA400" s="108">
        <v>45712</v>
      </c>
      <c r="AB400" s="108">
        <v>-0.48</v>
      </c>
      <c r="AC400" s="108">
        <v>45712</v>
      </c>
      <c r="AD400" s="108">
        <v>-0.48</v>
      </c>
      <c r="AG400" s="130">
        <f>'[6]Monthly Palm Oil'!$D27</f>
        <v>1155.5333333333333</v>
      </c>
      <c r="AH400" s="131">
        <f>'[6]Monthly Palm Oil'!$X27</f>
        <v>13.794517322322838</v>
      </c>
      <c r="AI400" s="131">
        <f t="shared" si="59"/>
        <v>8.0454826776771622</v>
      </c>
    </row>
    <row r="401" spans="1:35">
      <c r="A401" s="99">
        <v>37681</v>
      </c>
      <c r="B401" s="119" t="e">
        <f>'[4]Monthly Prices'!$CF41</f>
        <v>#DIV/0!</v>
      </c>
      <c r="C401" s="119">
        <v>172.73</v>
      </c>
      <c r="D401" s="119">
        <v>20.94</v>
      </c>
      <c r="E401" s="122" t="e">
        <f t="shared" si="55"/>
        <v>#DIV/0!</v>
      </c>
      <c r="F401" s="128" t="e">
        <f t="shared" si="60"/>
        <v>#DIV/0!</v>
      </c>
      <c r="G401" s="127" t="e">
        <f t="shared" si="62"/>
        <v>#DIV/0!</v>
      </c>
      <c r="J401" s="119">
        <v>5.8</v>
      </c>
      <c r="K401" s="119">
        <v>175.4</v>
      </c>
      <c r="L401" s="119">
        <v>21.56</v>
      </c>
      <c r="M401" s="122">
        <f t="shared" si="57"/>
        <v>0.43039999999999967</v>
      </c>
      <c r="N401" s="128">
        <f t="shared" si="58"/>
        <v>0.3806497175141243</v>
      </c>
      <c r="O401" s="124" t="e">
        <f t="shared" si="61"/>
        <v>#DIV/0!</v>
      </c>
      <c r="P401" s="124">
        <f t="shared" si="61"/>
        <v>2.6700000000000159</v>
      </c>
      <c r="Q401" s="124">
        <f t="shared" si="61"/>
        <v>0.61999999999999744</v>
      </c>
      <c r="R401" s="124">
        <f>AVERAGE(J399:J401)</f>
        <v>5.7600000000000007</v>
      </c>
      <c r="S401" s="124">
        <f>AVERAGE(K399:K401)</f>
        <v>173.18666666666664</v>
      </c>
      <c r="T401" s="124">
        <f>AVERAGE(L399:L401)</f>
        <v>21.406666666666666</v>
      </c>
      <c r="U401" s="119">
        <v>5.59</v>
      </c>
      <c r="V401" s="129" t="e">
        <f t="shared" si="56"/>
        <v>#DIV/0!</v>
      </c>
      <c r="W401" s="134" t="e">
        <f t="shared" si="64"/>
        <v>#DIV/0!</v>
      </c>
      <c r="X401" s="135" t="e">
        <f t="shared" si="63"/>
        <v>#DIV/0!</v>
      </c>
      <c r="Y401" s="134">
        <v>45713</v>
      </c>
      <c r="Z401" s="108">
        <v>-0.15</v>
      </c>
      <c r="AA401" s="108">
        <v>45713</v>
      </c>
      <c r="AB401" s="108">
        <v>-0.48</v>
      </c>
      <c r="AC401" s="108">
        <v>45713</v>
      </c>
      <c r="AD401" s="108">
        <v>-0.48</v>
      </c>
      <c r="AG401" s="130">
        <f>'[6]Monthly Palm Oil'!$D28</f>
        <v>1160.3684210526317</v>
      </c>
      <c r="AH401" s="131">
        <f>'[6]Monthly Palm Oil'!$X28</f>
        <v>13.851265622194681</v>
      </c>
      <c r="AI401" s="131">
        <f t="shared" si="59"/>
        <v>8.6687343778053183</v>
      </c>
    </row>
    <row r="402" spans="1:35">
      <c r="A402" s="99">
        <v>37712</v>
      </c>
      <c r="B402" s="119" t="e">
        <f>'[4]Monthly Prices'!$CF42</f>
        <v>#DIV/0!</v>
      </c>
      <c r="C402" s="119">
        <v>181.67</v>
      </c>
      <c r="D402" s="119">
        <v>21.84</v>
      </c>
      <c r="E402" s="122" t="e">
        <f t="shared" si="55"/>
        <v>#DIV/0!</v>
      </c>
      <c r="F402" s="128" t="e">
        <f t="shared" si="60"/>
        <v>#DIV/0!</v>
      </c>
      <c r="G402" s="127" t="e">
        <f t="shared" si="62"/>
        <v>#DIV/0!</v>
      </c>
      <c r="J402" s="119">
        <v>6.11</v>
      </c>
      <c r="K402" s="119">
        <v>182.1</v>
      </c>
      <c r="L402" s="119">
        <v>22.4</v>
      </c>
      <c r="M402" s="122">
        <f t="shared" si="57"/>
        <v>0.36019999999999897</v>
      </c>
      <c r="N402" s="128">
        <f t="shared" si="58"/>
        <v>0.38082284937096222</v>
      </c>
      <c r="O402" s="124" t="e">
        <f t="shared" si="61"/>
        <v>#DIV/0!</v>
      </c>
      <c r="P402" s="124">
        <f t="shared" si="61"/>
        <v>0.43000000000000682</v>
      </c>
      <c r="Q402" s="124">
        <f t="shared" si="61"/>
        <v>0.55999999999999872</v>
      </c>
      <c r="U402" s="119">
        <v>5.82</v>
      </c>
      <c r="V402" s="129" t="e">
        <f t="shared" si="56"/>
        <v>#DIV/0!</v>
      </c>
      <c r="W402" s="134" t="e">
        <f t="shared" si="64"/>
        <v>#DIV/0!</v>
      </c>
      <c r="X402" s="135" t="e">
        <f t="shared" si="63"/>
        <v>#DIV/0!</v>
      </c>
      <c r="Y402" s="134">
        <v>45714</v>
      </c>
      <c r="Z402" s="108">
        <v>-0.15</v>
      </c>
      <c r="AA402" s="108">
        <v>45714</v>
      </c>
      <c r="AB402" s="108">
        <v>-0.48</v>
      </c>
      <c r="AC402" s="108">
        <v>45714</v>
      </c>
      <c r="AD402" s="108">
        <v>-0.48</v>
      </c>
      <c r="AG402" s="130">
        <f>'[6]Monthly Palm Oil'!$D29</f>
        <v>1186.5238095238096</v>
      </c>
      <c r="AH402" s="131">
        <f>'[6]Monthly Palm Oil'!$X29</f>
        <v>14.163464087444023</v>
      </c>
      <c r="AI402" s="131">
        <f t="shared" si="59"/>
        <v>7.9765359125559776</v>
      </c>
    </row>
    <row r="403" spans="1:35">
      <c r="A403" s="99">
        <v>37742</v>
      </c>
      <c r="B403" s="119" t="e">
        <f>'[4]Monthly Prices'!$CF43</f>
        <v>#DIV/0!</v>
      </c>
      <c r="C403" s="119">
        <v>193.94</v>
      </c>
      <c r="D403" s="119">
        <v>22.52</v>
      </c>
      <c r="E403" s="122" t="e">
        <f t="shared" ref="E403:E466" si="65">(C403/2000*44)+(D403/100*11)-B403</f>
        <v>#DIV/0!</v>
      </c>
      <c r="F403" s="128" t="e">
        <f t="shared" si="60"/>
        <v>#DIV/0!</v>
      </c>
      <c r="G403" s="127" t="e">
        <f t="shared" si="62"/>
        <v>#DIV/0!</v>
      </c>
      <c r="J403" s="119">
        <v>6.4</v>
      </c>
      <c r="K403" s="119">
        <v>195.44</v>
      </c>
      <c r="L403" s="119">
        <v>23.17</v>
      </c>
      <c r="M403" s="122">
        <f t="shared" si="57"/>
        <v>0.44838000000000022</v>
      </c>
      <c r="N403" s="128">
        <f t="shared" si="58"/>
        <v>0.37216100742073305</v>
      </c>
      <c r="O403" s="124" t="e">
        <f t="shared" si="61"/>
        <v>#DIV/0!</v>
      </c>
      <c r="P403" s="124">
        <f t="shared" si="61"/>
        <v>1.5</v>
      </c>
      <c r="Q403" s="124">
        <f t="shared" si="61"/>
        <v>0.65000000000000213</v>
      </c>
      <c r="U403" s="119">
        <v>6.07</v>
      </c>
      <c r="V403" s="129" t="e">
        <f t="shared" si="56"/>
        <v>#DIV/0!</v>
      </c>
      <c r="W403" s="134" t="e">
        <f t="shared" si="64"/>
        <v>#DIV/0!</v>
      </c>
      <c r="X403" s="135" t="e">
        <f t="shared" si="63"/>
        <v>#DIV/0!</v>
      </c>
      <c r="Y403" s="134">
        <v>45715</v>
      </c>
      <c r="Z403" s="108">
        <v>-0.15</v>
      </c>
      <c r="AA403" s="108">
        <v>45715</v>
      </c>
      <c r="AB403" s="108">
        <v>-0.48</v>
      </c>
      <c r="AC403" s="108">
        <v>45715</v>
      </c>
      <c r="AD403" s="108">
        <v>-0.48</v>
      </c>
      <c r="AG403" s="130">
        <f>'[6]Monthly Palm Oil'!$D30</f>
        <v>1283.5238095238096</v>
      </c>
      <c r="AH403" s="131">
        <f>'[6]Monthly Palm Oil'!$X30</f>
        <v>15.32153756375186</v>
      </c>
      <c r="AI403" s="131">
        <f t="shared" si="59"/>
        <v>5.6884624362481411</v>
      </c>
    </row>
    <row r="404" spans="1:35">
      <c r="A404" s="99">
        <v>37773</v>
      </c>
      <c r="B404" s="119" t="e">
        <f>'[4]Monthly Prices'!$CF44</f>
        <v>#DIV/0!</v>
      </c>
      <c r="C404" s="119">
        <v>191.06</v>
      </c>
      <c r="D404" s="119">
        <v>22.14</v>
      </c>
      <c r="E404" s="122" t="e">
        <f t="shared" si="65"/>
        <v>#DIV/0!</v>
      </c>
      <c r="F404" s="128" t="e">
        <f t="shared" si="60"/>
        <v>#DIV/0!</v>
      </c>
      <c r="G404" s="127" t="e">
        <f t="shared" si="62"/>
        <v>#DIV/0!</v>
      </c>
      <c r="J404" s="119">
        <v>6.35</v>
      </c>
      <c r="K404" s="119">
        <v>191.86</v>
      </c>
      <c r="L404" s="119">
        <v>22.89</v>
      </c>
      <c r="M404" s="122">
        <f t="shared" si="57"/>
        <v>0.38882000000000083</v>
      </c>
      <c r="N404" s="128">
        <f t="shared" si="58"/>
        <v>0.3736410825634161</v>
      </c>
      <c r="O404" s="124" t="e">
        <f t="shared" si="61"/>
        <v>#DIV/0!</v>
      </c>
      <c r="P404" s="124">
        <f t="shared" si="61"/>
        <v>0.80000000000001137</v>
      </c>
      <c r="Q404" s="124">
        <f t="shared" si="61"/>
        <v>0.75</v>
      </c>
      <c r="R404" s="124">
        <f>AVERAGE(J402:J404)</f>
        <v>6.2866666666666662</v>
      </c>
      <c r="S404" s="124">
        <f>AVERAGE(K402:K404)</f>
        <v>189.79999999999998</v>
      </c>
      <c r="T404" s="124">
        <f>AVERAGE(L402:L404)</f>
        <v>22.820000000000004</v>
      </c>
      <c r="U404" s="119">
        <v>6.09</v>
      </c>
      <c r="V404" s="129" t="e">
        <f t="shared" si="56"/>
        <v>#DIV/0!</v>
      </c>
      <c r="W404" s="134" t="e">
        <f t="shared" si="64"/>
        <v>#DIV/0!</v>
      </c>
      <c r="X404" s="135" t="e">
        <f t="shared" si="63"/>
        <v>#DIV/0!</v>
      </c>
      <c r="Y404" s="134">
        <v>45716</v>
      </c>
      <c r="Z404" s="108">
        <v>-0.15</v>
      </c>
      <c r="AA404" s="108">
        <v>45716</v>
      </c>
      <c r="AB404" s="108">
        <v>-0.48</v>
      </c>
      <c r="AC404" s="108">
        <v>45716</v>
      </c>
      <c r="AD404" s="108">
        <v>-0.48</v>
      </c>
      <c r="AG404" s="130">
        <f>'[6]Monthly Palm Oil'!$D31</f>
        <v>1420.05</v>
      </c>
      <c r="AH404" s="131">
        <f>'[6]Monthly Palm Oil'!$X31</f>
        <v>16.951927952734543</v>
      </c>
      <c r="AI404" s="131">
        <f t="shared" si="59"/>
        <v>2.8380720472654559</v>
      </c>
    </row>
    <row r="405" spans="1:35">
      <c r="A405" s="99">
        <v>37803</v>
      </c>
      <c r="B405" s="119" t="e">
        <f>'[4]Monthly Prices'!$CF45</f>
        <v>#DIV/0!</v>
      </c>
      <c r="C405" s="119">
        <v>179.15</v>
      </c>
      <c r="D405" s="119">
        <v>21.01</v>
      </c>
      <c r="E405" s="122" t="e">
        <f t="shared" si="65"/>
        <v>#DIV/0!</v>
      </c>
      <c r="F405" s="128" t="e">
        <f t="shared" si="60"/>
        <v>#DIV/0!</v>
      </c>
      <c r="G405" s="127" t="e">
        <f t="shared" si="62"/>
        <v>#DIV/0!</v>
      </c>
      <c r="J405" s="119">
        <v>6.01</v>
      </c>
      <c r="K405" s="119">
        <v>187.3</v>
      </c>
      <c r="L405" s="119">
        <v>21.8</v>
      </c>
      <c r="M405" s="122">
        <f t="shared" si="57"/>
        <v>0.50860000000000127</v>
      </c>
      <c r="N405" s="128">
        <f t="shared" si="58"/>
        <v>0.36787040161997969</v>
      </c>
      <c r="O405" s="124" t="e">
        <f t="shared" si="61"/>
        <v>#DIV/0!</v>
      </c>
      <c r="P405" s="124">
        <f t="shared" si="61"/>
        <v>8.1500000000000057</v>
      </c>
      <c r="Q405" s="124">
        <f t="shared" si="61"/>
        <v>0.78999999999999915</v>
      </c>
      <c r="U405" s="119">
        <v>5.82</v>
      </c>
      <c r="V405" s="129" t="e">
        <f t="shared" si="56"/>
        <v>#DIV/0!</v>
      </c>
      <c r="W405" s="134" t="e">
        <f t="shared" si="64"/>
        <v>#DIV/0!</v>
      </c>
      <c r="X405" s="135" t="e">
        <f t="shared" si="63"/>
        <v>#DIV/0!</v>
      </c>
      <c r="Y405" s="134">
        <v>45719</v>
      </c>
      <c r="Z405" s="108">
        <v>-0.25</v>
      </c>
      <c r="AA405" s="108">
        <v>45719</v>
      </c>
      <c r="AB405" s="131">
        <v>-0.48</v>
      </c>
      <c r="AC405" s="131">
        <v>45719</v>
      </c>
      <c r="AD405" s="131">
        <v>-0.53</v>
      </c>
      <c r="AE405" s="131"/>
      <c r="AF405" s="131"/>
      <c r="AG405" s="130">
        <f>'[6]Monthly Palm Oil'!$D32</f>
        <v>1408.8636363636363</v>
      </c>
      <c r="AH405" s="131">
        <f>'[6]Monthly Palm Oil'!$X32</f>
        <v>16.819260576130723</v>
      </c>
      <c r="AI405" s="131">
        <f t="shared" si="59"/>
        <v>5.6507394238692754</v>
      </c>
    </row>
    <row r="406" spans="1:35">
      <c r="A406" s="99">
        <v>37834</v>
      </c>
      <c r="B406" s="119" t="e">
        <f>'[4]Monthly Prices'!$CF46</f>
        <v>#DIV/0!</v>
      </c>
      <c r="C406" s="119">
        <v>178.79</v>
      </c>
      <c r="D406" s="119">
        <v>19.79</v>
      </c>
      <c r="E406" s="122" t="e">
        <f t="shared" si="65"/>
        <v>#DIV/0!</v>
      </c>
      <c r="F406" s="128" t="e">
        <f t="shared" si="60"/>
        <v>#DIV/0!</v>
      </c>
      <c r="G406" s="127" t="e">
        <f t="shared" si="62"/>
        <v>#DIV/0!</v>
      </c>
      <c r="J406" s="119">
        <v>5.89</v>
      </c>
      <c r="K406" s="119">
        <v>189.68</v>
      </c>
      <c r="L406" s="119">
        <v>20.440000000000001</v>
      </c>
      <c r="M406" s="122">
        <f t="shared" si="57"/>
        <v>0.53136000000000116</v>
      </c>
      <c r="N406" s="128">
        <f t="shared" si="58"/>
        <v>0.35014389475126761</v>
      </c>
      <c r="O406" s="124" t="e">
        <f t="shared" si="61"/>
        <v>#DIV/0!</v>
      </c>
      <c r="P406" s="124">
        <f t="shared" si="61"/>
        <v>10.890000000000015</v>
      </c>
      <c r="Q406" s="124">
        <f t="shared" si="61"/>
        <v>0.65000000000000213</v>
      </c>
      <c r="U406" s="119">
        <v>5.68</v>
      </c>
      <c r="V406" s="129" t="e">
        <f t="shared" si="56"/>
        <v>#DIV/0!</v>
      </c>
      <c r="W406" s="134" t="e">
        <f t="shared" si="64"/>
        <v>#DIV/0!</v>
      </c>
      <c r="X406" s="135" t="e">
        <f t="shared" si="63"/>
        <v>#DIV/0!</v>
      </c>
      <c r="Y406" s="134">
        <v>45720</v>
      </c>
      <c r="Z406" s="108">
        <v>-0.25</v>
      </c>
      <c r="AA406" s="108">
        <v>45720</v>
      </c>
      <c r="AB406" s="131">
        <v>-0.5</v>
      </c>
      <c r="AC406" s="131">
        <v>45720</v>
      </c>
      <c r="AD406" s="131">
        <v>-0.53</v>
      </c>
      <c r="AE406" s="131"/>
      <c r="AF406" s="131"/>
      <c r="AG406" s="130">
        <f>'[6]Monthly Palm Oil'!$D33</f>
        <v>1489</v>
      </c>
      <c r="AH406" s="131">
        <f>'[6]Monthly Palm Oil'!$X33</f>
        <v>17.775937587964261</v>
      </c>
      <c r="AI406" s="131">
        <f t="shared" si="59"/>
        <v>8.2340624120357404</v>
      </c>
    </row>
    <row r="407" spans="1:35">
      <c r="A407" s="99">
        <v>37865</v>
      </c>
      <c r="B407" s="119" t="e">
        <f>'[4]Monthly Prices'!$CF47</f>
        <v>#DIV/0!</v>
      </c>
      <c r="C407" s="119">
        <v>190.44</v>
      </c>
      <c r="D407" s="119">
        <v>22.47</v>
      </c>
      <c r="E407" s="122" t="e">
        <f t="shared" si="65"/>
        <v>#DIV/0!</v>
      </c>
      <c r="F407" s="128" t="e">
        <f t="shared" si="60"/>
        <v>#DIV/0!</v>
      </c>
      <c r="G407" s="127" t="e">
        <f t="shared" si="62"/>
        <v>#DIV/0!</v>
      </c>
      <c r="J407" s="119">
        <v>6.39</v>
      </c>
      <c r="K407" s="119">
        <v>217.95</v>
      </c>
      <c r="L407" s="119">
        <v>23.22</v>
      </c>
      <c r="M407" s="122">
        <f t="shared" si="57"/>
        <v>0.9590999999999994</v>
      </c>
      <c r="N407" s="128">
        <f t="shared" si="58"/>
        <v>0.34755276156264037</v>
      </c>
      <c r="O407" s="124" t="e">
        <f t="shared" si="61"/>
        <v>#DIV/0!</v>
      </c>
      <c r="P407" s="124">
        <f t="shared" si="61"/>
        <v>27.509999999999991</v>
      </c>
      <c r="Q407" s="124">
        <f t="shared" si="61"/>
        <v>0.75</v>
      </c>
      <c r="R407" s="124">
        <f>AVERAGE(J405:J407)</f>
        <v>6.0966666666666667</v>
      </c>
      <c r="S407" s="124">
        <f>AVERAGE(K405:K407)</f>
        <v>198.31000000000003</v>
      </c>
      <c r="T407" s="124">
        <f>AVERAGE(L405:L407)</f>
        <v>21.820000000000004</v>
      </c>
      <c r="U407" s="119">
        <v>6.06</v>
      </c>
      <c r="V407" s="129" t="e">
        <f t="shared" si="56"/>
        <v>#DIV/0!</v>
      </c>
      <c r="W407" s="134" t="e">
        <f t="shared" si="64"/>
        <v>#DIV/0!</v>
      </c>
      <c r="X407" s="135" t="e">
        <f t="shared" si="63"/>
        <v>#DIV/0!</v>
      </c>
      <c r="Y407" s="134">
        <v>45721</v>
      </c>
      <c r="Z407" s="108">
        <v>-0.25</v>
      </c>
      <c r="AA407" s="108">
        <v>45721</v>
      </c>
      <c r="AB407" s="131">
        <v>-0.5</v>
      </c>
      <c r="AC407" s="131">
        <v>45721</v>
      </c>
      <c r="AD407" s="131">
        <v>-0.53</v>
      </c>
      <c r="AE407" s="131">
        <f>AF407-AD407</f>
        <v>29.592300000000002</v>
      </c>
      <c r="AF407" s="131">
        <v>29.0623</v>
      </c>
      <c r="AG407" s="130">
        <f>'[6]Monthly Palm Oil'!$D34</f>
        <v>1401.2</v>
      </c>
      <c r="AH407" s="131">
        <f>'[6]Monthly Palm Oil'!$X34</f>
        <v>16.727696629232717</v>
      </c>
      <c r="AI407" s="131">
        <f t="shared" si="59"/>
        <v>9.6423033707672836</v>
      </c>
    </row>
    <row r="408" spans="1:35">
      <c r="A408" s="99">
        <v>37895</v>
      </c>
      <c r="B408" s="119" t="e">
        <f>'[4]Monthly Prices'!$CF48</f>
        <v>#DIV/0!</v>
      </c>
      <c r="C408" s="119">
        <v>223.17</v>
      </c>
      <c r="D408" s="119">
        <v>26.01</v>
      </c>
      <c r="E408" s="122" t="e">
        <f t="shared" si="65"/>
        <v>#DIV/0!</v>
      </c>
      <c r="F408" s="128" t="e">
        <f t="shared" si="60"/>
        <v>#DIV/0!</v>
      </c>
      <c r="G408" s="127" t="e">
        <f t="shared" si="62"/>
        <v>#DIV/0!</v>
      </c>
      <c r="J408" s="119">
        <v>7.29</v>
      </c>
      <c r="K408" s="119">
        <v>225.28</v>
      </c>
      <c r="L408" s="119">
        <v>27.37</v>
      </c>
      <c r="M408" s="122">
        <f t="shared" si="57"/>
        <v>0.67686000000000046</v>
      </c>
      <c r="N408" s="128">
        <f t="shared" si="58"/>
        <v>0.37790296302432824</v>
      </c>
      <c r="O408" s="124" t="e">
        <f t="shared" si="61"/>
        <v>#DIV/0!</v>
      </c>
      <c r="P408" s="124">
        <f t="shared" si="61"/>
        <v>2.1100000000000136</v>
      </c>
      <c r="Q408" s="124">
        <f t="shared" si="61"/>
        <v>1.3599999999999994</v>
      </c>
      <c r="U408" s="119">
        <v>6.6</v>
      </c>
      <c r="V408" s="129" t="e">
        <f t="shared" si="56"/>
        <v>#DIV/0!</v>
      </c>
      <c r="W408" s="134" t="e">
        <f t="shared" si="64"/>
        <v>#DIV/0!</v>
      </c>
      <c r="X408" s="135" t="e">
        <f t="shared" si="63"/>
        <v>#DIV/0!</v>
      </c>
      <c r="Y408" s="134">
        <v>45722</v>
      </c>
      <c r="Z408" s="108">
        <v>-0.25</v>
      </c>
      <c r="AA408" s="108">
        <v>45722</v>
      </c>
      <c r="AB408" s="131">
        <v>-0.5</v>
      </c>
      <c r="AC408" s="131">
        <v>45722</v>
      </c>
      <c r="AD408" s="131">
        <v>-0.53</v>
      </c>
      <c r="AE408" s="131">
        <f t="shared" ref="AE408:AE471" si="66">AF408-AD408</f>
        <v>33.249099999999999</v>
      </c>
      <c r="AF408" s="131">
        <v>32.719099999999997</v>
      </c>
      <c r="AG408" s="130">
        <f>'[6]Monthly Palm Oil'!$D35</f>
        <v>1423.2173913043478</v>
      </c>
      <c r="AH408" s="131">
        <f>'[6]Monthly Palm Oil'!$X35</f>
        <v>16.990657151671442</v>
      </c>
      <c r="AI408" s="131">
        <f t="shared" si="59"/>
        <v>10.899342848328558</v>
      </c>
    </row>
    <row r="409" spans="1:35">
      <c r="A409" s="99">
        <v>37926</v>
      </c>
      <c r="B409" s="119" t="e">
        <f>'[4]Monthly Prices'!$CF49</f>
        <v>#DIV/0!</v>
      </c>
      <c r="C409" s="119">
        <v>238.55</v>
      </c>
      <c r="D409" s="119">
        <v>26.37</v>
      </c>
      <c r="E409" s="122" t="e">
        <f t="shared" si="65"/>
        <v>#DIV/0!</v>
      </c>
      <c r="F409" s="128" t="e">
        <f t="shared" si="60"/>
        <v>#DIV/0!</v>
      </c>
      <c r="G409" s="127" t="e">
        <f t="shared" si="62"/>
        <v>#DIV/0!</v>
      </c>
      <c r="J409" s="119">
        <v>7.63</v>
      </c>
      <c r="K409" s="119">
        <v>242</v>
      </c>
      <c r="L409" s="119">
        <v>27.76</v>
      </c>
      <c r="M409" s="119">
        <f t="shared" si="57"/>
        <v>0.74760000000000115</v>
      </c>
      <c r="N409" s="128">
        <f t="shared" si="58"/>
        <v>0.36449579831932771</v>
      </c>
      <c r="O409" s="124" t="e">
        <f t="shared" si="61"/>
        <v>#DIV/0!</v>
      </c>
      <c r="P409" s="124">
        <f t="shared" si="61"/>
        <v>3.4499999999999886</v>
      </c>
      <c r="Q409" s="124">
        <f t="shared" si="61"/>
        <v>1.3900000000000006</v>
      </c>
      <c r="U409" s="119">
        <v>7.05</v>
      </c>
      <c r="V409" s="129" t="e">
        <f t="shared" si="56"/>
        <v>#DIV/0!</v>
      </c>
      <c r="W409" s="134" t="e">
        <f t="shared" si="64"/>
        <v>#DIV/0!</v>
      </c>
      <c r="X409" s="135" t="e">
        <f t="shared" si="63"/>
        <v>#DIV/0!</v>
      </c>
      <c r="Y409" s="134">
        <v>45723</v>
      </c>
      <c r="Z409" s="108">
        <v>-0.25</v>
      </c>
      <c r="AA409" s="108">
        <v>45723</v>
      </c>
      <c r="AB409" s="131">
        <v>-0.5</v>
      </c>
      <c r="AC409" s="131">
        <v>45723</v>
      </c>
      <c r="AD409" s="131">
        <v>-0.53</v>
      </c>
      <c r="AE409" s="131">
        <f t="shared" si="66"/>
        <v>33.677700000000002</v>
      </c>
      <c r="AF409" s="131">
        <v>33.1477</v>
      </c>
      <c r="AG409" s="130">
        <f>'[6]Monthly Palm Oil'!$D36</f>
        <v>1568.3157894736842</v>
      </c>
      <c r="AH409" s="131">
        <f>'[6]Monthly Palm Oil'!$X36</f>
        <v>18.722240158999256</v>
      </c>
      <c r="AI409" s="131">
        <f t="shared" si="59"/>
        <v>10.437759841000744</v>
      </c>
    </row>
    <row r="410" spans="1:35">
      <c r="A410" s="99">
        <v>37956</v>
      </c>
      <c r="B410" s="119" t="e">
        <f>'[4]Monthly Prices'!$CF50</f>
        <v>#DIV/0!</v>
      </c>
      <c r="C410" s="119">
        <v>232.28</v>
      </c>
      <c r="D410" s="119">
        <v>27.89</v>
      </c>
      <c r="E410" s="122" t="e">
        <f t="shared" si="65"/>
        <v>#DIV/0!</v>
      </c>
      <c r="F410" s="128" t="e">
        <f t="shared" si="60"/>
        <v>#DIV/0!</v>
      </c>
      <c r="G410" s="127" t="e">
        <f t="shared" si="62"/>
        <v>#DIV/0!</v>
      </c>
      <c r="J410" s="119">
        <v>7.72</v>
      </c>
      <c r="K410" s="119">
        <v>231.11</v>
      </c>
      <c r="L410" s="119">
        <v>29.54</v>
      </c>
      <c r="M410" s="119">
        <f t="shared" si="57"/>
        <v>0.61382000000000136</v>
      </c>
      <c r="N410" s="128">
        <f t="shared" si="58"/>
        <v>0.38990522953459511</v>
      </c>
      <c r="O410" s="124" t="e">
        <f t="shared" si="61"/>
        <v>#DIV/0!</v>
      </c>
      <c r="P410" s="124">
        <f t="shared" si="61"/>
        <v>-1.1699999999999875</v>
      </c>
      <c r="Q410" s="124">
        <f t="shared" si="61"/>
        <v>1.6499999999999986</v>
      </c>
      <c r="R410" s="124">
        <f>AVERAGE(J408:J410)</f>
        <v>7.5466666666666669</v>
      </c>
      <c r="S410" s="124">
        <f>AVERAGE(K408:K410)</f>
        <v>232.79666666666665</v>
      </c>
      <c r="T410" s="124">
        <f>AVERAGE(L408:L410)</f>
        <v>28.223333333333333</v>
      </c>
      <c r="U410" s="119">
        <v>7.17</v>
      </c>
      <c r="V410" s="129" t="e">
        <f t="shared" si="56"/>
        <v>#DIV/0!</v>
      </c>
      <c r="W410" s="134" t="e">
        <f t="shared" si="64"/>
        <v>#DIV/0!</v>
      </c>
      <c r="X410" s="135" t="e">
        <f t="shared" si="63"/>
        <v>#DIV/0!</v>
      </c>
      <c r="Y410" s="134">
        <v>45726</v>
      </c>
      <c r="Z410" s="108">
        <v>-0.25</v>
      </c>
      <c r="AA410" s="108">
        <v>45726</v>
      </c>
      <c r="AB410" s="131">
        <v>-0.48</v>
      </c>
      <c r="AC410" s="131">
        <v>45726</v>
      </c>
      <c r="AD410" s="131">
        <v>-0.53</v>
      </c>
      <c r="AE410" s="131">
        <f t="shared" si="66"/>
        <v>35.283300000000004</v>
      </c>
      <c r="AF410" s="131">
        <v>34.753300000000003</v>
      </c>
      <c r="AG410" s="130">
        <f>'[6]Monthly Palm Oil'!$D37</f>
        <v>1641.2777777777778</v>
      </c>
      <c r="AH410" s="131">
        <f>'[6]Monthly Palm Oil'!$X37</f>
        <v>19.593927807355946</v>
      </c>
      <c r="AI410" s="131">
        <f t="shared" si="59"/>
        <v>12.376072192644052</v>
      </c>
    </row>
    <row r="411" spans="1:35">
      <c r="A411" s="99">
        <v>37987</v>
      </c>
      <c r="B411" s="119" t="e">
        <f>'[4]Monthly Prices'!$CF51</f>
        <v>#DIV/0!</v>
      </c>
      <c r="C411" s="119">
        <v>253.58</v>
      </c>
      <c r="D411" s="119">
        <v>29.16</v>
      </c>
      <c r="E411" s="122" t="e">
        <f t="shared" si="65"/>
        <v>#DIV/0!</v>
      </c>
      <c r="F411" s="128" t="e">
        <f t="shared" si="60"/>
        <v>#DIV/0!</v>
      </c>
      <c r="G411" s="127" t="e">
        <f t="shared" si="62"/>
        <v>#DIV/0!</v>
      </c>
      <c r="J411" s="119">
        <v>8.23</v>
      </c>
      <c r="K411" s="119">
        <v>252.15</v>
      </c>
      <c r="L411" s="119">
        <v>30.34</v>
      </c>
      <c r="M411" s="119">
        <f t="shared" si="57"/>
        <v>0.65470000000000006</v>
      </c>
      <c r="N411" s="128">
        <f t="shared" si="58"/>
        <v>0.37563451776649748</v>
      </c>
      <c r="O411" s="124" t="e">
        <f t="shared" si="61"/>
        <v>#DIV/0!</v>
      </c>
      <c r="P411" s="124">
        <f t="shared" si="61"/>
        <v>-1.4300000000000068</v>
      </c>
      <c r="Q411" s="124">
        <f t="shared" si="61"/>
        <v>1.1799999999999997</v>
      </c>
      <c r="U411" s="119">
        <v>7.35</v>
      </c>
      <c r="V411" s="129" t="e">
        <f t="shared" ref="V411:V474" si="67">U411-B411</f>
        <v>#DIV/0!</v>
      </c>
      <c r="W411" s="134" t="e">
        <f t="shared" si="64"/>
        <v>#DIV/0!</v>
      </c>
      <c r="X411" s="135" t="e">
        <f t="shared" si="63"/>
        <v>#DIV/0!</v>
      </c>
      <c r="Y411" s="134">
        <v>45727</v>
      </c>
      <c r="Z411" s="108">
        <v>-0.25</v>
      </c>
      <c r="AA411" s="108">
        <v>45727</v>
      </c>
      <c r="AB411" s="131">
        <v>-0.48</v>
      </c>
      <c r="AC411" s="131">
        <v>45727</v>
      </c>
      <c r="AD411" s="131">
        <v>-0.48</v>
      </c>
      <c r="AE411" s="131">
        <f t="shared" si="66"/>
        <v>34.920999999999999</v>
      </c>
      <c r="AF411" s="131">
        <v>34.441000000000003</v>
      </c>
      <c r="AG411" s="130">
        <f>'[6]Monthly Palm Oil'!$D38</f>
        <v>1635.75</v>
      </c>
      <c r="AH411" s="131">
        <f>'[6]Monthly Palm Oil'!$X38</f>
        <v>19.527936005005753</v>
      </c>
      <c r="AI411" s="131">
        <f t="shared" si="59"/>
        <v>13.912063994994245</v>
      </c>
    </row>
    <row r="412" spans="1:35">
      <c r="A412" s="99">
        <v>38018</v>
      </c>
      <c r="B412" s="119" t="e">
        <f>'[4]Monthly Prices'!$CF52</f>
        <v>#DIV/0!</v>
      </c>
      <c r="C412" s="119">
        <v>259.81</v>
      </c>
      <c r="D412" s="119">
        <v>31.97</v>
      </c>
      <c r="E412" s="122" t="e">
        <f t="shared" si="65"/>
        <v>#DIV/0!</v>
      </c>
      <c r="F412" s="128" t="e">
        <f t="shared" si="60"/>
        <v>#DIV/0!</v>
      </c>
      <c r="G412" s="127" t="e">
        <f t="shared" si="62"/>
        <v>#DIV/0!</v>
      </c>
      <c r="J412" s="119">
        <v>8.73</v>
      </c>
      <c r="K412" s="119">
        <v>257.42</v>
      </c>
      <c r="L412" s="119">
        <v>33.049999999999997</v>
      </c>
      <c r="M412" s="119">
        <f t="shared" si="57"/>
        <v>0.56874000000000002</v>
      </c>
      <c r="N412" s="128">
        <f t="shared" si="58"/>
        <v>0.39096694821018757</v>
      </c>
      <c r="O412" s="124" t="e">
        <f t="shared" si="61"/>
        <v>#DIV/0!</v>
      </c>
      <c r="P412" s="124">
        <f t="shared" si="61"/>
        <v>-2.3899999999999864</v>
      </c>
      <c r="Q412" s="124">
        <f t="shared" si="61"/>
        <v>1.0799999999999983</v>
      </c>
      <c r="U412" s="119">
        <v>8.2799999999999994</v>
      </c>
      <c r="V412" s="129" t="e">
        <f t="shared" si="67"/>
        <v>#DIV/0!</v>
      </c>
      <c r="W412" s="134" t="e">
        <f t="shared" si="64"/>
        <v>#DIV/0!</v>
      </c>
      <c r="X412" s="135" t="e">
        <f t="shared" si="63"/>
        <v>#DIV/0!</v>
      </c>
      <c r="Y412" s="134">
        <v>45728</v>
      </c>
      <c r="Z412" s="108">
        <v>-0.25</v>
      </c>
      <c r="AA412" s="108">
        <v>45728</v>
      </c>
      <c r="AB412" s="131">
        <v>-0.48</v>
      </c>
      <c r="AC412" s="131">
        <v>45728</v>
      </c>
      <c r="AD412" s="131">
        <v>-0.48</v>
      </c>
      <c r="AE412" s="131">
        <f t="shared" si="66"/>
        <v>38.631499999999996</v>
      </c>
      <c r="AF412" s="131">
        <v>38.151499999999999</v>
      </c>
      <c r="AG412" s="130">
        <f>'[6]Monthly Palm Oil'!$D39</f>
        <v>1604.5</v>
      </c>
      <c r="AH412" s="131">
        <f>'[6]Monthly Palm Oil'!$X39</f>
        <v>19.154866770613928</v>
      </c>
      <c r="AI412" s="131">
        <f t="shared" si="59"/>
        <v>13.475133229386074</v>
      </c>
    </row>
    <row r="413" spans="1:35">
      <c r="A413" s="99">
        <v>38047</v>
      </c>
      <c r="B413" s="119" t="e">
        <f>'[4]Monthly Prices'!$CF53</f>
        <v>#DIV/0!</v>
      </c>
      <c r="C413" s="119">
        <v>301.33</v>
      </c>
      <c r="D413" s="119">
        <v>33.44</v>
      </c>
      <c r="E413" s="122" t="e">
        <f t="shared" si="65"/>
        <v>#DIV/0!</v>
      </c>
      <c r="F413" s="128" t="e">
        <f t="shared" si="60"/>
        <v>#DIV/0!</v>
      </c>
      <c r="G413" s="127" t="e">
        <f t="shared" si="62"/>
        <v>#DIV/0!</v>
      </c>
      <c r="J413" s="119">
        <v>9.89</v>
      </c>
      <c r="K413" s="119">
        <v>301.14</v>
      </c>
      <c r="L413" s="119">
        <v>34.659999999999997</v>
      </c>
      <c r="M413" s="119">
        <f t="shared" si="57"/>
        <v>0.54767999999999795</v>
      </c>
      <c r="N413" s="128">
        <f t="shared" si="58"/>
        <v>0.36527274260180426</v>
      </c>
      <c r="O413" s="124" t="e">
        <f t="shared" si="61"/>
        <v>#DIV/0!</v>
      </c>
      <c r="P413" s="124">
        <f t="shared" si="61"/>
        <v>-0.18999999999999773</v>
      </c>
      <c r="Q413" s="124">
        <f t="shared" si="61"/>
        <v>1.2199999999999989</v>
      </c>
      <c r="R413" s="124">
        <f>AVERAGE(J411:J413)</f>
        <v>8.9500000000000011</v>
      </c>
      <c r="S413" s="124">
        <f>AVERAGE(K411:K413)</f>
        <v>270.23666666666668</v>
      </c>
      <c r="T413" s="124">
        <f>AVERAGE(L411:L413)</f>
        <v>32.68333333333333</v>
      </c>
      <c r="U413" s="119">
        <v>9.2799999999999994</v>
      </c>
      <c r="V413" s="129" t="e">
        <f t="shared" si="67"/>
        <v>#DIV/0!</v>
      </c>
      <c r="W413" s="134" t="e">
        <f t="shared" si="64"/>
        <v>#DIV/0!</v>
      </c>
      <c r="X413" s="135" t="e">
        <f t="shared" si="63"/>
        <v>#DIV/0!</v>
      </c>
      <c r="Y413" s="134">
        <v>45729</v>
      </c>
      <c r="Z413" s="135">
        <v>-0.25</v>
      </c>
      <c r="AA413" s="136">
        <v>45729</v>
      </c>
      <c r="AB413" s="131">
        <v>-0.48</v>
      </c>
      <c r="AC413" s="131">
        <v>45729</v>
      </c>
      <c r="AD413" s="131">
        <v>-0.48</v>
      </c>
      <c r="AE413" s="131">
        <f t="shared" si="66"/>
        <v>40.682599999999994</v>
      </c>
      <c r="AF413" s="131">
        <v>40.202599999999997</v>
      </c>
      <c r="AG413" s="130">
        <f>'[6]Monthly Palm Oil'!$D40</f>
        <v>1476</v>
      </c>
      <c r="AH413" s="131">
        <f>'[6]Monthly Palm Oil'!$X40</f>
        <v>17.620829503387188</v>
      </c>
      <c r="AI413" s="131">
        <f t="shared" si="59"/>
        <v>12.919170496612811</v>
      </c>
    </row>
    <row r="414" spans="1:35">
      <c r="A414" s="99">
        <v>38078</v>
      </c>
      <c r="B414" s="119" t="e">
        <f>'[4]Monthly Prices'!$CF54</f>
        <v>#DIV/0!</v>
      </c>
      <c r="C414" s="119">
        <v>311.81</v>
      </c>
      <c r="D414" s="119">
        <v>32.630000000000003</v>
      </c>
      <c r="E414" s="122" t="e">
        <f t="shared" si="65"/>
        <v>#DIV/0!</v>
      </c>
      <c r="F414" s="128" t="e">
        <f t="shared" si="60"/>
        <v>#DIV/0!</v>
      </c>
      <c r="G414" s="127" t="e">
        <f t="shared" si="62"/>
        <v>#DIV/0!</v>
      </c>
      <c r="J414" s="119">
        <v>9.93</v>
      </c>
      <c r="K414" s="119">
        <v>311.83</v>
      </c>
      <c r="L414" s="119">
        <v>34.19</v>
      </c>
      <c r="M414" s="119">
        <f t="shared" si="57"/>
        <v>0.69116</v>
      </c>
      <c r="N414" s="128">
        <f t="shared" si="58"/>
        <v>0.35409503293425576</v>
      </c>
      <c r="O414" s="124" t="e">
        <f t="shared" si="61"/>
        <v>#DIV/0!</v>
      </c>
      <c r="P414" s="124">
        <f t="shared" si="61"/>
        <v>1.999999999998181E-2</v>
      </c>
      <c r="Q414" s="124">
        <f t="shared" si="61"/>
        <v>1.5599999999999952</v>
      </c>
      <c r="U414" s="119">
        <v>9.6199999999999992</v>
      </c>
      <c r="V414" s="129" t="e">
        <f t="shared" si="67"/>
        <v>#DIV/0!</v>
      </c>
      <c r="W414" s="134" t="e">
        <f t="shared" si="64"/>
        <v>#DIV/0!</v>
      </c>
      <c r="X414" s="135" t="e">
        <f t="shared" si="63"/>
        <v>#DIV/0!</v>
      </c>
      <c r="Y414" s="134">
        <v>45730</v>
      </c>
      <c r="Z414" s="135">
        <v>-0.25</v>
      </c>
      <c r="AA414" s="136">
        <v>45730</v>
      </c>
      <c r="AB414" s="131">
        <v>-0.48</v>
      </c>
      <c r="AC414" s="131">
        <v>45730</v>
      </c>
      <c r="AD414" s="131">
        <v>-0.48</v>
      </c>
      <c r="AE414" s="131">
        <f t="shared" si="66"/>
        <v>39.883299999999998</v>
      </c>
      <c r="AF414" s="131">
        <v>39.403300000000002</v>
      </c>
      <c r="AG414" s="130">
        <f>'[6]Monthly Palm Oil'!$D41</f>
        <v>1399.2380952380952</v>
      </c>
      <c r="AH414" s="131">
        <f>'[6]Monthly Palm Oil'!$X41</f>
        <v>16.704405917515309</v>
      </c>
      <c r="AI414" s="131">
        <f t="shared" si="59"/>
        <v>11.63559408248469</v>
      </c>
    </row>
    <row r="415" spans="1:35">
      <c r="A415" s="99">
        <v>38108</v>
      </c>
      <c r="B415" s="119" t="e">
        <f>'[4]Monthly Prices'!$CF55</f>
        <v>#DIV/0!</v>
      </c>
      <c r="C415" s="119">
        <v>298.85000000000002</v>
      </c>
      <c r="D415" s="119">
        <v>30.54</v>
      </c>
      <c r="E415" s="122" t="e">
        <f t="shared" si="65"/>
        <v>#DIV/0!</v>
      </c>
      <c r="F415" s="128" t="e">
        <f t="shared" si="60"/>
        <v>#DIV/0!</v>
      </c>
      <c r="G415" s="127" t="e">
        <f t="shared" si="62"/>
        <v>#DIV/0!</v>
      </c>
      <c r="J415" s="119">
        <v>9.58</v>
      </c>
      <c r="K415" s="119">
        <v>300.69</v>
      </c>
      <c r="L415" s="119">
        <v>32.68</v>
      </c>
      <c r="M415" s="119">
        <f t="shared" si="57"/>
        <v>0.62997999999999976</v>
      </c>
      <c r="N415" s="128">
        <f t="shared" si="58"/>
        <v>0.35208687970005814</v>
      </c>
      <c r="O415" s="124" t="e">
        <f t="shared" si="61"/>
        <v>#DIV/0!</v>
      </c>
      <c r="P415" s="124">
        <f t="shared" si="61"/>
        <v>1.839999999999975</v>
      </c>
      <c r="Q415" s="124">
        <f t="shared" si="61"/>
        <v>2.1400000000000006</v>
      </c>
      <c r="U415" s="119">
        <v>9.56</v>
      </c>
      <c r="V415" s="129" t="e">
        <f t="shared" si="67"/>
        <v>#DIV/0!</v>
      </c>
      <c r="W415" s="134" t="e">
        <f t="shared" si="64"/>
        <v>#DIV/0!</v>
      </c>
      <c r="X415" s="135" t="e">
        <f t="shared" si="63"/>
        <v>#DIV/0!</v>
      </c>
      <c r="Y415" s="134">
        <v>45733</v>
      </c>
      <c r="Z415" s="135">
        <v>-0.23</v>
      </c>
      <c r="AA415" s="136">
        <v>45733</v>
      </c>
      <c r="AB415" s="131">
        <v>-0.48</v>
      </c>
      <c r="AC415" s="131">
        <v>45733</v>
      </c>
      <c r="AD415" s="131">
        <v>-0.48</v>
      </c>
      <c r="AE415" s="131">
        <f t="shared" si="66"/>
        <v>38.4</v>
      </c>
      <c r="AF415" s="131">
        <v>37.92</v>
      </c>
      <c r="AG415" s="130">
        <f>'[6]Monthly Palm Oil'!$D42</f>
        <v>1400.8888888888889</v>
      </c>
      <c r="AH415" s="131">
        <f>'[6]Monthly Palm Oil'!$X42</f>
        <v>16.734366851528144</v>
      </c>
      <c r="AI415" s="131">
        <f t="shared" si="59"/>
        <v>9.0856331484718567</v>
      </c>
    </row>
    <row r="416" spans="1:35">
      <c r="A416" s="99">
        <v>38139</v>
      </c>
      <c r="B416" s="119" t="e">
        <f>'[4]Monthly Prices'!$CF56</f>
        <v>#DIV/0!</v>
      </c>
      <c r="C416" s="119">
        <v>282.75</v>
      </c>
      <c r="D416" s="119">
        <v>28.34</v>
      </c>
      <c r="E416" s="122" t="e">
        <f t="shared" si="65"/>
        <v>#DIV/0!</v>
      </c>
      <c r="F416" s="128" t="e">
        <f t="shared" si="60"/>
        <v>#DIV/0!</v>
      </c>
      <c r="G416" s="127" t="e">
        <f t="shared" si="62"/>
        <v>#DIV/0!</v>
      </c>
      <c r="J416" s="119">
        <v>8.91</v>
      </c>
      <c r="K416" s="119">
        <v>285.81</v>
      </c>
      <c r="L416" s="119">
        <v>30.08</v>
      </c>
      <c r="M416" s="119">
        <f t="shared" si="57"/>
        <v>0.68661999999999956</v>
      </c>
      <c r="N416" s="128">
        <f t="shared" si="58"/>
        <v>0.34478806079640539</v>
      </c>
      <c r="O416" s="124" t="e">
        <f t="shared" si="61"/>
        <v>#DIV/0!</v>
      </c>
      <c r="P416" s="124">
        <f t="shared" si="61"/>
        <v>3.0600000000000023</v>
      </c>
      <c r="Q416" s="124">
        <f t="shared" si="61"/>
        <v>1.7399999999999984</v>
      </c>
      <c r="R416" s="124">
        <f>AVERAGE(J414:J416)</f>
        <v>9.4733333333333327</v>
      </c>
      <c r="S416" s="124">
        <f>AVERAGE(K414:K416)</f>
        <v>299.44333333333333</v>
      </c>
      <c r="T416" s="124">
        <f>AVERAGE(L414:L416)</f>
        <v>32.31666666666667</v>
      </c>
      <c r="U416" s="119">
        <v>9.08</v>
      </c>
      <c r="V416" s="129" t="e">
        <f t="shared" si="67"/>
        <v>#DIV/0!</v>
      </c>
      <c r="W416" s="134" t="e">
        <f t="shared" si="64"/>
        <v>#DIV/0!</v>
      </c>
      <c r="X416" s="135" t="e">
        <f t="shared" si="63"/>
        <v>#DIV/0!</v>
      </c>
      <c r="Y416" s="134"/>
      <c r="Z416" s="135">
        <v>35.3247</v>
      </c>
      <c r="AA416" s="136">
        <f t="shared" ref="AA416:AA479" si="68">Z416-AB416</f>
        <v>-0.51330000000000098</v>
      </c>
      <c r="AB416" s="131">
        <v>35.838000000000001</v>
      </c>
      <c r="AC416" s="131">
        <f t="shared" ref="AC416:AC479" si="69">AB416-L416</f>
        <v>5.7580000000000027</v>
      </c>
      <c r="AD416" s="131">
        <v>22.922000000000001</v>
      </c>
      <c r="AE416" s="131">
        <f t="shared" si="66"/>
        <v>11.531499999999998</v>
      </c>
      <c r="AF416" s="131">
        <v>34.453499999999998</v>
      </c>
      <c r="AG416" s="130">
        <f>'[6]Monthly Palm Oil'!$D43</f>
        <v>1422.8095238095239</v>
      </c>
      <c r="AH416" s="131">
        <f>'[6]Monthly Palm Oil'!$X43</f>
        <v>16.969991994033105</v>
      </c>
      <c r="AI416" s="131">
        <f t="shared" si="59"/>
        <v>6.3900080059668944</v>
      </c>
    </row>
    <row r="417" spans="1:35">
      <c r="A417" s="99">
        <v>38169</v>
      </c>
      <c r="B417" s="119" t="e">
        <f>'[4]Monthly Prices'!$CF57</f>
        <v>#DIV/0!</v>
      </c>
      <c r="C417" s="119">
        <v>248.29</v>
      </c>
      <c r="D417" s="119">
        <v>25.82</v>
      </c>
      <c r="E417" s="122" t="e">
        <f t="shared" si="65"/>
        <v>#DIV/0!</v>
      </c>
      <c r="F417" s="128" t="e">
        <f t="shared" si="60"/>
        <v>#DIV/0!</v>
      </c>
      <c r="G417" s="127" t="e">
        <f t="shared" si="62"/>
        <v>#DIV/0!</v>
      </c>
      <c r="J417" s="119">
        <v>8.1</v>
      </c>
      <c r="K417" s="119">
        <v>284.02</v>
      </c>
      <c r="L417" s="119">
        <v>28.05</v>
      </c>
      <c r="M417" s="119">
        <f t="shared" si="57"/>
        <v>1.2339400000000005</v>
      </c>
      <c r="N417" s="128">
        <f t="shared" si="58"/>
        <v>0.33056779880736326</v>
      </c>
      <c r="O417" s="124" t="e">
        <f t="shared" si="61"/>
        <v>#DIV/0!</v>
      </c>
      <c r="P417" s="124">
        <f t="shared" si="61"/>
        <v>35.72999999999999</v>
      </c>
      <c r="Q417" s="124">
        <f t="shared" si="61"/>
        <v>2.2300000000000004</v>
      </c>
      <c r="U417" s="119">
        <v>8.4600000000000009</v>
      </c>
      <c r="V417" s="129" t="e">
        <f t="shared" si="67"/>
        <v>#DIV/0!</v>
      </c>
      <c r="W417" s="134" t="e">
        <f t="shared" si="64"/>
        <v>#DIV/0!</v>
      </c>
      <c r="X417" s="135" t="e">
        <f t="shared" si="63"/>
        <v>#DIV/0!</v>
      </c>
      <c r="Y417" s="134"/>
      <c r="Z417" s="135">
        <v>33.977600000000002</v>
      </c>
      <c r="AA417" s="136">
        <f t="shared" si="68"/>
        <v>-0.14189999999999969</v>
      </c>
      <c r="AB417" s="131">
        <v>34.119500000000002</v>
      </c>
      <c r="AC417" s="131">
        <f t="shared" si="69"/>
        <v>6.0695000000000014</v>
      </c>
      <c r="AD417" s="131">
        <v>22.32</v>
      </c>
      <c r="AE417" s="131">
        <f t="shared" si="66"/>
        <v>11.266100000000002</v>
      </c>
      <c r="AF417" s="131">
        <v>33.586100000000002</v>
      </c>
      <c r="AG417" s="130">
        <f>'[6]Monthly Palm Oil'!$D44</f>
        <v>1361.3181818181818</v>
      </c>
      <c r="AH417" s="131">
        <f>'[6]Monthly Palm Oil'!$X44</f>
        <v>16.219196852974246</v>
      </c>
      <c r="AI417" s="131">
        <f t="shared" si="59"/>
        <v>6.6308031470257554</v>
      </c>
    </row>
    <row r="418" spans="1:35">
      <c r="A418" s="99">
        <v>38200</v>
      </c>
      <c r="B418" s="119" t="e">
        <f>'[4]Monthly Prices'!$CF58</f>
        <v>#DIV/0!</v>
      </c>
      <c r="C418" s="119">
        <v>188.77</v>
      </c>
      <c r="D418" s="119">
        <v>23.36</v>
      </c>
      <c r="E418" s="122" t="e">
        <f t="shared" si="65"/>
        <v>#DIV/0!</v>
      </c>
      <c r="F418" s="128" t="e">
        <f t="shared" si="60"/>
        <v>#DIV/0!</v>
      </c>
      <c r="G418" s="127" t="e">
        <f t="shared" si="62"/>
        <v>#DIV/0!</v>
      </c>
      <c r="J418" s="119">
        <v>6.42</v>
      </c>
      <c r="K418" s="119">
        <v>205.34</v>
      </c>
      <c r="L418" s="119">
        <v>25.98</v>
      </c>
      <c r="M418" s="119">
        <f t="shared" si="57"/>
        <v>0.95528000000000013</v>
      </c>
      <c r="N418" s="128">
        <f t="shared" si="58"/>
        <v>0.38748359384321679</v>
      </c>
      <c r="O418" s="124" t="e">
        <f t="shared" si="61"/>
        <v>#DIV/0!</v>
      </c>
      <c r="P418" s="124">
        <f t="shared" si="61"/>
        <v>16.569999999999993</v>
      </c>
      <c r="Q418" s="124">
        <f t="shared" si="61"/>
        <v>2.620000000000001</v>
      </c>
      <c r="U418" s="119">
        <v>6.83</v>
      </c>
      <c r="V418" s="129" t="e">
        <f t="shared" si="67"/>
        <v>#DIV/0!</v>
      </c>
      <c r="W418" s="134" t="e">
        <f t="shared" si="64"/>
        <v>#DIV/0!</v>
      </c>
      <c r="X418" s="135" t="e">
        <f t="shared" si="63"/>
        <v>#DIV/0!</v>
      </c>
      <c r="Y418" s="134"/>
      <c r="Z418" s="135">
        <v>31.954000000000001</v>
      </c>
      <c r="AA418" s="136">
        <f t="shared" si="68"/>
        <v>0.29540000000000077</v>
      </c>
      <c r="AB418" s="131">
        <v>31.6586</v>
      </c>
      <c r="AC418" s="131">
        <f t="shared" si="69"/>
        <v>5.6785999999999994</v>
      </c>
      <c r="AD418" s="131">
        <v>22.626300000000001</v>
      </c>
      <c r="AE418" s="131">
        <f t="shared" si="66"/>
        <v>9.191399999999998</v>
      </c>
      <c r="AF418" s="131">
        <v>31.817699999999999</v>
      </c>
      <c r="AG418" s="130">
        <f>'[6]Monthly Palm Oil'!$D45</f>
        <v>1286.8095238095239</v>
      </c>
      <c r="AH418" s="131">
        <f>'[6]Monthly Palm Oil'!$X45</f>
        <v>15.362209403383345</v>
      </c>
      <c r="AI418" s="131">
        <f t="shared" si="59"/>
        <v>5.4777905966166553</v>
      </c>
    </row>
    <row r="419" spans="1:35">
      <c r="A419" s="99">
        <v>38231</v>
      </c>
      <c r="B419" s="119" t="e">
        <f>'[4]Monthly Prices'!$CF59</f>
        <v>#DIV/0!</v>
      </c>
      <c r="C419" s="119">
        <v>164.37</v>
      </c>
      <c r="D419" s="119">
        <v>22.85</v>
      </c>
      <c r="E419" s="122" t="e">
        <f t="shared" si="65"/>
        <v>#DIV/0!</v>
      </c>
      <c r="F419" s="128" t="e">
        <f t="shared" si="60"/>
        <v>#DIV/0!</v>
      </c>
      <c r="G419" s="127" t="e">
        <f t="shared" si="62"/>
        <v>#DIV/0!</v>
      </c>
      <c r="J419" s="119">
        <v>5.62</v>
      </c>
      <c r="K419" s="119">
        <v>175.51</v>
      </c>
      <c r="L419" s="119">
        <v>25.87</v>
      </c>
      <c r="M419" s="119">
        <f t="shared" si="57"/>
        <v>1.0869200000000001</v>
      </c>
      <c r="N419" s="128">
        <f t="shared" si="58"/>
        <v>0.42429311815259463</v>
      </c>
      <c r="O419" s="124" t="e">
        <f t="shared" si="61"/>
        <v>#DIV/0!</v>
      </c>
      <c r="P419" s="124">
        <f t="shared" si="61"/>
        <v>11.139999999999986</v>
      </c>
      <c r="Q419" s="124">
        <f t="shared" si="61"/>
        <v>3.0199999999999996</v>
      </c>
      <c r="R419" s="124">
        <f>AVERAGE(J417:J419)</f>
        <v>6.7133333333333338</v>
      </c>
      <c r="S419" s="124">
        <f>AVERAGE(K417:K419)</f>
        <v>221.62333333333333</v>
      </c>
      <c r="T419" s="124">
        <f>AVERAGE(L417:L419)</f>
        <v>26.633333333333336</v>
      </c>
      <c r="U419" s="119">
        <v>5.83</v>
      </c>
      <c r="V419" s="129" t="e">
        <f t="shared" si="67"/>
        <v>#DIV/0!</v>
      </c>
      <c r="W419" s="134" t="e">
        <f t="shared" si="64"/>
        <v>#DIV/0!</v>
      </c>
      <c r="X419" s="135" t="e">
        <f t="shared" si="63"/>
        <v>#DIV/0!</v>
      </c>
      <c r="Y419" s="134"/>
      <c r="Z419" s="135">
        <v>32.154699999999998</v>
      </c>
      <c r="AA419" s="136">
        <f t="shared" si="68"/>
        <v>-0.21430000000000149</v>
      </c>
      <c r="AB419" s="131">
        <v>32.369</v>
      </c>
      <c r="AC419" s="131">
        <f t="shared" si="69"/>
        <v>6.4989999999999988</v>
      </c>
      <c r="AD419" s="131">
        <v>23.2423</v>
      </c>
      <c r="AE419" s="131">
        <f t="shared" si="66"/>
        <v>9.1266999999999996</v>
      </c>
      <c r="AF419" s="131">
        <v>32.369</v>
      </c>
      <c r="AG419" s="130">
        <f>'[6]Monthly Palm Oil'!$D46</f>
        <v>1367.7</v>
      </c>
      <c r="AH419" s="131">
        <f>'[6]Monthly Palm Oil'!$X46</f>
        <v>16.328005047992793</v>
      </c>
      <c r="AI419" s="131">
        <f t="shared" si="59"/>
        <v>4.5819949520072072</v>
      </c>
    </row>
    <row r="420" spans="1:35">
      <c r="A420" s="99">
        <v>38261</v>
      </c>
      <c r="B420" s="119" t="e">
        <f>'[4]Monthly Prices'!$CF60</f>
        <v>#DIV/0!</v>
      </c>
      <c r="C420" s="119">
        <v>156.81</v>
      </c>
      <c r="D420" s="119">
        <v>20.84</v>
      </c>
      <c r="E420" s="122" t="e">
        <f t="shared" si="65"/>
        <v>#DIV/0!</v>
      </c>
      <c r="F420" s="128" t="e">
        <f t="shared" si="60"/>
        <v>#DIV/0!</v>
      </c>
      <c r="G420" s="127" t="e">
        <f t="shared" si="62"/>
        <v>#DIV/0!</v>
      </c>
      <c r="J420" s="119">
        <v>5.19</v>
      </c>
      <c r="K420" s="119">
        <v>155.37</v>
      </c>
      <c r="L420" s="119">
        <v>23.23</v>
      </c>
      <c r="M420" s="119">
        <f t="shared" si="57"/>
        <v>0.78343999999999969</v>
      </c>
      <c r="N420" s="128">
        <f t="shared" si="58"/>
        <v>0.42777695934001175</v>
      </c>
      <c r="O420" s="124" t="e">
        <f t="shared" si="61"/>
        <v>#DIV/0!</v>
      </c>
      <c r="P420" s="124">
        <f t="shared" si="61"/>
        <v>-1.4399999999999977</v>
      </c>
      <c r="Q420" s="124">
        <f t="shared" si="61"/>
        <v>2.3900000000000006</v>
      </c>
      <c r="U420" s="119">
        <v>5.56</v>
      </c>
      <c r="V420" s="129" t="e">
        <f t="shared" si="67"/>
        <v>#DIV/0!</v>
      </c>
      <c r="W420" s="134" t="e">
        <f t="shared" si="64"/>
        <v>#DIV/0!</v>
      </c>
      <c r="X420" s="135" t="e">
        <f t="shared" si="63"/>
        <v>#DIV/0!</v>
      </c>
      <c r="Y420" s="134"/>
      <c r="Z420" s="135">
        <v>29.848800000000001</v>
      </c>
      <c r="AA420" s="136">
        <f t="shared" si="68"/>
        <v>1.0583999999999989</v>
      </c>
      <c r="AB420" s="131">
        <v>28.790400000000002</v>
      </c>
      <c r="AC420" s="131">
        <f t="shared" si="69"/>
        <v>5.5604000000000013</v>
      </c>
      <c r="AD420" s="131">
        <v>22.377099999999999</v>
      </c>
      <c r="AE420" s="131">
        <f t="shared" si="66"/>
        <v>6.3181000000000012</v>
      </c>
      <c r="AF420" s="131">
        <v>28.6952</v>
      </c>
      <c r="AG420" s="130">
        <f>'[6]Monthly Palm Oil'!$D47</f>
        <v>1637.5454545454545</v>
      </c>
      <c r="AH420" s="131">
        <f>'[6]Monthly Palm Oil'!$X47</f>
        <v>19.549370528290812</v>
      </c>
      <c r="AI420" s="131">
        <f t="shared" si="59"/>
        <v>0.94062947170918676</v>
      </c>
    </row>
    <row r="421" spans="1:35">
      <c r="A421" s="99">
        <v>38292</v>
      </c>
      <c r="B421" s="119" t="e">
        <f>'[4]Monthly Prices'!$CF61</f>
        <v>#DIV/0!</v>
      </c>
      <c r="C421" s="119">
        <v>154.34</v>
      </c>
      <c r="D421" s="119">
        <v>20.91</v>
      </c>
      <c r="E421" s="122" t="e">
        <f t="shared" si="65"/>
        <v>#DIV/0!</v>
      </c>
      <c r="F421" s="128" t="e">
        <f t="shared" si="60"/>
        <v>#DIV/0!</v>
      </c>
      <c r="G421" s="127" t="e">
        <f t="shared" si="62"/>
        <v>#DIV/0!</v>
      </c>
      <c r="J421" s="119">
        <v>5.34</v>
      </c>
      <c r="K421" s="119">
        <v>153.9</v>
      </c>
      <c r="L421" s="119">
        <v>22.95</v>
      </c>
      <c r="M421" s="119">
        <f t="shared" si="57"/>
        <v>0.57029999999999959</v>
      </c>
      <c r="N421" s="128">
        <f t="shared" si="58"/>
        <v>0.42713567839195982</v>
      </c>
      <c r="O421" s="124" t="e">
        <f t="shared" si="61"/>
        <v>#DIV/0!</v>
      </c>
      <c r="P421" s="124">
        <f t="shared" si="61"/>
        <v>-0.43999999999999773</v>
      </c>
      <c r="Q421" s="124">
        <f t="shared" si="61"/>
        <v>2.0399999999999991</v>
      </c>
      <c r="U421" s="119">
        <v>5.36</v>
      </c>
      <c r="V421" s="129" t="e">
        <f t="shared" si="67"/>
        <v>#DIV/0!</v>
      </c>
      <c r="W421" s="134" t="e">
        <f t="shared" si="64"/>
        <v>#DIV/0!</v>
      </c>
      <c r="X421" s="135" t="e">
        <f t="shared" si="63"/>
        <v>#DIV/0!</v>
      </c>
      <c r="Y421" s="134"/>
      <c r="Z421" s="135">
        <v>33.9285</v>
      </c>
      <c r="AA421" s="136">
        <f t="shared" si="68"/>
        <v>5.3125</v>
      </c>
      <c r="AB421" s="131">
        <v>28.616</v>
      </c>
      <c r="AC421" s="131">
        <f t="shared" si="69"/>
        <v>5.6660000000000004</v>
      </c>
      <c r="AD421" s="131">
        <v>22.192499999999999</v>
      </c>
      <c r="AE421" s="131">
        <f t="shared" si="66"/>
        <v>5.7985000000000007</v>
      </c>
      <c r="AF421" s="131">
        <v>27.991</v>
      </c>
      <c r="AG421" s="130">
        <f>'[6]Monthly Palm Oil'!$D48</f>
        <v>1739</v>
      </c>
      <c r="AH421" s="131">
        <f>'[6]Monthly Palm Oil'!$X48</f>
        <v>20.760313897837179</v>
      </c>
      <c r="AI421" s="131">
        <f t="shared" si="59"/>
        <v>-0.99031389783717927</v>
      </c>
    </row>
    <row r="422" spans="1:35">
      <c r="A422" s="99">
        <v>38322</v>
      </c>
      <c r="B422" s="119" t="e">
        <f>'[4]Monthly Prices'!$CF62</f>
        <v>#DIV/0!</v>
      </c>
      <c r="C422" s="119">
        <v>159.30000000000001</v>
      </c>
      <c r="D422" s="119">
        <v>20.49</v>
      </c>
      <c r="E422" s="122" t="e">
        <f t="shared" si="65"/>
        <v>#DIV/0!</v>
      </c>
      <c r="F422" s="128" t="e">
        <f t="shared" si="60"/>
        <v>#DIV/0!</v>
      </c>
      <c r="G422" s="127" t="e">
        <f t="shared" si="62"/>
        <v>#DIV/0!</v>
      </c>
      <c r="J422" s="119">
        <v>5.45</v>
      </c>
      <c r="K422" s="119">
        <v>161.4</v>
      </c>
      <c r="L422" s="119">
        <v>21.79</v>
      </c>
      <c r="M422" s="119">
        <f t="shared" si="57"/>
        <v>0.49769999999999914</v>
      </c>
      <c r="N422" s="128">
        <f t="shared" si="58"/>
        <v>0.40299611614573699</v>
      </c>
      <c r="O422" s="124" t="e">
        <f t="shared" si="61"/>
        <v>#DIV/0!</v>
      </c>
      <c r="P422" s="124">
        <f t="shared" si="61"/>
        <v>2.0999999999999943</v>
      </c>
      <c r="Q422" s="124">
        <f t="shared" si="61"/>
        <v>1.3000000000000007</v>
      </c>
      <c r="R422" s="124">
        <f>AVERAGE(J420:J422)</f>
        <v>5.3266666666666671</v>
      </c>
      <c r="S422" s="124">
        <f>AVERAGE(K420:K422)</f>
        <v>156.88999999999999</v>
      </c>
      <c r="T422" s="124">
        <f>AVERAGE(L420:L422)</f>
        <v>22.656666666666666</v>
      </c>
      <c r="U422" s="119">
        <v>5.45</v>
      </c>
      <c r="V422" s="129" t="e">
        <f t="shared" si="67"/>
        <v>#DIV/0!</v>
      </c>
      <c r="W422" s="134" t="e">
        <f t="shared" si="64"/>
        <v>#DIV/0!</v>
      </c>
      <c r="X422" s="135" t="e">
        <f t="shared" si="63"/>
        <v>#DIV/0!</v>
      </c>
      <c r="Y422" s="134"/>
      <c r="Z422" s="135">
        <v>32.174199999999999</v>
      </c>
      <c r="AA422" s="136">
        <f t="shared" si="68"/>
        <v>4.3737999999999992</v>
      </c>
      <c r="AB422" s="131">
        <v>27.8004</v>
      </c>
      <c r="AC422" s="131">
        <f t="shared" si="69"/>
        <v>6.0104000000000006</v>
      </c>
      <c r="AD422" s="131">
        <v>21.730399999999999</v>
      </c>
      <c r="AE422" s="131">
        <f t="shared" si="66"/>
        <v>5.3247999999999998</v>
      </c>
      <c r="AF422" s="131">
        <v>27.055199999999999</v>
      </c>
      <c r="AG422" s="130">
        <f>'[6]Monthly Palm Oil'!$D49</f>
        <v>1784.7272727272727</v>
      </c>
      <c r="AH422" s="131">
        <f>'[6]Monthly Palm Oil'!$X49</f>
        <v>21.306200561341967</v>
      </c>
      <c r="AI422" s="131">
        <f t="shared" si="59"/>
        <v>-1.1962005613419677</v>
      </c>
    </row>
    <row r="423" spans="1:35">
      <c r="A423" s="99">
        <v>38353</v>
      </c>
      <c r="B423" s="119" t="e">
        <f>'[4]Monthly Prices'!$CF63</f>
        <v>#DIV/0!</v>
      </c>
      <c r="C423" s="119">
        <v>158.07</v>
      </c>
      <c r="D423" s="119">
        <v>19.77</v>
      </c>
      <c r="E423" s="122" t="e">
        <f t="shared" si="65"/>
        <v>#DIV/0!</v>
      </c>
      <c r="F423" s="128" t="e">
        <f t="shared" si="60"/>
        <v>#DIV/0!</v>
      </c>
      <c r="G423" s="127" t="e">
        <f t="shared" si="62"/>
        <v>#DIV/0!</v>
      </c>
      <c r="J423" s="119">
        <v>5.39</v>
      </c>
      <c r="K423" s="119">
        <v>167.34</v>
      </c>
      <c r="L423" s="119">
        <v>20.47</v>
      </c>
      <c r="M423" s="119">
        <f t="shared" si="57"/>
        <v>0.54318000000000044</v>
      </c>
      <c r="N423" s="128">
        <f t="shared" si="58"/>
        <v>0.37950980755682451</v>
      </c>
      <c r="O423" s="124" t="e">
        <f t="shared" si="61"/>
        <v>#DIV/0!</v>
      </c>
      <c r="P423" s="124">
        <f t="shared" si="61"/>
        <v>9.2700000000000102</v>
      </c>
      <c r="Q423" s="124">
        <f t="shared" si="61"/>
        <v>0.69999999999999929</v>
      </c>
      <c r="U423" s="119">
        <v>5.57</v>
      </c>
      <c r="V423" s="129" t="e">
        <f t="shared" si="67"/>
        <v>#DIV/0!</v>
      </c>
      <c r="W423" s="134" t="e">
        <f t="shared" si="64"/>
        <v>#DIV/0!</v>
      </c>
      <c r="X423" s="135" t="e">
        <f t="shared" si="63"/>
        <v>#DIV/0!</v>
      </c>
      <c r="Y423" s="134"/>
      <c r="Z423" s="135">
        <v>28.314</v>
      </c>
      <c r="AA423" s="136">
        <f t="shared" si="68"/>
        <v>1.9938000000000002</v>
      </c>
      <c r="AB423" s="131">
        <v>26.3202</v>
      </c>
      <c r="AC423" s="131">
        <f t="shared" si="69"/>
        <v>5.850200000000001</v>
      </c>
      <c r="AD423" s="131">
        <v>20.4465</v>
      </c>
      <c r="AE423" s="131">
        <f t="shared" si="66"/>
        <v>4.5910000000000011</v>
      </c>
      <c r="AF423" s="131">
        <v>25.037500000000001</v>
      </c>
      <c r="AG423" s="130">
        <f>'[6]Monthly Palm Oil'!$D50</f>
        <v>1752.6470588235295</v>
      </c>
      <c r="AH423" s="131">
        <f>'[6]Monthly Palm Oil'!$X50</f>
        <v>20.923478284620167</v>
      </c>
      <c r="AI423" s="131">
        <f t="shared" si="59"/>
        <v>2.3865217153798319</v>
      </c>
    </row>
    <row r="424" spans="1:35">
      <c r="A424" s="99">
        <v>38384</v>
      </c>
      <c r="B424" s="119" t="e">
        <f>'[4]Monthly Prices'!$CF64</f>
        <v>#DIV/0!</v>
      </c>
      <c r="C424" s="119">
        <v>161.97</v>
      </c>
      <c r="D424" s="119">
        <v>20.11</v>
      </c>
      <c r="E424" s="122" t="e">
        <f t="shared" si="65"/>
        <v>#DIV/0!</v>
      </c>
      <c r="F424" s="128" t="e">
        <f t="shared" si="60"/>
        <v>#DIV/0!</v>
      </c>
      <c r="G424" s="127" t="e">
        <f t="shared" si="62"/>
        <v>#DIV/0!</v>
      </c>
      <c r="J424" s="119">
        <v>5.45</v>
      </c>
      <c r="K424" s="119">
        <v>167.95</v>
      </c>
      <c r="L424" s="119">
        <v>20.7</v>
      </c>
      <c r="M424" s="119">
        <f t="shared" si="57"/>
        <v>0.52189999999999959</v>
      </c>
      <c r="N424" s="128">
        <f t="shared" si="58"/>
        <v>0.38128568797200219</v>
      </c>
      <c r="O424" s="124" t="e">
        <f t="shared" si="61"/>
        <v>#DIV/0!</v>
      </c>
      <c r="P424" s="124">
        <f t="shared" si="61"/>
        <v>5.9799999999999898</v>
      </c>
      <c r="Q424" s="124">
        <f t="shared" si="61"/>
        <v>0.58999999999999986</v>
      </c>
      <c r="U424" s="119">
        <v>5.42</v>
      </c>
      <c r="V424" s="129" t="e">
        <f t="shared" si="67"/>
        <v>#DIV/0!</v>
      </c>
      <c r="W424" s="134" t="e">
        <f t="shared" si="64"/>
        <v>#DIV/0!</v>
      </c>
      <c r="X424" s="135" t="e">
        <f t="shared" si="63"/>
        <v>#DIV/0!</v>
      </c>
      <c r="Y424" s="134"/>
      <c r="Z424" s="135">
        <v>29.132100000000001</v>
      </c>
      <c r="AA424" s="136">
        <f t="shared" si="68"/>
        <v>2.8106000000000009</v>
      </c>
      <c r="AB424" s="131">
        <v>26.3215</v>
      </c>
      <c r="AC424" s="131">
        <f t="shared" si="69"/>
        <v>5.6215000000000011</v>
      </c>
      <c r="AD424" s="131">
        <v>20.221</v>
      </c>
      <c r="AE424" s="131">
        <f t="shared" si="66"/>
        <v>4.6346999999999987</v>
      </c>
      <c r="AF424" s="131">
        <v>24.855699999999999</v>
      </c>
      <c r="AG424" s="130">
        <f>'[6]Monthly Palm Oil'!$D51</f>
        <v>1893.1875</v>
      </c>
      <c r="AH424" s="131">
        <f>'[6]Monthly Palm Oil'!$X51</f>
        <v>22.600911797357494</v>
      </c>
      <c r="AI424" s="131">
        <f t="shared" si="59"/>
        <v>1.9088202642507213E-2</v>
      </c>
    </row>
    <row r="425" spans="1:35">
      <c r="A425" s="99">
        <v>38412</v>
      </c>
      <c r="B425" s="119" t="e">
        <f>'[4]Monthly Prices'!$CF65</f>
        <v>#DIV/0!</v>
      </c>
      <c r="C425" s="119">
        <v>189.67</v>
      </c>
      <c r="D425" s="119">
        <v>23.31</v>
      </c>
      <c r="E425" s="122" t="e">
        <f t="shared" si="65"/>
        <v>#DIV/0!</v>
      </c>
      <c r="F425" s="128" t="e">
        <f t="shared" si="60"/>
        <v>#DIV/0!</v>
      </c>
      <c r="G425" s="127" t="e">
        <f t="shared" si="62"/>
        <v>#DIV/0!</v>
      </c>
      <c r="J425" s="119">
        <v>6.28</v>
      </c>
      <c r="K425" s="119">
        <v>187.92</v>
      </c>
      <c r="L425" s="119">
        <v>23.6</v>
      </c>
      <c r="M425" s="119">
        <f t="shared" si="57"/>
        <v>0.45023999999999909</v>
      </c>
      <c r="N425" s="128">
        <f t="shared" si="58"/>
        <v>0.38572175732217578</v>
      </c>
      <c r="O425" s="124" t="e">
        <f t="shared" si="61"/>
        <v>#DIV/0!</v>
      </c>
      <c r="P425" s="124">
        <f t="shared" si="61"/>
        <v>-1.75</v>
      </c>
      <c r="Q425" s="124">
        <f t="shared" si="61"/>
        <v>0.2900000000000027</v>
      </c>
      <c r="R425" s="124">
        <f>AVERAGE(J423:J425)</f>
        <v>5.706666666666667</v>
      </c>
      <c r="S425" s="124">
        <f>AVERAGE(K423:K425)</f>
        <v>174.40333333333331</v>
      </c>
      <c r="T425" s="124">
        <f>AVERAGE(L423:L425)</f>
        <v>21.590000000000003</v>
      </c>
      <c r="U425" s="119">
        <v>5.95</v>
      </c>
      <c r="V425" s="129" t="e">
        <f t="shared" si="67"/>
        <v>#DIV/0!</v>
      </c>
      <c r="W425" s="134" t="e">
        <f t="shared" si="64"/>
        <v>#DIV/0!</v>
      </c>
      <c r="X425" s="135" t="e">
        <f t="shared" si="63"/>
        <v>#DIV/0!</v>
      </c>
      <c r="Y425" s="134"/>
      <c r="Z425" s="135">
        <v>34.124499999999998</v>
      </c>
      <c r="AA425" s="136">
        <f t="shared" si="68"/>
        <v>4.4135999999999989</v>
      </c>
      <c r="AB425" s="131">
        <v>29.710899999999999</v>
      </c>
      <c r="AC425" s="131">
        <f t="shared" si="69"/>
        <v>6.1108999999999973</v>
      </c>
      <c r="AD425" s="131">
        <v>21.855</v>
      </c>
      <c r="AE425" s="131">
        <f t="shared" si="66"/>
        <v>6.1967999999999996</v>
      </c>
      <c r="AF425" s="131">
        <v>28.0518</v>
      </c>
      <c r="AG425" s="130">
        <f>'[6]Monthly Palm Oil'!$D52</f>
        <v>1946.7391304347825</v>
      </c>
      <c r="AH425" s="131">
        <f>'[6]Monthly Palm Oil'!$X52</f>
        <v>23.240484717230757</v>
      </c>
      <c r="AI425" s="131">
        <f t="shared" si="59"/>
        <v>-0.45048471723075778</v>
      </c>
    </row>
    <row r="426" spans="1:35">
      <c r="A426" s="99">
        <v>38443</v>
      </c>
      <c r="B426" s="119" t="e">
        <f>'[4]Monthly Prices'!$CF66</f>
        <v>#DIV/0!</v>
      </c>
      <c r="C426" s="119">
        <v>190.75</v>
      </c>
      <c r="D426" s="119">
        <v>22.62</v>
      </c>
      <c r="E426" s="122" t="e">
        <f t="shared" si="65"/>
        <v>#DIV/0!</v>
      </c>
      <c r="F426" s="128" t="e">
        <f t="shared" si="60"/>
        <v>#DIV/0!</v>
      </c>
      <c r="G426" s="127" t="e">
        <f t="shared" si="62"/>
        <v>#DIV/0!</v>
      </c>
      <c r="J426" s="119">
        <v>6.22</v>
      </c>
      <c r="K426" s="119">
        <v>193.23</v>
      </c>
      <c r="L426" s="119">
        <v>23.09</v>
      </c>
      <c r="M426" s="119">
        <f t="shared" si="57"/>
        <v>0.57096000000000036</v>
      </c>
      <c r="N426" s="128">
        <f t="shared" si="58"/>
        <v>0.3740119217312427</v>
      </c>
      <c r="O426" s="124" t="e">
        <f t="shared" si="61"/>
        <v>#DIV/0!</v>
      </c>
      <c r="P426" s="124">
        <f t="shared" si="61"/>
        <v>2.4799999999999898</v>
      </c>
      <c r="Q426" s="124">
        <f t="shared" si="61"/>
        <v>0.46999999999999886</v>
      </c>
      <c r="U426" s="119">
        <v>6.03</v>
      </c>
      <c r="V426" s="129" t="e">
        <f t="shared" si="67"/>
        <v>#DIV/0!</v>
      </c>
      <c r="W426" s="134" t="e">
        <f t="shared" si="64"/>
        <v>#DIV/0!</v>
      </c>
      <c r="X426" s="135" t="e">
        <f t="shared" si="63"/>
        <v>#DIV/0!</v>
      </c>
      <c r="Y426" s="134"/>
      <c r="Z426" s="135">
        <v>34.331400000000002</v>
      </c>
      <c r="AA426" s="136">
        <f t="shared" si="68"/>
        <v>5.2143000000000015</v>
      </c>
      <c r="AB426" s="131">
        <v>29.117100000000001</v>
      </c>
      <c r="AC426" s="131">
        <f t="shared" si="69"/>
        <v>6.0271000000000008</v>
      </c>
      <c r="AD426" s="131">
        <v>21.718499999999999</v>
      </c>
      <c r="AE426" s="131">
        <f>AF426-AD426</f>
        <v>5.8867000000000012</v>
      </c>
      <c r="AF426" s="131">
        <v>27.6052</v>
      </c>
      <c r="AG426" s="130">
        <f>'[6]Monthly Palm Oil'!$D53</f>
        <v>1886.5238095238096</v>
      </c>
      <c r="AH426" s="131">
        <f>'[6]Monthly Palm Oil'!$X53</f>
        <v>22.521669793269432</v>
      </c>
      <c r="AI426" s="131">
        <f t="shared" si="59"/>
        <v>1.5083302067305695</v>
      </c>
    </row>
    <row r="427" spans="1:35">
      <c r="A427" s="99">
        <v>38473</v>
      </c>
      <c r="B427" s="119" t="e">
        <f>'[4]Monthly Prices'!$CF67</f>
        <v>#DIV/0!</v>
      </c>
      <c r="C427" s="119">
        <v>197.1</v>
      </c>
      <c r="D427" s="119">
        <v>22.79</v>
      </c>
      <c r="E427" s="122" t="e">
        <f t="shared" si="65"/>
        <v>#DIV/0!</v>
      </c>
      <c r="F427" s="128" t="e">
        <f t="shared" si="60"/>
        <v>#DIV/0!</v>
      </c>
      <c r="G427" s="127" t="e">
        <f t="shared" si="62"/>
        <v>#DIV/0!</v>
      </c>
      <c r="J427" s="119">
        <v>6.44</v>
      </c>
      <c r="K427" s="119">
        <v>198.68</v>
      </c>
      <c r="L427" s="119">
        <v>23.38</v>
      </c>
      <c r="M427" s="119">
        <f t="shared" si="57"/>
        <v>0.50275999999999943</v>
      </c>
      <c r="N427" s="128">
        <f t="shared" si="58"/>
        <v>0.37042905127067616</v>
      </c>
      <c r="O427" s="124" t="e">
        <f t="shared" si="61"/>
        <v>#DIV/0!</v>
      </c>
      <c r="P427" s="124">
        <f t="shared" si="61"/>
        <v>1.5800000000000125</v>
      </c>
      <c r="Q427" s="124">
        <f t="shared" si="61"/>
        <v>0.58999999999999986</v>
      </c>
      <c r="U427" s="119">
        <v>6.21</v>
      </c>
      <c r="V427" s="129" t="e">
        <f t="shared" si="67"/>
        <v>#DIV/0!</v>
      </c>
      <c r="W427" s="134" t="e">
        <f t="shared" si="64"/>
        <v>#DIV/0!</v>
      </c>
      <c r="X427" s="135" t="e">
        <f t="shared" si="63"/>
        <v>#DIV/0!</v>
      </c>
      <c r="Y427" s="134"/>
      <c r="Z427" s="135">
        <v>33.456099999999999</v>
      </c>
      <c r="AA427" s="136">
        <f t="shared" si="68"/>
        <v>4.166599999999999</v>
      </c>
      <c r="AB427" s="131">
        <v>29.2895</v>
      </c>
      <c r="AC427" s="131">
        <f t="shared" si="69"/>
        <v>5.9095000000000013</v>
      </c>
      <c r="AD427" s="131">
        <v>21.792300000000001</v>
      </c>
      <c r="AE427" s="131">
        <f t="shared" si="66"/>
        <v>5.9971999999999994</v>
      </c>
      <c r="AF427" s="131">
        <v>27.7895</v>
      </c>
      <c r="AG427" s="130">
        <f>'[6]Monthly Palm Oil'!$D54</f>
        <v>1729.5555555555557</v>
      </c>
      <c r="AH427" s="131">
        <f>'[6]Monthly Palm Oil'!$X54</f>
        <v>20.647719129037313</v>
      </c>
      <c r="AI427" s="131">
        <f t="shared" si="59"/>
        <v>4.1822808709626855</v>
      </c>
    </row>
    <row r="428" spans="1:35">
      <c r="A428" s="99">
        <v>38504</v>
      </c>
      <c r="B428" s="119" t="e">
        <f>'[4]Monthly Prices'!$CF68</f>
        <v>#DIV/0!</v>
      </c>
      <c r="C428" s="119">
        <v>218.83</v>
      </c>
      <c r="D428" s="119">
        <v>24.03</v>
      </c>
      <c r="E428" s="122" t="e">
        <f t="shared" si="65"/>
        <v>#DIV/0!</v>
      </c>
      <c r="F428" s="128" t="e">
        <f t="shared" si="60"/>
        <v>#DIV/0!</v>
      </c>
      <c r="G428" s="127" t="e">
        <f t="shared" si="62"/>
        <v>#DIV/0!</v>
      </c>
      <c r="J428" s="119">
        <v>7.01</v>
      </c>
      <c r="K428" s="119">
        <v>219.28</v>
      </c>
      <c r="L428" s="119">
        <v>24.71</v>
      </c>
      <c r="M428" s="119">
        <f t="shared" si="57"/>
        <v>0.53226000000000084</v>
      </c>
      <c r="N428" s="128">
        <f t="shared" si="58"/>
        <v>0.36038269696350961</v>
      </c>
      <c r="O428" s="124" t="e">
        <f t="shared" si="61"/>
        <v>#DIV/0!</v>
      </c>
      <c r="P428" s="124">
        <f t="shared" si="61"/>
        <v>0.44999999999998863</v>
      </c>
      <c r="Q428" s="124">
        <f t="shared" si="61"/>
        <v>0.67999999999999972</v>
      </c>
      <c r="R428" s="124">
        <f>AVERAGE(J426:J428)</f>
        <v>6.5566666666666675</v>
      </c>
      <c r="S428" s="124">
        <f>AVERAGE(K426:K428)</f>
        <v>203.73</v>
      </c>
      <c r="T428" s="124">
        <f>AVERAGE(L426:L428)</f>
        <v>23.72666666666667</v>
      </c>
      <c r="U428" s="119">
        <v>6.58</v>
      </c>
      <c r="V428" s="129" t="e">
        <f t="shared" si="67"/>
        <v>#DIV/0!</v>
      </c>
      <c r="W428" s="134" t="e">
        <f t="shared" si="64"/>
        <v>#DIV/0!</v>
      </c>
      <c r="X428" s="135" t="e">
        <f t="shared" si="63"/>
        <v>#DIV/0!</v>
      </c>
      <c r="Y428" s="134"/>
      <c r="Z428" s="135">
        <v>33.7104</v>
      </c>
      <c r="AA428" s="136">
        <f t="shared" si="68"/>
        <v>3.2840999999999987</v>
      </c>
      <c r="AB428" s="131">
        <v>30.426300000000001</v>
      </c>
      <c r="AC428" s="131">
        <f t="shared" si="69"/>
        <v>5.7163000000000004</v>
      </c>
      <c r="AD428" s="131">
        <v>21.680399999999999</v>
      </c>
      <c r="AE428" s="131">
        <f t="shared" si="66"/>
        <v>7.3482000000000021</v>
      </c>
      <c r="AF428" s="131">
        <v>29.028600000000001</v>
      </c>
      <c r="AG428" s="130">
        <f>'[6]Monthly Palm Oil'!$D55</f>
        <v>1532.9545454545455</v>
      </c>
      <c r="AH428" s="131">
        <f>'[6]Monthly Palm Oil'!$X55</f>
        <v>18.300549609315098</v>
      </c>
      <c r="AI428" s="131">
        <f t="shared" si="59"/>
        <v>4.6194503906849036</v>
      </c>
    </row>
    <row r="429" spans="1:35">
      <c r="A429" s="99">
        <v>38534</v>
      </c>
      <c r="B429" s="119" t="e">
        <f>'[4]Monthly Prices'!$CF69</f>
        <v>#DIV/0!</v>
      </c>
      <c r="C429" s="119">
        <v>216.33</v>
      </c>
      <c r="D429" s="119">
        <v>24.83</v>
      </c>
      <c r="E429" s="122" t="e">
        <f t="shared" si="65"/>
        <v>#DIV/0!</v>
      </c>
      <c r="F429" s="128" t="e">
        <f t="shared" si="60"/>
        <v>#DIV/0!</v>
      </c>
      <c r="G429" s="127" t="e">
        <f t="shared" si="62"/>
        <v>#DIV/0!</v>
      </c>
      <c r="J429" s="119">
        <v>7.03</v>
      </c>
      <c r="K429" s="119">
        <v>215.75</v>
      </c>
      <c r="L429" s="119">
        <v>25.46</v>
      </c>
      <c r="M429" s="119">
        <f t="shared" si="57"/>
        <v>0.51710000000000012</v>
      </c>
      <c r="N429" s="128">
        <f t="shared" si="58"/>
        <v>0.37108293251712571</v>
      </c>
      <c r="O429" s="124" t="e">
        <f t="shared" si="61"/>
        <v>#DIV/0!</v>
      </c>
      <c r="P429" s="124">
        <f t="shared" si="61"/>
        <v>-0.58000000000001251</v>
      </c>
      <c r="Q429" s="124">
        <f t="shared" si="61"/>
        <v>0.63000000000000256</v>
      </c>
      <c r="U429" s="119">
        <v>6.65</v>
      </c>
      <c r="V429" s="129" t="e">
        <f t="shared" si="67"/>
        <v>#DIV/0!</v>
      </c>
      <c r="W429" s="134" t="e">
        <f t="shared" si="64"/>
        <v>#DIV/0!</v>
      </c>
      <c r="X429" s="135" t="e">
        <f t="shared" si="63"/>
        <v>#DIV/0!</v>
      </c>
      <c r="Y429" s="134"/>
      <c r="Z429" s="135">
        <v>33.296500000000002</v>
      </c>
      <c r="AA429" s="136">
        <f t="shared" si="68"/>
        <v>2.1875</v>
      </c>
      <c r="AB429" s="131">
        <v>31.109000000000002</v>
      </c>
      <c r="AC429" s="131">
        <f t="shared" si="69"/>
        <v>5.6490000000000009</v>
      </c>
      <c r="AD429" s="131">
        <v>21.893999999999998</v>
      </c>
      <c r="AE429" s="131">
        <f t="shared" si="66"/>
        <v>8.0400000000000027</v>
      </c>
      <c r="AF429" s="131">
        <v>29.934000000000001</v>
      </c>
      <c r="AG429" s="130">
        <f>'[6]Monthly Palm Oil'!$D56</f>
        <v>1444.6190476190477</v>
      </c>
      <c r="AH429" s="131">
        <f>'[6]Monthly Palm Oil'!$X56</f>
        <v>17.245828984585415</v>
      </c>
      <c r="AI429" s="131">
        <f t="shared" si="59"/>
        <v>5.3341710154145829</v>
      </c>
    </row>
    <row r="430" spans="1:35">
      <c r="A430" s="99">
        <v>38565</v>
      </c>
      <c r="B430" s="119" t="e">
        <f>'[4]Monthly Prices'!$CF70</f>
        <v>#DIV/0!</v>
      </c>
      <c r="C430" s="119">
        <v>196.6</v>
      </c>
      <c r="D430" s="119">
        <v>22.92</v>
      </c>
      <c r="E430" s="122" t="e">
        <f t="shared" si="65"/>
        <v>#DIV/0!</v>
      </c>
      <c r="F430" s="128" t="e">
        <f t="shared" si="60"/>
        <v>#DIV/0!</v>
      </c>
      <c r="G430" s="127" t="e">
        <f t="shared" si="62"/>
        <v>#DIV/0!</v>
      </c>
      <c r="J430" s="119">
        <v>6.39</v>
      </c>
      <c r="K430" s="119">
        <v>198.43</v>
      </c>
      <c r="L430" s="119">
        <v>23.6</v>
      </c>
      <c r="M430" s="119">
        <f t="shared" si="57"/>
        <v>0.57146000000000008</v>
      </c>
      <c r="N430" s="128">
        <f t="shared" si="58"/>
        <v>0.37291028031476159</v>
      </c>
      <c r="O430" s="124" t="e">
        <f t="shared" si="61"/>
        <v>#DIV/0!</v>
      </c>
      <c r="P430" s="124">
        <f t="shared" si="61"/>
        <v>1.8300000000000125</v>
      </c>
      <c r="Q430" s="124">
        <f t="shared" si="61"/>
        <v>0.67999999999999972</v>
      </c>
      <c r="U430" s="119">
        <v>6.15</v>
      </c>
      <c r="V430" s="129" t="e">
        <f t="shared" si="67"/>
        <v>#DIV/0!</v>
      </c>
      <c r="W430" s="134" t="e">
        <f t="shared" si="64"/>
        <v>#DIV/0!</v>
      </c>
      <c r="X430" s="135" t="e">
        <f t="shared" si="63"/>
        <v>#DIV/0!</v>
      </c>
      <c r="Y430" s="134"/>
      <c r="Z430" s="135">
        <v>31.920400000000001</v>
      </c>
      <c r="AA430" s="136">
        <f t="shared" si="68"/>
        <v>2.6000000000000014</v>
      </c>
      <c r="AB430" s="131">
        <v>29.320399999999999</v>
      </c>
      <c r="AC430" s="131">
        <f t="shared" si="69"/>
        <v>5.7203999999999979</v>
      </c>
      <c r="AD430" s="131">
        <v>21.24</v>
      </c>
      <c r="AE430" s="131">
        <f t="shared" si="66"/>
        <v>7.1804000000000023</v>
      </c>
      <c r="AF430" s="131">
        <v>28.420400000000001</v>
      </c>
      <c r="AG430" s="130">
        <f>'[6]Monthly Palm Oil'!$D57</f>
        <v>1450.3333333333333</v>
      </c>
      <c r="AH430" s="131">
        <f>'[6]Monthly Palm Oil'!$X57</f>
        <v>17.313962273406144</v>
      </c>
      <c r="AI430" s="131">
        <f t="shared" si="59"/>
        <v>6.5260377265938558</v>
      </c>
    </row>
    <row r="431" spans="1:35">
      <c r="A431" s="99">
        <v>38596</v>
      </c>
      <c r="B431" s="119" t="e">
        <f>'[4]Monthly Prices'!$CF71</f>
        <v>#DIV/0!</v>
      </c>
      <c r="C431" s="119">
        <v>176</v>
      </c>
      <c r="D431" s="119">
        <v>22.58</v>
      </c>
      <c r="E431" s="122" t="e">
        <f t="shared" si="65"/>
        <v>#DIV/0!</v>
      </c>
      <c r="F431" s="128" t="e">
        <f t="shared" si="60"/>
        <v>#DIV/0!</v>
      </c>
      <c r="G431" s="127" t="e">
        <f t="shared" si="62"/>
        <v>#DIV/0!</v>
      </c>
      <c r="J431" s="119">
        <v>5.66</v>
      </c>
      <c r="K431" s="119">
        <v>175.16</v>
      </c>
      <c r="L431" s="119">
        <v>23.19</v>
      </c>
      <c r="M431" s="119">
        <f t="shared" si="57"/>
        <v>0.74441999999999986</v>
      </c>
      <c r="N431" s="128">
        <f t="shared" si="58"/>
        <v>0.39830304695819457</v>
      </c>
      <c r="O431" s="124" t="e">
        <f t="shared" si="61"/>
        <v>#DIV/0!</v>
      </c>
      <c r="P431" s="124">
        <f t="shared" si="61"/>
        <v>-0.84000000000000341</v>
      </c>
      <c r="Q431" s="124">
        <f t="shared" si="61"/>
        <v>0.61000000000000298</v>
      </c>
      <c r="R431" s="124">
        <f>AVERAGE(J429:J431)</f>
        <v>6.3599999999999994</v>
      </c>
      <c r="S431" s="124">
        <f>AVERAGE(K429:K431)</f>
        <v>196.44666666666669</v>
      </c>
      <c r="T431" s="124">
        <f>AVERAGE(L429:L431)</f>
        <v>24.083333333333332</v>
      </c>
      <c r="U431" s="119">
        <v>5.77</v>
      </c>
      <c r="V431" s="129" t="e">
        <f t="shared" si="67"/>
        <v>#DIV/0!</v>
      </c>
      <c r="W431" s="134" t="e">
        <f t="shared" si="64"/>
        <v>#DIV/0!</v>
      </c>
      <c r="X431" s="135" t="e">
        <f t="shared" si="63"/>
        <v>#DIV/0!</v>
      </c>
      <c r="Y431" s="134"/>
      <c r="Z431" s="135">
        <v>33.246600000000001</v>
      </c>
      <c r="AA431" s="136">
        <f t="shared" si="68"/>
        <v>4.2666000000000004</v>
      </c>
      <c r="AB431" s="131">
        <v>28.98</v>
      </c>
      <c r="AC431" s="131">
        <f t="shared" si="69"/>
        <v>5.7899999999999991</v>
      </c>
      <c r="AD431" s="131">
        <v>22.0642</v>
      </c>
      <c r="AE431" s="131">
        <f t="shared" si="66"/>
        <v>5.9967000000000006</v>
      </c>
      <c r="AF431" s="131">
        <v>28.0609</v>
      </c>
      <c r="AG431" s="130">
        <f>'[6]Monthly Palm Oil'!$D58</f>
        <v>1453.1428571428571</v>
      </c>
      <c r="AH431" s="131">
        <f>'[6]Monthly Palm Oil'!$X58</f>
        <v>17.346898746859523</v>
      </c>
      <c r="AI431" s="131">
        <f t="shared" si="59"/>
        <v>4.9131012531404785</v>
      </c>
    </row>
    <row r="432" spans="1:35">
      <c r="A432" s="99">
        <v>38626</v>
      </c>
      <c r="B432" s="119" t="e">
        <f>'[4]Monthly Prices'!$CF72</f>
        <v>#DIV/0!</v>
      </c>
      <c r="C432" s="119">
        <v>170.61</v>
      </c>
      <c r="D432" s="119">
        <v>23.84</v>
      </c>
      <c r="E432" s="122" t="e">
        <f t="shared" si="65"/>
        <v>#DIV/0!</v>
      </c>
      <c r="F432" s="128" t="e">
        <f t="shared" si="60"/>
        <v>#DIV/0!</v>
      </c>
      <c r="G432" s="127" t="e">
        <f t="shared" si="62"/>
        <v>#DIV/0!</v>
      </c>
      <c r="J432" s="119">
        <v>5.53</v>
      </c>
      <c r="K432" s="119">
        <v>166.07</v>
      </c>
      <c r="L432" s="119">
        <v>24.21</v>
      </c>
      <c r="M432" s="119">
        <f t="shared" si="57"/>
        <v>0.78663999999999934</v>
      </c>
      <c r="N432" s="128">
        <f t="shared" si="58"/>
        <v>0.42160072443577601</v>
      </c>
      <c r="O432" s="124" t="e">
        <f t="shared" si="61"/>
        <v>#DIV/0!</v>
      </c>
      <c r="P432" s="124">
        <f t="shared" si="61"/>
        <v>-4.5400000000000205</v>
      </c>
      <c r="Q432" s="124">
        <f t="shared" si="61"/>
        <v>0.37000000000000099</v>
      </c>
      <c r="U432" s="119">
        <v>5.67</v>
      </c>
      <c r="V432" s="129" t="e">
        <f t="shared" si="67"/>
        <v>#DIV/0!</v>
      </c>
      <c r="W432" s="134" t="e">
        <f t="shared" si="64"/>
        <v>#DIV/0!</v>
      </c>
      <c r="X432" s="135" t="e">
        <f t="shared" si="63"/>
        <v>#DIV/0!</v>
      </c>
      <c r="Y432" s="134"/>
      <c r="Z432" s="135">
        <v>34.695700000000002</v>
      </c>
      <c r="AA432" s="136">
        <f t="shared" si="68"/>
        <v>4.6119000000000021</v>
      </c>
      <c r="AB432" s="131">
        <v>30.0838</v>
      </c>
      <c r="AC432" s="131">
        <f t="shared" si="69"/>
        <v>5.8737999999999992</v>
      </c>
      <c r="AD432" s="131">
        <v>22.540400000000002</v>
      </c>
      <c r="AE432" s="131">
        <f t="shared" si="66"/>
        <v>6.9123999999999981</v>
      </c>
      <c r="AF432" s="131">
        <v>29.4528</v>
      </c>
      <c r="AG432" s="130">
        <f>'[6]Monthly Palm Oil'!$D59</f>
        <v>1416.4761904761904</v>
      </c>
      <c r="AH432" s="131">
        <f>'[6]Monthly Palm Oil'!$X59</f>
        <v>16.909939853802751</v>
      </c>
      <c r="AI432" s="131">
        <f t="shared" si="59"/>
        <v>4.3400601461972492</v>
      </c>
    </row>
    <row r="433" spans="1:35">
      <c r="A433" s="99">
        <v>38657</v>
      </c>
      <c r="B433" s="119" t="e">
        <f>'[4]Monthly Prices'!$CF73</f>
        <v>#DIV/0!</v>
      </c>
      <c r="C433" s="119">
        <v>174.49</v>
      </c>
      <c r="D433" s="119">
        <v>22.26</v>
      </c>
      <c r="E433" s="122" t="e">
        <f t="shared" si="65"/>
        <v>#DIV/0!</v>
      </c>
      <c r="F433" s="128" t="e">
        <f t="shared" si="60"/>
        <v>#DIV/0!</v>
      </c>
      <c r="G433" s="127" t="e">
        <f t="shared" si="62"/>
        <v>#DIV/0!</v>
      </c>
      <c r="J433" s="119">
        <v>5.75</v>
      </c>
      <c r="K433" s="119">
        <v>170.2</v>
      </c>
      <c r="L433" s="119">
        <v>22.52</v>
      </c>
      <c r="M433" s="119">
        <f t="shared" si="57"/>
        <v>0.47159999999999958</v>
      </c>
      <c r="N433" s="128">
        <f t="shared" si="58"/>
        <v>0.39816124469589814</v>
      </c>
      <c r="O433" s="124" t="e">
        <f t="shared" si="61"/>
        <v>#DIV/0!</v>
      </c>
      <c r="P433" s="124">
        <f t="shared" si="61"/>
        <v>-4.2900000000000205</v>
      </c>
      <c r="Q433" s="124">
        <f t="shared" si="61"/>
        <v>0.25999999999999801</v>
      </c>
      <c r="U433" s="119">
        <v>5.62</v>
      </c>
      <c r="V433" s="129" t="e">
        <f t="shared" si="67"/>
        <v>#DIV/0!</v>
      </c>
      <c r="W433" s="134" t="e">
        <f t="shared" si="64"/>
        <v>#DIV/0!</v>
      </c>
      <c r="X433" s="135" t="e">
        <f t="shared" si="63"/>
        <v>#DIV/0!</v>
      </c>
      <c r="Y433" s="134"/>
      <c r="Z433" s="135">
        <v>32.631999999999998</v>
      </c>
      <c r="AA433" s="136">
        <f t="shared" si="68"/>
        <v>4.2924999999999969</v>
      </c>
      <c r="AB433" s="131">
        <v>28.339500000000001</v>
      </c>
      <c r="AC433" s="131">
        <f t="shared" si="69"/>
        <v>5.8195000000000014</v>
      </c>
      <c r="AD433" s="131">
        <v>22.146999999999998</v>
      </c>
      <c r="AE433" s="131">
        <f t="shared" si="66"/>
        <v>5.7200000000000024</v>
      </c>
      <c r="AF433" s="131">
        <v>27.867000000000001</v>
      </c>
      <c r="AG433" s="130">
        <f>'[6]Monthly Palm Oil'!$D60</f>
        <v>1438.2941176470588</v>
      </c>
      <c r="AH433" s="131">
        <f>'[6]Monthly Palm Oil'!$X60</f>
        <v>17.170665129627377</v>
      </c>
      <c r="AI433" s="131">
        <f t="shared" si="59"/>
        <v>4.8793348703726238</v>
      </c>
    </row>
    <row r="434" spans="1:35">
      <c r="A434" s="99">
        <v>38687</v>
      </c>
      <c r="B434" s="119" t="e">
        <f>'[4]Monthly Prices'!$CF74</f>
        <v>#DIV/0!</v>
      </c>
      <c r="C434" s="119">
        <v>189.89</v>
      </c>
      <c r="D434" s="119">
        <v>21.25</v>
      </c>
      <c r="E434" s="122" t="e">
        <f t="shared" si="65"/>
        <v>#DIV/0!</v>
      </c>
      <c r="F434" s="128" t="e">
        <f t="shared" si="60"/>
        <v>#DIV/0!</v>
      </c>
      <c r="G434" s="127" t="e">
        <f t="shared" si="62"/>
        <v>#DIV/0!</v>
      </c>
      <c r="J434" s="119">
        <v>5.92</v>
      </c>
      <c r="K434" s="119">
        <v>193.17</v>
      </c>
      <c r="L434" s="119">
        <v>21</v>
      </c>
      <c r="M434" s="119">
        <f t="shared" si="57"/>
        <v>0.63973999999999975</v>
      </c>
      <c r="N434" s="128">
        <f t="shared" si="58"/>
        <v>0.35214810343092867</v>
      </c>
      <c r="O434" s="124" t="e">
        <f t="shared" si="61"/>
        <v>#DIV/0!</v>
      </c>
      <c r="P434" s="124">
        <f t="shared" si="61"/>
        <v>3.2800000000000011</v>
      </c>
      <c r="Q434" s="124">
        <f t="shared" si="61"/>
        <v>-0.25</v>
      </c>
      <c r="R434" s="124">
        <f>AVERAGE(J432:J434)</f>
        <v>5.7333333333333343</v>
      </c>
      <c r="S434" s="124">
        <f>AVERAGE(K432:K434)</f>
        <v>176.48</v>
      </c>
      <c r="T434" s="124">
        <f>AVERAGE(L432:L434)</f>
        <v>22.576666666666668</v>
      </c>
      <c r="U434" s="119">
        <v>5.78</v>
      </c>
      <c r="V434" s="129" t="e">
        <f t="shared" si="67"/>
        <v>#DIV/0!</v>
      </c>
      <c r="W434" s="134" t="e">
        <f t="shared" si="64"/>
        <v>#DIV/0!</v>
      </c>
      <c r="X434" s="135" t="e">
        <f t="shared" si="63"/>
        <v>#DIV/0!</v>
      </c>
      <c r="Y434" s="134"/>
      <c r="Z434" s="135">
        <v>29.997</v>
      </c>
      <c r="AA434" s="136">
        <f t="shared" si="68"/>
        <v>3.3724999999999987</v>
      </c>
      <c r="AB434" s="131">
        <v>26.624500000000001</v>
      </c>
      <c r="AC434" s="131">
        <f t="shared" si="69"/>
        <v>5.6245000000000012</v>
      </c>
      <c r="AD434" s="131">
        <v>21.491</v>
      </c>
      <c r="AE434" s="131">
        <f t="shared" si="66"/>
        <v>4.7310000000000016</v>
      </c>
      <c r="AF434" s="131">
        <v>26.222000000000001</v>
      </c>
      <c r="AG434" s="130">
        <f>'[6]Monthly Palm Oil'!$D61</f>
        <v>1400.5714285714287</v>
      </c>
      <c r="AH434" s="131">
        <f>'[6]Monthly Palm Oil'!$X61</f>
        <v>16.720323538182694</v>
      </c>
      <c r="AI434" s="131">
        <f t="shared" si="59"/>
        <v>5.8496764618173067</v>
      </c>
    </row>
    <row r="435" spans="1:35">
      <c r="A435" s="99">
        <v>38718</v>
      </c>
      <c r="B435" s="119" t="e">
        <f>'[4]Monthly Prices'!$CF75</f>
        <v>#DIV/0!</v>
      </c>
      <c r="C435" s="119">
        <v>183.92</v>
      </c>
      <c r="D435" s="119">
        <v>22.05</v>
      </c>
      <c r="E435" s="122" t="e">
        <f t="shared" si="65"/>
        <v>#DIV/0!</v>
      </c>
      <c r="F435" s="128" t="e">
        <f t="shared" si="60"/>
        <v>#DIV/0!</v>
      </c>
      <c r="G435" s="127" t="e">
        <f t="shared" si="62"/>
        <v>#DIV/0!</v>
      </c>
      <c r="J435" s="119">
        <v>5.79</v>
      </c>
      <c r="K435" s="119">
        <v>183.64</v>
      </c>
      <c r="L435" s="119">
        <v>21.63</v>
      </c>
      <c r="M435" s="119">
        <f t="shared" si="57"/>
        <v>0.62937999999999938</v>
      </c>
      <c r="N435" s="128">
        <f t="shared" si="58"/>
        <v>0.37064327084547105</v>
      </c>
      <c r="O435" s="124" t="e">
        <f t="shared" si="61"/>
        <v>#DIV/0!</v>
      </c>
      <c r="P435" s="124">
        <f t="shared" si="61"/>
        <v>-0.28000000000000114</v>
      </c>
      <c r="Q435" s="124">
        <f t="shared" si="61"/>
        <v>-0.42000000000000171</v>
      </c>
      <c r="U435" s="119">
        <v>5.87</v>
      </c>
      <c r="V435" s="129" t="e">
        <f t="shared" si="67"/>
        <v>#DIV/0!</v>
      </c>
      <c r="W435" s="134" t="e">
        <f t="shared" si="64"/>
        <v>#DIV/0!</v>
      </c>
      <c r="X435" s="135" t="e">
        <f t="shared" si="63"/>
        <v>#DIV/0!</v>
      </c>
      <c r="Y435" s="134"/>
      <c r="Z435" s="135">
        <v>29.032</v>
      </c>
      <c r="AA435" s="136">
        <f t="shared" si="68"/>
        <v>2.0874999999999986</v>
      </c>
      <c r="AB435" s="131">
        <v>26.944500000000001</v>
      </c>
      <c r="AC435" s="131">
        <f t="shared" si="69"/>
        <v>5.3145000000000024</v>
      </c>
      <c r="AD435" s="131">
        <v>21.795000000000002</v>
      </c>
      <c r="AE435" s="131">
        <f t="shared" si="66"/>
        <v>4.7594999999999992</v>
      </c>
      <c r="AF435" s="131">
        <v>26.554500000000001</v>
      </c>
      <c r="AG435" s="130">
        <f>'[6]Monthly Palm Oil'!$D62</f>
        <v>1316.9473684210527</v>
      </c>
      <c r="AH435" s="131">
        <f>'[6]Monthly Palm Oil'!$X62</f>
        <v>15.722001487077522</v>
      </c>
      <c r="AI435" s="131">
        <f t="shared" si="59"/>
        <v>7.8279985129224787</v>
      </c>
    </row>
    <row r="436" spans="1:35">
      <c r="A436" s="99">
        <v>38749</v>
      </c>
      <c r="B436" s="119" t="e">
        <f>'[4]Monthly Prices'!$CF76</f>
        <v>#DIV/0!</v>
      </c>
      <c r="C436" s="119">
        <v>180.02</v>
      </c>
      <c r="D436" s="119">
        <v>22.57</v>
      </c>
      <c r="E436" s="122" t="e">
        <f t="shared" si="65"/>
        <v>#DIV/0!</v>
      </c>
      <c r="F436" s="128" t="e">
        <f t="shared" si="60"/>
        <v>#DIV/0!</v>
      </c>
      <c r="G436" s="127" t="e">
        <f t="shared" si="62"/>
        <v>#DIV/0!</v>
      </c>
      <c r="J436" s="119">
        <v>5.75</v>
      </c>
      <c r="K436" s="119">
        <v>176.73</v>
      </c>
      <c r="L436" s="119">
        <v>22.21</v>
      </c>
      <c r="M436" s="119">
        <f t="shared" si="57"/>
        <v>0.58116000000000057</v>
      </c>
      <c r="N436" s="128">
        <f t="shared" si="58"/>
        <v>0.38588505108068666</v>
      </c>
      <c r="O436" s="124" t="e">
        <f t="shared" si="61"/>
        <v>#DIV/0!</v>
      </c>
      <c r="P436" s="124">
        <f t="shared" si="61"/>
        <v>-3.2900000000000205</v>
      </c>
      <c r="Q436" s="124">
        <f t="shared" si="61"/>
        <v>-0.35999999999999943</v>
      </c>
      <c r="U436" s="119">
        <v>5.67</v>
      </c>
      <c r="V436" s="129" t="e">
        <f t="shared" si="67"/>
        <v>#DIV/0!</v>
      </c>
      <c r="W436" s="134" t="e">
        <f t="shared" si="64"/>
        <v>#DIV/0!</v>
      </c>
      <c r="X436" s="135" t="e">
        <f t="shared" si="63"/>
        <v>#DIV/0!</v>
      </c>
      <c r="Y436" s="134"/>
      <c r="Z436" s="135">
        <v>28.940999999999999</v>
      </c>
      <c r="AA436" s="136">
        <f t="shared" si="68"/>
        <v>2.3578999999999972</v>
      </c>
      <c r="AB436" s="131">
        <v>26.583100000000002</v>
      </c>
      <c r="AC436" s="131">
        <f t="shared" si="69"/>
        <v>4.3731000000000009</v>
      </c>
      <c r="AD436" s="131">
        <v>22.6873</v>
      </c>
      <c r="AE436" s="131">
        <f t="shared" si="66"/>
        <v>3.7536999999999985</v>
      </c>
      <c r="AF436" s="131">
        <v>26.440999999999999</v>
      </c>
      <c r="AG436" s="130">
        <f>'[6]Monthly Palm Oil'!$D63</f>
        <v>1321.6</v>
      </c>
      <c r="AH436" s="131">
        <f>'[6]Monthly Palm Oil'!$X63</f>
        <v>15.777545605511598</v>
      </c>
      <c r="AI436" s="131">
        <f t="shared" si="59"/>
        <v>7.7424543944884014</v>
      </c>
    </row>
    <row r="437" spans="1:35">
      <c r="A437" s="99">
        <v>38777</v>
      </c>
      <c r="B437" s="119" t="e">
        <f>'[4]Monthly Prices'!$CF77</f>
        <v>#DIV/0!</v>
      </c>
      <c r="C437" s="119">
        <v>175.48</v>
      </c>
      <c r="D437" s="119">
        <v>23.55</v>
      </c>
      <c r="E437" s="122" t="e">
        <f t="shared" si="65"/>
        <v>#DIV/0!</v>
      </c>
      <c r="F437" s="128" t="e">
        <f t="shared" si="60"/>
        <v>#DIV/0!</v>
      </c>
      <c r="G437" s="127" t="e">
        <f t="shared" si="62"/>
        <v>#DIV/0!</v>
      </c>
      <c r="J437" s="119">
        <v>5.68</v>
      </c>
      <c r="K437" s="119">
        <v>175.04</v>
      </c>
      <c r="L437" s="119">
        <v>23.21</v>
      </c>
      <c r="M437" s="119">
        <f t="shared" ref="M437:M500" si="70">(K437/2000*44)+(L437/100*11)-J437</f>
        <v>0.72398000000000096</v>
      </c>
      <c r="N437" s="128">
        <f t="shared" ref="N437:N500" si="71">L437/100*11/(J437+M437)</f>
        <v>0.39867394963756914</v>
      </c>
      <c r="O437" s="124" t="e">
        <f t="shared" si="61"/>
        <v>#DIV/0!</v>
      </c>
      <c r="P437" s="124">
        <f t="shared" si="61"/>
        <v>-0.43999999999999773</v>
      </c>
      <c r="Q437" s="124">
        <f t="shared" si="61"/>
        <v>-0.33999999999999986</v>
      </c>
      <c r="R437" s="124">
        <f>AVERAGE(J435:J437)</f>
        <v>5.7399999999999993</v>
      </c>
      <c r="S437" s="124">
        <f>AVERAGE(K435:K437)</f>
        <v>178.47</v>
      </c>
      <c r="T437" s="124">
        <f>AVERAGE(L435:L437)</f>
        <v>22.350000000000005</v>
      </c>
      <c r="U437" s="119">
        <v>5.57</v>
      </c>
      <c r="V437" s="129" t="e">
        <f t="shared" si="67"/>
        <v>#DIV/0!</v>
      </c>
      <c r="W437" s="134" t="e">
        <f t="shared" si="64"/>
        <v>#DIV/0!</v>
      </c>
      <c r="X437" s="135" t="e">
        <f t="shared" si="63"/>
        <v>#DIV/0!</v>
      </c>
      <c r="Y437" s="134"/>
      <c r="Z437" s="135">
        <v>31.6769</v>
      </c>
      <c r="AA437" s="136">
        <f t="shared" si="68"/>
        <v>5.8873999999999995</v>
      </c>
      <c r="AB437" s="131">
        <v>25.7895</v>
      </c>
      <c r="AC437" s="131">
        <f t="shared" si="69"/>
        <v>2.5794999999999995</v>
      </c>
      <c r="AD437" s="131">
        <v>22.778600000000001</v>
      </c>
      <c r="AE437" s="131">
        <f t="shared" si="66"/>
        <v>3.8695999999999984</v>
      </c>
      <c r="AF437" s="131">
        <v>26.648199999999999</v>
      </c>
      <c r="AG437" s="130">
        <f>'[6]Monthly Palm Oil'!$D64</f>
        <v>1429.7272727272727</v>
      </c>
      <c r="AH437" s="131">
        <f>'[6]Monthly Palm Oil'!$X64</f>
        <v>17.068392288815275</v>
      </c>
      <c r="AI437" s="131">
        <f t="shared" si="59"/>
        <v>8.3716077111847262</v>
      </c>
    </row>
    <row r="438" spans="1:35">
      <c r="A438" s="99">
        <v>38808</v>
      </c>
      <c r="B438" s="119" t="e">
        <f>'[4]Monthly Prices'!$CF78</f>
        <v>#DIV/0!</v>
      </c>
      <c r="C438" s="119">
        <v>172.87</v>
      </c>
      <c r="D438" s="119">
        <v>23.52</v>
      </c>
      <c r="E438" s="122" t="e">
        <f t="shared" si="65"/>
        <v>#DIV/0!</v>
      </c>
      <c r="F438" s="128" t="e">
        <f t="shared" si="60"/>
        <v>#DIV/0!</v>
      </c>
      <c r="G438" s="127" t="e">
        <f t="shared" si="62"/>
        <v>#DIV/0!</v>
      </c>
      <c r="J438" s="119">
        <v>5.62</v>
      </c>
      <c r="K438" s="119">
        <v>174.64</v>
      </c>
      <c r="L438" s="119">
        <v>22.98</v>
      </c>
      <c r="M438" s="119">
        <f t="shared" si="70"/>
        <v>0.7498800000000001</v>
      </c>
      <c r="N438" s="128">
        <f t="shared" si="71"/>
        <v>0.39683636112454235</v>
      </c>
      <c r="O438" s="124" t="e">
        <f t="shared" si="61"/>
        <v>#DIV/0!</v>
      </c>
      <c r="P438" s="124">
        <f t="shared" si="61"/>
        <v>1.7699999999999818</v>
      </c>
      <c r="Q438" s="124">
        <f t="shared" si="61"/>
        <v>-0.53999999999999915</v>
      </c>
      <c r="U438" s="119">
        <v>5.52</v>
      </c>
      <c r="V438" s="129" t="e">
        <f t="shared" si="67"/>
        <v>#DIV/0!</v>
      </c>
      <c r="W438" s="134" t="e">
        <f t="shared" si="64"/>
        <v>#DIV/0!</v>
      </c>
      <c r="X438" s="135" t="e">
        <f t="shared" si="63"/>
        <v>#DIV/0!</v>
      </c>
      <c r="Y438" s="134"/>
      <c r="Z438" s="135">
        <v>32.1736</v>
      </c>
      <c r="AA438" s="136">
        <f t="shared" si="68"/>
        <v>6.5921000000000021</v>
      </c>
      <c r="AB438" s="131">
        <v>25.581499999999998</v>
      </c>
      <c r="AC438" s="131">
        <f t="shared" si="69"/>
        <v>2.6014999999999979</v>
      </c>
      <c r="AD438" s="131">
        <v>23.181000000000001</v>
      </c>
      <c r="AE438" s="131">
        <f t="shared" si="66"/>
        <v>3.2689999999999984</v>
      </c>
      <c r="AF438" s="131">
        <v>26.45</v>
      </c>
      <c r="AG438" s="130">
        <f>'[6]Monthly Palm Oil'!$D65</f>
        <v>1431.85</v>
      </c>
      <c r="AH438" s="131">
        <f>'[6]Monthly Palm Oil'!$X65</f>
        <v>17.093733864445969</v>
      </c>
      <c r="AI438" s="131">
        <f t="shared" si="59"/>
        <v>7.85626613555403</v>
      </c>
    </row>
    <row r="439" spans="1:35">
      <c r="A439" s="99">
        <v>38838</v>
      </c>
      <c r="B439" s="119" t="e">
        <f>'[4]Monthly Prices'!$CF79</f>
        <v>#DIV/0!</v>
      </c>
      <c r="C439" s="119">
        <v>175.79</v>
      </c>
      <c r="D439" s="119">
        <v>25.44</v>
      </c>
      <c r="E439" s="122" t="e">
        <f t="shared" si="65"/>
        <v>#DIV/0!</v>
      </c>
      <c r="F439" s="128" t="e">
        <f t="shared" si="60"/>
        <v>#DIV/0!</v>
      </c>
      <c r="G439" s="127" t="e">
        <f t="shared" si="62"/>
        <v>#DIV/0!</v>
      </c>
      <c r="J439" s="119">
        <v>5.81</v>
      </c>
      <c r="K439" s="119">
        <v>175.77</v>
      </c>
      <c r="L439" s="119">
        <v>24.76</v>
      </c>
      <c r="M439" s="119">
        <f t="shared" si="70"/>
        <v>0.78054000000000112</v>
      </c>
      <c r="N439" s="128">
        <f t="shared" si="71"/>
        <v>0.41325900457322162</v>
      </c>
      <c r="O439" s="124" t="e">
        <f t="shared" si="61"/>
        <v>#DIV/0!</v>
      </c>
      <c r="P439" s="124">
        <f t="shared" si="61"/>
        <v>-1.999999999998181E-2</v>
      </c>
      <c r="Q439" s="124">
        <f t="shared" si="61"/>
        <v>-0.67999999999999972</v>
      </c>
      <c r="U439" s="119">
        <v>5.68</v>
      </c>
      <c r="V439" s="129" t="e">
        <f t="shared" si="67"/>
        <v>#DIV/0!</v>
      </c>
      <c r="W439" s="134" t="e">
        <f t="shared" si="64"/>
        <v>#DIV/0!</v>
      </c>
      <c r="X439" s="135" t="e">
        <f t="shared" si="63"/>
        <v>#DIV/0!</v>
      </c>
      <c r="Y439" s="134"/>
      <c r="Z439" s="135">
        <v>34.944000000000003</v>
      </c>
      <c r="AA439" s="136">
        <f t="shared" si="68"/>
        <v>7.6000000000000014</v>
      </c>
      <c r="AB439" s="131">
        <v>27.344000000000001</v>
      </c>
      <c r="AC439" s="131">
        <f t="shared" si="69"/>
        <v>2.5839999999999996</v>
      </c>
      <c r="AD439" s="131">
        <v>23.474</v>
      </c>
      <c r="AE439" s="131">
        <f t="shared" si="66"/>
        <v>4.0609999999999999</v>
      </c>
      <c r="AF439" s="131">
        <v>27.535</v>
      </c>
      <c r="AG439" s="130">
        <f>'[6]Monthly Palm Oil'!$D66</f>
        <v>1405.9473684210527</v>
      </c>
      <c r="AH439" s="131">
        <f>'[6]Monthly Palm Oil'!$X66</f>
        <v>16.784362823408639</v>
      </c>
      <c r="AI439" s="131">
        <f t="shared" si="59"/>
        <v>9.8756371765913613</v>
      </c>
    </row>
    <row r="440" spans="1:35">
      <c r="A440" s="99">
        <v>38869</v>
      </c>
      <c r="B440" s="119" t="e">
        <f>'[4]Monthly Prices'!$CF80</f>
        <v>#DIV/0!</v>
      </c>
      <c r="C440" s="119">
        <v>178.05</v>
      </c>
      <c r="D440" s="119">
        <v>24.95</v>
      </c>
      <c r="E440" s="122" t="e">
        <f t="shared" si="65"/>
        <v>#DIV/0!</v>
      </c>
      <c r="F440" s="128" t="e">
        <f t="shared" si="60"/>
        <v>#DIV/0!</v>
      </c>
      <c r="G440" s="127" t="e">
        <f t="shared" si="62"/>
        <v>#DIV/0!</v>
      </c>
      <c r="J440" s="119">
        <v>5.77</v>
      </c>
      <c r="K440" s="119">
        <v>176.71</v>
      </c>
      <c r="L440" s="119">
        <v>24.2</v>
      </c>
      <c r="M440" s="119">
        <f t="shared" si="70"/>
        <v>0.77962000000000042</v>
      </c>
      <c r="N440" s="128">
        <f t="shared" si="71"/>
        <v>0.40643579322159146</v>
      </c>
      <c r="O440" s="124" t="e">
        <f t="shared" si="61"/>
        <v>#DIV/0!</v>
      </c>
      <c r="P440" s="124">
        <f t="shared" si="61"/>
        <v>-1.3400000000000034</v>
      </c>
      <c r="Q440" s="124">
        <f t="shared" si="61"/>
        <v>-0.75</v>
      </c>
      <c r="R440" s="124">
        <f>AVERAGE(J438:J440)</f>
        <v>5.7333333333333334</v>
      </c>
      <c r="S440" s="124">
        <f>AVERAGE(K438:K440)</f>
        <v>175.70666666666668</v>
      </c>
      <c r="T440" s="124">
        <f>AVERAGE(L438:L440)</f>
        <v>23.98</v>
      </c>
      <c r="U440" s="119">
        <v>5.62</v>
      </c>
      <c r="V440" s="129" t="e">
        <f t="shared" si="67"/>
        <v>#DIV/0!</v>
      </c>
      <c r="W440" s="134" t="e">
        <f t="shared" si="64"/>
        <v>#DIV/0!</v>
      </c>
      <c r="X440" s="135" t="e">
        <f t="shared" si="63"/>
        <v>#DIV/0!</v>
      </c>
      <c r="Y440" s="134"/>
      <c r="Z440" s="135">
        <v>34.862200000000001</v>
      </c>
      <c r="AA440" s="136">
        <f t="shared" si="68"/>
        <v>7.6591000000000022</v>
      </c>
      <c r="AB440" s="131">
        <v>27.203099999999999</v>
      </c>
      <c r="AC440" s="131">
        <f t="shared" si="69"/>
        <v>3.0030999999999999</v>
      </c>
      <c r="AD440" s="131">
        <v>23.090900000000001</v>
      </c>
      <c r="AE440" s="131">
        <f t="shared" si="66"/>
        <v>3.8508999999999993</v>
      </c>
      <c r="AF440" s="131">
        <v>26.941800000000001</v>
      </c>
      <c r="AG440" s="130">
        <f>'[6]Monthly Palm Oil'!$D67</f>
        <v>1403.409090909091</v>
      </c>
      <c r="AH440" s="131">
        <f>'[6]Monthly Palm Oil'!$X67</f>
        <v>16.754200162687471</v>
      </c>
      <c r="AI440" s="131">
        <f t="shared" ref="AI440:AI503" si="72">D442-AH440</f>
        <v>8.8257998373125268</v>
      </c>
    </row>
    <row r="441" spans="1:35">
      <c r="A441" s="99">
        <v>38899</v>
      </c>
      <c r="B441" s="119" t="e">
        <f>'[4]Monthly Prices'!$CF81</f>
        <v>#DIV/0!</v>
      </c>
      <c r="C441" s="119">
        <v>170.42</v>
      </c>
      <c r="D441" s="119">
        <v>26.66</v>
      </c>
      <c r="E441" s="122" t="e">
        <f t="shared" si="65"/>
        <v>#DIV/0!</v>
      </c>
      <c r="F441" s="128" t="e">
        <f t="shared" si="60"/>
        <v>#DIV/0!</v>
      </c>
      <c r="G441" s="127" t="e">
        <f t="shared" si="62"/>
        <v>#DIV/0!</v>
      </c>
      <c r="J441" s="119">
        <v>5.77</v>
      </c>
      <c r="K441" s="119">
        <v>168.97</v>
      </c>
      <c r="L441" s="119">
        <v>25.86</v>
      </c>
      <c r="M441" s="119">
        <f t="shared" si="70"/>
        <v>0.79194000000000031</v>
      </c>
      <c r="N441" s="128">
        <f t="shared" si="71"/>
        <v>0.43349984912998285</v>
      </c>
      <c r="O441" s="124" t="e">
        <f t="shared" si="61"/>
        <v>#DIV/0!</v>
      </c>
      <c r="P441" s="124">
        <f t="shared" si="61"/>
        <v>-1.4499999999999886</v>
      </c>
      <c r="Q441" s="124">
        <f t="shared" si="61"/>
        <v>-0.80000000000000071</v>
      </c>
      <c r="U441" s="119">
        <v>5.61</v>
      </c>
      <c r="V441" s="129" t="e">
        <f t="shared" si="67"/>
        <v>#DIV/0!</v>
      </c>
      <c r="W441" s="134" t="e">
        <f t="shared" si="64"/>
        <v>#DIV/0!</v>
      </c>
      <c r="X441" s="135" t="e">
        <f t="shared" si="63"/>
        <v>#DIV/0!</v>
      </c>
      <c r="Y441" s="134"/>
      <c r="Z441" s="135">
        <v>36.606999999999999</v>
      </c>
      <c r="AA441" s="136">
        <f t="shared" si="68"/>
        <v>7.7249999999999979</v>
      </c>
      <c r="AB441" s="131">
        <v>28.882000000000001</v>
      </c>
      <c r="AC441" s="131">
        <f t="shared" si="69"/>
        <v>3.022000000000002</v>
      </c>
      <c r="AD441" s="131">
        <v>24.0825</v>
      </c>
      <c r="AE441" s="131">
        <f t="shared" si="66"/>
        <v>5.0495000000000019</v>
      </c>
      <c r="AF441" s="131">
        <v>29.132000000000001</v>
      </c>
      <c r="AG441" s="130">
        <f>'[6]Monthly Palm Oil'!$D68</f>
        <v>1403.65</v>
      </c>
      <c r="AH441" s="131">
        <f>'[6]Monthly Palm Oil'!$X68</f>
        <v>16.815427361070299</v>
      </c>
      <c r="AI441" s="131">
        <f t="shared" si="72"/>
        <v>7.4945726389297</v>
      </c>
    </row>
    <row r="442" spans="1:35">
      <c r="A442" s="99">
        <v>38930</v>
      </c>
      <c r="B442" s="119" t="e">
        <f>'[4]Monthly Prices'!$CF82</f>
        <v>#DIV/0!</v>
      </c>
      <c r="C442" s="119">
        <v>160.16</v>
      </c>
      <c r="D442" s="119">
        <v>25.58</v>
      </c>
      <c r="E442" s="122" t="e">
        <f t="shared" si="65"/>
        <v>#DIV/0!</v>
      </c>
      <c r="F442" s="128" t="e">
        <f t="shared" si="60"/>
        <v>#DIV/0!</v>
      </c>
      <c r="G442" s="127" t="e">
        <f t="shared" si="62"/>
        <v>#DIV/0!</v>
      </c>
      <c r="J442" s="119">
        <v>5.42</v>
      </c>
      <c r="K442" s="119">
        <v>159.77000000000001</v>
      </c>
      <c r="L442" s="119">
        <v>24.8</v>
      </c>
      <c r="M442" s="119">
        <f t="shared" si="70"/>
        <v>0.82294000000000089</v>
      </c>
      <c r="N442" s="128">
        <f t="shared" si="71"/>
        <v>0.43697360538464242</v>
      </c>
      <c r="O442" s="124" t="e">
        <f t="shared" si="61"/>
        <v>#DIV/0!</v>
      </c>
      <c r="P442" s="124">
        <f t="shared" si="61"/>
        <v>-0.38999999999998636</v>
      </c>
      <c r="Q442" s="124">
        <f t="shared" si="61"/>
        <v>-0.77999999999999758</v>
      </c>
      <c r="U442" s="119">
        <v>5.23</v>
      </c>
      <c r="V442" s="129" t="e">
        <f t="shared" si="67"/>
        <v>#DIV/0!</v>
      </c>
      <c r="W442" s="134" t="e">
        <f t="shared" si="64"/>
        <v>#DIV/0!</v>
      </c>
      <c r="X442" s="135" t="e">
        <f t="shared" si="63"/>
        <v>#DIV/0!</v>
      </c>
      <c r="Y442" s="134"/>
      <c r="Z442" s="135">
        <v>35.304699999999997</v>
      </c>
      <c r="AA442" s="136">
        <f t="shared" si="68"/>
        <v>7.9990999999999985</v>
      </c>
      <c r="AB442" s="131">
        <v>27.305599999999998</v>
      </c>
      <c r="AC442" s="131">
        <f t="shared" si="69"/>
        <v>2.5055999999999976</v>
      </c>
      <c r="AD442" s="131">
        <v>25.581700000000001</v>
      </c>
      <c r="AE442" s="131">
        <f t="shared" si="66"/>
        <v>2.5274000000000001</v>
      </c>
      <c r="AF442" s="131">
        <v>28.109100000000002</v>
      </c>
      <c r="AG442" s="130">
        <f>'[6]Monthly Palm Oil'!$D69</f>
        <v>1369.090909090909</v>
      </c>
      <c r="AH442" s="131">
        <f>'[6]Monthly Palm Oil'!$X69</f>
        <v>16.523172762226356</v>
      </c>
      <c r="AI442" s="131">
        <f t="shared" si="72"/>
        <v>8.986827237773646</v>
      </c>
    </row>
    <row r="443" spans="1:35">
      <c r="A443" s="99">
        <v>38961</v>
      </c>
      <c r="B443" s="119" t="e">
        <f>'[4]Monthly Prices'!$CF83</f>
        <v>#DIV/0!</v>
      </c>
      <c r="C443" s="119">
        <v>161.32</v>
      </c>
      <c r="D443" s="119">
        <v>24.31</v>
      </c>
      <c r="E443" s="122" t="e">
        <f t="shared" si="65"/>
        <v>#DIV/0!</v>
      </c>
      <c r="F443" s="128" t="e">
        <f t="shared" si="60"/>
        <v>#DIV/0!</v>
      </c>
      <c r="G443" s="127" t="e">
        <f t="shared" si="62"/>
        <v>#DIV/0!</v>
      </c>
      <c r="J443" s="119">
        <v>5.35</v>
      </c>
      <c r="K443" s="119">
        <v>168.92</v>
      </c>
      <c r="L443" s="119">
        <v>23.54</v>
      </c>
      <c r="M443" s="119">
        <f t="shared" si="70"/>
        <v>0.95563999999999982</v>
      </c>
      <c r="N443" s="128">
        <f t="shared" si="71"/>
        <v>0.41064824506314984</v>
      </c>
      <c r="O443" s="124" t="e">
        <f t="shared" si="61"/>
        <v>#DIV/0!</v>
      </c>
      <c r="P443" s="124">
        <f t="shared" si="61"/>
        <v>7.5999999999999943</v>
      </c>
      <c r="Q443" s="124">
        <f t="shared" si="61"/>
        <v>-0.76999999999999957</v>
      </c>
      <c r="R443" s="124">
        <f>AVERAGE(J441:J443)</f>
        <v>5.5133333333333328</v>
      </c>
      <c r="S443" s="124">
        <f>AVERAGE(K441:K443)</f>
        <v>165.88666666666666</v>
      </c>
      <c r="T443" s="124">
        <f>AVERAGE(L441:L443)</f>
        <v>24.733333333333331</v>
      </c>
      <c r="U443" s="119">
        <v>5.23</v>
      </c>
      <c r="V443" s="129" t="e">
        <f t="shared" si="67"/>
        <v>#DIV/0!</v>
      </c>
      <c r="W443" s="134" t="e">
        <f t="shared" si="64"/>
        <v>#DIV/0!</v>
      </c>
      <c r="X443" s="135" t="e">
        <f t="shared" si="63"/>
        <v>#DIV/0!</v>
      </c>
      <c r="Y443" s="134"/>
      <c r="Z443" s="135">
        <v>35.330500000000001</v>
      </c>
      <c r="AA443" s="136">
        <f t="shared" si="68"/>
        <v>7.32</v>
      </c>
      <c r="AB443" s="131">
        <v>28.0105</v>
      </c>
      <c r="AC443" s="131">
        <f t="shared" si="69"/>
        <v>4.4705000000000013</v>
      </c>
      <c r="AD443" s="131">
        <v>24.832000000000001</v>
      </c>
      <c r="AE443" s="131">
        <f t="shared" si="66"/>
        <v>3.0734999999999992</v>
      </c>
      <c r="AF443" s="131">
        <v>27.9055</v>
      </c>
      <c r="AG443" s="130">
        <f>'[6]Monthly Palm Oil'!$D70</f>
        <v>1410.6190476190477</v>
      </c>
      <c r="AH443" s="131">
        <f>'[6]Monthly Palm Oil'!$X70</f>
        <v>16.978130151747603</v>
      </c>
      <c r="AI443" s="131">
        <f t="shared" si="72"/>
        <v>11.311869848252396</v>
      </c>
    </row>
    <row r="444" spans="1:35">
      <c r="A444" s="99">
        <v>38991</v>
      </c>
      <c r="B444" s="119" t="e">
        <f>'[4]Monthly Prices'!$CF84</f>
        <v>#DIV/0!</v>
      </c>
      <c r="C444" s="119">
        <v>177.01</v>
      </c>
      <c r="D444" s="119">
        <v>25.51</v>
      </c>
      <c r="E444" s="122" t="e">
        <f t="shared" si="65"/>
        <v>#DIV/0!</v>
      </c>
      <c r="F444" s="128" t="e">
        <f t="shared" si="60"/>
        <v>#DIV/0!</v>
      </c>
      <c r="G444" s="127" t="e">
        <f t="shared" si="62"/>
        <v>#DIV/0!</v>
      </c>
      <c r="J444" s="119">
        <v>5.83</v>
      </c>
      <c r="K444" s="119">
        <v>177.62</v>
      </c>
      <c r="L444" s="119">
        <v>24.79</v>
      </c>
      <c r="M444" s="119">
        <f t="shared" si="70"/>
        <v>0.80453999999999937</v>
      </c>
      <c r="N444" s="128">
        <f t="shared" si="71"/>
        <v>0.41101568458401033</v>
      </c>
      <c r="O444" s="124" t="e">
        <f t="shared" si="61"/>
        <v>#DIV/0!</v>
      </c>
      <c r="P444" s="124">
        <f t="shared" si="61"/>
        <v>0.61000000000001364</v>
      </c>
      <c r="Q444" s="124">
        <f t="shared" si="61"/>
        <v>-0.72000000000000242</v>
      </c>
      <c r="U444" s="119">
        <v>5.52</v>
      </c>
      <c r="V444" s="129" t="e">
        <f t="shared" si="67"/>
        <v>#DIV/0!</v>
      </c>
      <c r="W444" s="134" t="e">
        <f t="shared" si="64"/>
        <v>#DIV/0!</v>
      </c>
      <c r="X444" s="135" t="e">
        <f t="shared" si="63"/>
        <v>#DIV/0!</v>
      </c>
      <c r="Y444" s="134"/>
      <c r="Z444" s="135">
        <v>37.463099999999997</v>
      </c>
      <c r="AA444" s="136">
        <f t="shared" si="68"/>
        <v>6.3692999999999955</v>
      </c>
      <c r="AB444" s="131">
        <v>31.093800000000002</v>
      </c>
      <c r="AC444" s="131">
        <f t="shared" si="69"/>
        <v>6.3038000000000025</v>
      </c>
      <c r="AD444" s="131">
        <v>25.110900000000001</v>
      </c>
      <c r="AE444" s="131">
        <f t="shared" si="66"/>
        <v>4.3521999999999998</v>
      </c>
      <c r="AF444" s="131">
        <v>29.463100000000001</v>
      </c>
      <c r="AG444" s="130">
        <f>'[6]Monthly Palm Oil'!$D71</f>
        <v>1447.1428571428571</v>
      </c>
      <c r="AH444" s="131">
        <f>'[6]Monthly Palm Oil'!$X71</f>
        <v>17.400379805505793</v>
      </c>
      <c r="AI444" s="131">
        <f t="shared" si="72"/>
        <v>11.289620194494209</v>
      </c>
    </row>
    <row r="445" spans="1:35">
      <c r="A445" s="99">
        <v>39022</v>
      </c>
      <c r="B445" s="119" t="e">
        <f>'[4]Monthly Prices'!$CF85</f>
        <v>#DIV/0!</v>
      </c>
      <c r="C445" s="119">
        <v>194.34</v>
      </c>
      <c r="D445" s="119">
        <v>28.29</v>
      </c>
      <c r="E445" s="122" t="e">
        <f t="shared" si="65"/>
        <v>#DIV/0!</v>
      </c>
      <c r="F445" s="128" t="e">
        <f t="shared" si="60"/>
        <v>#DIV/0!</v>
      </c>
      <c r="G445" s="127" t="e">
        <f t="shared" si="62"/>
        <v>#DIV/0!</v>
      </c>
      <c r="J445" s="119">
        <v>6.61</v>
      </c>
      <c r="K445" s="119">
        <v>190.62</v>
      </c>
      <c r="L445" s="119">
        <v>27.64</v>
      </c>
      <c r="M445" s="119">
        <f t="shared" si="70"/>
        <v>0.62403999999999993</v>
      </c>
      <c r="N445" s="128">
        <f t="shared" si="71"/>
        <v>0.42029073657320115</v>
      </c>
      <c r="O445" s="124" t="e">
        <f t="shared" si="61"/>
        <v>#DIV/0!</v>
      </c>
      <c r="P445" s="124">
        <f t="shared" si="61"/>
        <v>-3.7199999999999989</v>
      </c>
      <c r="Q445" s="124">
        <f t="shared" si="61"/>
        <v>-0.64999999999999858</v>
      </c>
      <c r="U445" s="119">
        <v>6.08</v>
      </c>
      <c r="V445" s="129" t="e">
        <f t="shared" si="67"/>
        <v>#DIV/0!</v>
      </c>
      <c r="W445" s="134" t="e">
        <f t="shared" si="64"/>
        <v>#DIV/0!</v>
      </c>
      <c r="X445" s="135" t="e">
        <f t="shared" si="63"/>
        <v>#DIV/0!</v>
      </c>
      <c r="Y445" s="134"/>
      <c r="Z445" s="135">
        <v>40.256</v>
      </c>
      <c r="AA445" s="136">
        <f t="shared" si="68"/>
        <v>7.0424999999999969</v>
      </c>
      <c r="AB445" s="131">
        <v>33.213500000000003</v>
      </c>
      <c r="AC445" s="131">
        <f t="shared" si="69"/>
        <v>5.5735000000000028</v>
      </c>
      <c r="AD445" s="131">
        <v>27.5915</v>
      </c>
      <c r="AE445" s="131">
        <f t="shared" si="66"/>
        <v>5.1519999999999975</v>
      </c>
      <c r="AF445" s="131">
        <v>32.743499999999997</v>
      </c>
      <c r="AG445" s="130">
        <f>'[6]Monthly Palm Oil'!$D72</f>
        <v>1418.6666666666667</v>
      </c>
      <c r="AH445" s="131">
        <f>'[6]Monthly Palm Oil'!$X72</f>
        <v>17.032912296767716</v>
      </c>
      <c r="AI445" s="131">
        <f t="shared" si="72"/>
        <v>11.897087703232284</v>
      </c>
    </row>
    <row r="446" spans="1:35">
      <c r="A446" s="99">
        <v>39052</v>
      </c>
      <c r="B446" s="119" t="e">
        <f>'[4]Monthly Prices'!$CF86</f>
        <v>#DIV/0!</v>
      </c>
      <c r="C446" s="119">
        <v>187.94</v>
      </c>
      <c r="D446" s="119">
        <v>28.69</v>
      </c>
      <c r="E446" s="122" t="e">
        <f t="shared" si="65"/>
        <v>#DIV/0!</v>
      </c>
      <c r="F446" s="128" t="e">
        <f t="shared" si="60"/>
        <v>#DIV/0!</v>
      </c>
      <c r="G446" s="127" t="e">
        <f t="shared" si="62"/>
        <v>#DIV/0!</v>
      </c>
      <c r="J446" s="119">
        <v>6.58</v>
      </c>
      <c r="K446" s="119">
        <v>180.84</v>
      </c>
      <c r="L446" s="119">
        <v>27.66</v>
      </c>
      <c r="M446" s="119">
        <f t="shared" si="70"/>
        <v>0.44108000000000036</v>
      </c>
      <c r="N446" s="128">
        <f t="shared" si="71"/>
        <v>0.43335213385974808</v>
      </c>
      <c r="O446" s="124" t="e">
        <f t="shared" si="61"/>
        <v>#DIV/0!</v>
      </c>
      <c r="P446" s="124">
        <f t="shared" si="61"/>
        <v>-7.0999999999999943</v>
      </c>
      <c r="Q446" s="124">
        <f t="shared" si="61"/>
        <v>-1.0300000000000011</v>
      </c>
      <c r="R446" s="124">
        <f>AVERAGE(J444:J446)</f>
        <v>6.3400000000000007</v>
      </c>
      <c r="S446" s="124">
        <f>AVERAGE(K444:K446)</f>
        <v>183.02666666666667</v>
      </c>
      <c r="T446" s="124">
        <f>AVERAGE(L444:L446)</f>
        <v>26.696666666666669</v>
      </c>
      <c r="U446" s="119">
        <v>6.18</v>
      </c>
      <c r="V446" s="129" t="e">
        <f t="shared" si="67"/>
        <v>#DIV/0!</v>
      </c>
      <c r="W446" s="134" t="e">
        <f t="shared" si="64"/>
        <v>#DIV/0!</v>
      </c>
      <c r="X446" s="135" t="e">
        <f t="shared" si="63"/>
        <v>#DIV/0!</v>
      </c>
      <c r="Y446" s="134"/>
      <c r="Z446" s="135">
        <v>39.664000000000001</v>
      </c>
      <c r="AA446" s="136">
        <f t="shared" si="68"/>
        <v>6.9320000000000022</v>
      </c>
      <c r="AB446" s="131">
        <v>32.731999999999999</v>
      </c>
      <c r="AC446" s="131">
        <f t="shared" si="69"/>
        <v>5.0719999999999992</v>
      </c>
      <c r="AD446" s="131">
        <v>29.982500000000002</v>
      </c>
      <c r="AE446" s="131">
        <f t="shared" si="66"/>
        <v>3.4319999999999951</v>
      </c>
      <c r="AF446" s="131">
        <v>33.414499999999997</v>
      </c>
      <c r="AG446" s="130">
        <f>'[6]Monthly Palm Oil'!$D73</f>
        <v>1407.1428571428571</v>
      </c>
      <c r="AH446" s="131">
        <f>'[6]Monthly Palm Oil'!$X73</f>
        <v>16.89579341662516</v>
      </c>
      <c r="AI446" s="131">
        <f t="shared" si="72"/>
        <v>13.26420658337484</v>
      </c>
    </row>
    <row r="447" spans="1:35">
      <c r="A447" s="99">
        <v>39083</v>
      </c>
      <c r="B447" s="119" t="e">
        <f>'[4]Monthly Prices'!$CF87</f>
        <v>#DIV/0!</v>
      </c>
      <c r="C447" s="119">
        <v>203.49</v>
      </c>
      <c r="D447" s="119">
        <v>28.93</v>
      </c>
      <c r="E447" s="122" t="e">
        <f t="shared" si="65"/>
        <v>#DIV/0!</v>
      </c>
      <c r="F447" s="128" t="e">
        <f t="shared" si="60"/>
        <v>#DIV/0!</v>
      </c>
      <c r="G447" s="127" t="e">
        <f t="shared" si="62"/>
        <v>#DIV/0!</v>
      </c>
      <c r="J447" s="119">
        <v>6.83</v>
      </c>
      <c r="K447" s="119">
        <v>190.56</v>
      </c>
      <c r="L447" s="119">
        <v>28.02</v>
      </c>
      <c r="M447" s="119">
        <f t="shared" si="70"/>
        <v>0.44452000000000069</v>
      </c>
      <c r="N447" s="128">
        <f t="shared" si="71"/>
        <v>0.42369805842859737</v>
      </c>
      <c r="O447" s="124" t="e">
        <f t="shared" si="61"/>
        <v>#DIV/0!</v>
      </c>
      <c r="P447" s="124">
        <f t="shared" si="61"/>
        <v>-12.930000000000007</v>
      </c>
      <c r="Q447" s="124">
        <f t="shared" si="61"/>
        <v>-0.91000000000000014</v>
      </c>
      <c r="U447" s="119">
        <v>6.37</v>
      </c>
      <c r="V447" s="129" t="e">
        <f t="shared" si="67"/>
        <v>#DIV/0!</v>
      </c>
      <c r="W447" s="134" t="e">
        <f t="shared" si="64"/>
        <v>#DIV/0!</v>
      </c>
      <c r="X447" s="135" t="e">
        <f t="shared" si="63"/>
        <v>#DIV/0!</v>
      </c>
      <c r="Y447" s="134"/>
      <c r="Z447" s="135">
        <v>38.338999999999999</v>
      </c>
      <c r="AA447" s="136">
        <f t="shared" si="68"/>
        <v>7.4375</v>
      </c>
      <c r="AB447" s="131">
        <v>30.901499999999999</v>
      </c>
      <c r="AC447" s="131">
        <f t="shared" si="69"/>
        <v>2.8814999999999991</v>
      </c>
      <c r="AD447" s="131">
        <v>30.411999999999999</v>
      </c>
      <c r="AE447" s="131">
        <f t="shared" si="66"/>
        <v>2.5769999999999982</v>
      </c>
      <c r="AF447" s="131">
        <v>32.988999999999997</v>
      </c>
      <c r="AG447" s="130">
        <f>'[6]Monthly Palm Oil'!$D74</f>
        <v>1431.3529411764705</v>
      </c>
      <c r="AH447" s="131">
        <f>'[6]Monthly Palm Oil'!$X74</f>
        <v>17.308629658435411</v>
      </c>
      <c r="AI447" s="131">
        <f t="shared" si="72"/>
        <v>13.701370341564591</v>
      </c>
    </row>
    <row r="448" spans="1:35">
      <c r="A448" s="99">
        <v>39114</v>
      </c>
      <c r="B448" s="119" t="e">
        <f>'[4]Monthly Prices'!$CF88</f>
        <v>#DIV/0!</v>
      </c>
      <c r="C448" s="119">
        <v>221.45</v>
      </c>
      <c r="D448" s="119">
        <v>30.16</v>
      </c>
      <c r="E448" s="122" t="e">
        <f t="shared" si="65"/>
        <v>#DIV/0!</v>
      </c>
      <c r="F448" s="128" t="e">
        <f t="shared" si="60"/>
        <v>#DIV/0!</v>
      </c>
      <c r="G448" s="127" t="e">
        <f t="shared" si="62"/>
        <v>#DIV/0!</v>
      </c>
      <c r="J448" s="119">
        <v>7.35</v>
      </c>
      <c r="K448" s="119">
        <v>208.81</v>
      </c>
      <c r="L448" s="119">
        <v>28.94</v>
      </c>
      <c r="M448" s="119">
        <f t="shared" si="70"/>
        <v>0.42722000000000016</v>
      </c>
      <c r="N448" s="128">
        <f t="shared" si="71"/>
        <v>0.40932364006675903</v>
      </c>
      <c r="O448" s="124" t="e">
        <f t="shared" si="61"/>
        <v>#DIV/0!</v>
      </c>
      <c r="P448" s="124">
        <f t="shared" si="61"/>
        <v>-12.639999999999986</v>
      </c>
      <c r="Q448" s="124">
        <f t="shared" si="61"/>
        <v>-1.2199999999999989</v>
      </c>
      <c r="U448" s="119">
        <v>6.87</v>
      </c>
      <c r="V448" s="129" t="e">
        <f t="shared" si="67"/>
        <v>#DIV/0!</v>
      </c>
      <c r="W448" s="134" t="e">
        <f t="shared" si="64"/>
        <v>#DIV/0!</v>
      </c>
      <c r="X448" s="135" t="e">
        <f t="shared" si="63"/>
        <v>#DIV/0!</v>
      </c>
      <c r="Y448" s="134"/>
      <c r="Z448" s="135">
        <v>39.476300000000002</v>
      </c>
      <c r="AA448" s="136">
        <f t="shared" si="68"/>
        <v>8.2685000000000031</v>
      </c>
      <c r="AB448" s="131">
        <v>31.207799999999999</v>
      </c>
      <c r="AC448" s="131">
        <f t="shared" si="69"/>
        <v>2.2677999999999976</v>
      </c>
      <c r="AD448" s="131">
        <v>30.816800000000001</v>
      </c>
      <c r="AE448" s="131">
        <f t="shared" si="66"/>
        <v>2.3736999999999995</v>
      </c>
      <c r="AF448" s="131">
        <v>33.1905</v>
      </c>
      <c r="AG448" s="130">
        <f>'[6]Monthly Palm Oil'!$D75</f>
        <v>1472.8235294117646</v>
      </c>
      <c r="AH448" s="131">
        <f>'[6]Monthly Palm Oil'!$X75</f>
        <v>17.94391184816936</v>
      </c>
      <c r="AI448" s="131">
        <f t="shared" si="72"/>
        <v>14.44608815183064</v>
      </c>
    </row>
    <row r="449" spans="1:35">
      <c r="A449" s="99">
        <v>39142</v>
      </c>
      <c r="B449" s="119" t="e">
        <f>'[4]Monthly Prices'!$CF89</f>
        <v>#DIV/0!</v>
      </c>
      <c r="C449" s="119">
        <v>219.72</v>
      </c>
      <c r="D449" s="119">
        <v>31.01</v>
      </c>
      <c r="E449" s="122" t="e">
        <f t="shared" si="65"/>
        <v>#DIV/0!</v>
      </c>
      <c r="F449" s="128" t="e">
        <f t="shared" si="60"/>
        <v>#DIV/0!</v>
      </c>
      <c r="G449" s="127" t="e">
        <f t="shared" si="62"/>
        <v>#DIV/0!</v>
      </c>
      <c r="J449" s="119">
        <v>7.31</v>
      </c>
      <c r="K449" s="119">
        <v>205.26</v>
      </c>
      <c r="L449" s="119">
        <v>29.74</v>
      </c>
      <c r="M449" s="119">
        <f t="shared" si="70"/>
        <v>0.47712000000000021</v>
      </c>
      <c r="N449" s="128">
        <f t="shared" si="71"/>
        <v>0.42010396654989263</v>
      </c>
      <c r="O449" s="124" t="e">
        <f t="shared" si="61"/>
        <v>#DIV/0!</v>
      </c>
      <c r="P449" s="124">
        <f t="shared" si="61"/>
        <v>-14.460000000000008</v>
      </c>
      <c r="Q449" s="124">
        <f t="shared" si="61"/>
        <v>-1.2700000000000031</v>
      </c>
      <c r="R449" s="124">
        <f>AVERAGE(J447:J449)</f>
        <v>7.1633333333333331</v>
      </c>
      <c r="S449" s="124">
        <f>AVERAGE(K447:K449)</f>
        <v>201.54333333333332</v>
      </c>
      <c r="T449" s="124">
        <f>AVERAGE(L447:L449)</f>
        <v>28.900000000000002</v>
      </c>
      <c r="U449" s="119">
        <v>6.95</v>
      </c>
      <c r="V449" s="129" t="e">
        <f t="shared" si="67"/>
        <v>#DIV/0!</v>
      </c>
      <c r="W449" s="134" t="e">
        <f t="shared" si="64"/>
        <v>#DIV/0!</v>
      </c>
      <c r="X449" s="135" t="e">
        <f t="shared" si="63"/>
        <v>#DIV/0!</v>
      </c>
      <c r="Y449" s="134"/>
      <c r="Z449" s="135">
        <v>39.4163</v>
      </c>
      <c r="AA449" s="136">
        <f t="shared" si="68"/>
        <v>7.0227000000000004</v>
      </c>
      <c r="AB449" s="131">
        <v>32.393599999999999</v>
      </c>
      <c r="AC449" s="131">
        <f t="shared" si="69"/>
        <v>2.6536000000000008</v>
      </c>
      <c r="AD449" s="131">
        <v>30.911799999999999</v>
      </c>
      <c r="AE449" s="131">
        <f t="shared" si="66"/>
        <v>3.0386000000000024</v>
      </c>
      <c r="AF449" s="131">
        <v>33.950400000000002</v>
      </c>
      <c r="AG449" s="130">
        <f>'[6]Monthly Palm Oil'!$D76</f>
        <v>1456.6521739130435</v>
      </c>
      <c r="AH449" s="131">
        <f>'[6]Monthly Palm Oil'!$X76</f>
        <v>17.844944682129448</v>
      </c>
      <c r="AI449" s="131">
        <f t="shared" si="72"/>
        <v>16.635055317870549</v>
      </c>
    </row>
    <row r="450" spans="1:35">
      <c r="A450" s="99">
        <v>39173</v>
      </c>
      <c r="B450" s="119" t="e">
        <f>'[4]Monthly Prices'!$CF90</f>
        <v>#DIV/0!</v>
      </c>
      <c r="C450" s="119">
        <v>201.17</v>
      </c>
      <c r="D450" s="119">
        <v>32.39</v>
      </c>
      <c r="E450" s="122" t="e">
        <f t="shared" si="65"/>
        <v>#DIV/0!</v>
      </c>
      <c r="F450" s="128" t="e">
        <f t="shared" si="60"/>
        <v>#DIV/0!</v>
      </c>
      <c r="G450" s="127" t="e">
        <f t="shared" si="62"/>
        <v>#DIV/0!</v>
      </c>
      <c r="J450" s="119">
        <v>7.19</v>
      </c>
      <c r="K450" s="119">
        <v>189.37</v>
      </c>
      <c r="L450" s="119">
        <v>31.06</v>
      </c>
      <c r="M450" s="119">
        <f t="shared" si="70"/>
        <v>0.39273999999999987</v>
      </c>
      <c r="N450" s="128">
        <f t="shared" si="71"/>
        <v>0.45057591319232887</v>
      </c>
      <c r="O450" s="124" t="e">
        <f t="shared" si="61"/>
        <v>#DIV/0!</v>
      </c>
      <c r="P450" s="124">
        <f t="shared" si="61"/>
        <v>-11.799999999999983</v>
      </c>
      <c r="Q450" s="124">
        <f t="shared" si="61"/>
        <v>-1.3300000000000018</v>
      </c>
      <c r="U450" s="119">
        <v>6.88</v>
      </c>
      <c r="V450" s="129" t="e">
        <f t="shared" si="67"/>
        <v>#DIV/0!</v>
      </c>
      <c r="W450" s="134" t="e">
        <f t="shared" si="64"/>
        <v>#DIV/0!</v>
      </c>
      <c r="X450" s="135" t="e">
        <f t="shared" si="63"/>
        <v>#DIV/0!</v>
      </c>
      <c r="Y450" s="134"/>
      <c r="Z450" s="135">
        <v>39.965699999999998</v>
      </c>
      <c r="AA450" s="136">
        <f t="shared" si="68"/>
        <v>5.8449999999999989</v>
      </c>
      <c r="AB450" s="131">
        <v>34.120699999999999</v>
      </c>
      <c r="AC450" s="131">
        <f t="shared" si="69"/>
        <v>3.0607000000000006</v>
      </c>
      <c r="AD450" s="131">
        <v>35.295999999999999</v>
      </c>
      <c r="AE450" s="131">
        <f t="shared" si="66"/>
        <v>1.0450000000000017</v>
      </c>
      <c r="AF450" s="131">
        <v>36.341000000000001</v>
      </c>
      <c r="AG450" s="130">
        <f>'[6]Monthly Palm Oil'!$D77</f>
        <v>1456.3333333333333</v>
      </c>
      <c r="AH450" s="131">
        <f>'[6]Monthly Palm Oil'!$X77</f>
        <v>18.050055542417695</v>
      </c>
      <c r="AI450" s="131">
        <f t="shared" si="72"/>
        <v>17.459944457582303</v>
      </c>
    </row>
    <row r="451" spans="1:35">
      <c r="A451" s="99">
        <v>39203</v>
      </c>
      <c r="B451" s="119" t="e">
        <f>'[4]Monthly Prices'!$CF91</f>
        <v>#DIV/0!</v>
      </c>
      <c r="C451" s="119">
        <v>208.96</v>
      </c>
      <c r="D451" s="119">
        <v>34.479999999999997</v>
      </c>
      <c r="E451" s="122" t="e">
        <f t="shared" si="65"/>
        <v>#DIV/0!</v>
      </c>
      <c r="F451" s="128" t="e">
        <f t="shared" ref="F451:F514" si="73">D451/100*11/(B451+E451)</f>
        <v>#DIV/0!</v>
      </c>
      <c r="G451" s="127" t="e">
        <f t="shared" si="62"/>
        <v>#DIV/0!</v>
      </c>
      <c r="J451" s="119">
        <v>7.5</v>
      </c>
      <c r="K451" s="119">
        <v>198.66</v>
      </c>
      <c r="L451" s="119">
        <v>32.9</v>
      </c>
      <c r="M451" s="119">
        <f t="shared" si="70"/>
        <v>0.48951999999999973</v>
      </c>
      <c r="N451" s="128">
        <f t="shared" si="71"/>
        <v>0.45296838858905164</v>
      </c>
      <c r="O451" s="124" t="e">
        <f t="shared" ref="O451:Q514" si="74">J451-B451</f>
        <v>#DIV/0!</v>
      </c>
      <c r="P451" s="124">
        <f t="shared" si="74"/>
        <v>-10.300000000000011</v>
      </c>
      <c r="Q451" s="124">
        <f t="shared" si="74"/>
        <v>-1.5799999999999983</v>
      </c>
      <c r="U451" s="119">
        <v>7.12</v>
      </c>
      <c r="V451" s="129" t="e">
        <f t="shared" si="67"/>
        <v>#DIV/0!</v>
      </c>
      <c r="W451" s="134" t="e">
        <f t="shared" si="64"/>
        <v>#DIV/0!</v>
      </c>
      <c r="X451" s="135" t="e">
        <f t="shared" si="63"/>
        <v>#DIV/0!</v>
      </c>
      <c r="Y451" s="134"/>
      <c r="Z451" s="135">
        <v>42.359499999999997</v>
      </c>
      <c r="AA451" s="136">
        <f t="shared" si="68"/>
        <v>5.708599999999997</v>
      </c>
      <c r="AB451" s="131">
        <v>36.6509</v>
      </c>
      <c r="AC451" s="131">
        <f t="shared" si="69"/>
        <v>3.7509000000000015</v>
      </c>
      <c r="AD451" s="131">
        <v>38.363999999999997</v>
      </c>
      <c r="AE451" s="131">
        <f t="shared" si="66"/>
        <v>-0.26999999999999602</v>
      </c>
      <c r="AF451" s="131">
        <v>38.094000000000001</v>
      </c>
      <c r="AG451" s="130">
        <f>'[6]Monthly Palm Oil'!$D78</f>
        <v>1451.15</v>
      </c>
      <c r="AH451" s="131">
        <f>'[6]Monthly Palm Oil'!$X78</f>
        <v>18.236167492308592</v>
      </c>
      <c r="AI451" s="131">
        <f t="shared" si="72"/>
        <v>19.00383250769141</v>
      </c>
    </row>
    <row r="452" spans="1:35">
      <c r="A452" s="99">
        <v>39234</v>
      </c>
      <c r="B452" s="119" t="e">
        <f>'[4]Monthly Prices'!$CF92</f>
        <v>#DIV/0!</v>
      </c>
      <c r="C452" s="119">
        <v>226.03</v>
      </c>
      <c r="D452" s="119">
        <v>35.51</v>
      </c>
      <c r="E452" s="122" t="e">
        <f t="shared" si="65"/>
        <v>#DIV/0!</v>
      </c>
      <c r="F452" s="128" t="e">
        <f t="shared" si="73"/>
        <v>#DIV/0!</v>
      </c>
      <c r="G452" s="127" t="e">
        <f t="shared" ref="G452:G515" si="75">F452-F451</f>
        <v>#DIV/0!</v>
      </c>
      <c r="J452" s="119">
        <v>7.94</v>
      </c>
      <c r="K452" s="119">
        <v>229.7</v>
      </c>
      <c r="L452" s="119">
        <v>34.01</v>
      </c>
      <c r="M452" s="119">
        <f t="shared" si="70"/>
        <v>0.85449999999999893</v>
      </c>
      <c r="N452" s="128">
        <f t="shared" si="71"/>
        <v>0.42539086929330827</v>
      </c>
      <c r="O452" s="124" t="e">
        <f t="shared" si="74"/>
        <v>#DIV/0!</v>
      </c>
      <c r="P452" s="124">
        <f t="shared" si="74"/>
        <v>3.6699999999999875</v>
      </c>
      <c r="Q452" s="124">
        <f t="shared" si="74"/>
        <v>-1.5</v>
      </c>
      <c r="R452" s="124">
        <f>AVERAGE(J450:J452)</f>
        <v>7.5433333333333339</v>
      </c>
      <c r="S452" s="124">
        <f>AVERAGE(K450:K452)</f>
        <v>205.91</v>
      </c>
      <c r="T452" s="124">
        <f>AVERAGE(L450:L452)</f>
        <v>32.656666666666666</v>
      </c>
      <c r="U452" s="119">
        <v>7.51</v>
      </c>
      <c r="V452" s="129" t="e">
        <f t="shared" si="67"/>
        <v>#DIV/0!</v>
      </c>
      <c r="W452" s="134" t="e">
        <f t="shared" si="64"/>
        <v>#DIV/0!</v>
      </c>
      <c r="X452" s="135" t="e">
        <f t="shared" si="63"/>
        <v>#DIV/0!</v>
      </c>
      <c r="Y452" s="134"/>
      <c r="Z452" s="135">
        <v>44.024700000000003</v>
      </c>
      <c r="AA452" s="136">
        <f t="shared" si="68"/>
        <v>6.0714000000000041</v>
      </c>
      <c r="AB452" s="131">
        <v>37.953299999999999</v>
      </c>
      <c r="AC452" s="131">
        <f t="shared" si="69"/>
        <v>3.9433000000000007</v>
      </c>
      <c r="AD452" s="131">
        <v>40.167099999999998</v>
      </c>
      <c r="AE452" s="131">
        <f t="shared" si="66"/>
        <v>-1.5304999999999964</v>
      </c>
      <c r="AF452" s="131">
        <v>38.636600000000001</v>
      </c>
      <c r="AG452" s="130">
        <f>'[6]Monthly Palm Oil'!$D79</f>
        <v>1458.6818181818182</v>
      </c>
      <c r="AH452" s="131">
        <f>'[6]Monthly Palm Oil'!$X79</f>
        <v>18.06280709770186</v>
      </c>
      <c r="AI452" s="131">
        <f t="shared" si="72"/>
        <v>18.177192902298142</v>
      </c>
    </row>
    <row r="453" spans="1:35">
      <c r="A453" s="99">
        <v>39264</v>
      </c>
      <c r="B453" s="119" t="e">
        <f>'[4]Monthly Prices'!$CF93</f>
        <v>#DIV/0!</v>
      </c>
      <c r="C453" s="119">
        <v>229.6</v>
      </c>
      <c r="D453" s="119">
        <v>37.24</v>
      </c>
      <c r="E453" s="122" t="e">
        <f t="shared" si="65"/>
        <v>#DIV/0!</v>
      </c>
      <c r="F453" s="128" t="e">
        <f t="shared" si="73"/>
        <v>#DIV/0!</v>
      </c>
      <c r="G453" s="127" t="e">
        <f t="shared" si="75"/>
        <v>#DIV/0!</v>
      </c>
      <c r="J453" s="119">
        <v>8</v>
      </c>
      <c r="K453" s="119">
        <v>222.05</v>
      </c>
      <c r="L453" s="119">
        <v>35.74</v>
      </c>
      <c r="M453" s="119">
        <f t="shared" si="70"/>
        <v>0.81650000000000134</v>
      </c>
      <c r="N453" s="128">
        <f t="shared" si="71"/>
        <v>0.44591391141609477</v>
      </c>
      <c r="O453" s="124" t="e">
        <f t="shared" si="74"/>
        <v>#DIV/0!</v>
      </c>
      <c r="P453" s="124">
        <f t="shared" si="74"/>
        <v>-7.5499999999999829</v>
      </c>
      <c r="Q453" s="124">
        <f t="shared" si="74"/>
        <v>-1.5</v>
      </c>
      <c r="U453" s="119">
        <v>7.56</v>
      </c>
      <c r="V453" s="129" t="e">
        <f t="shared" si="67"/>
        <v>#DIV/0!</v>
      </c>
      <c r="W453" s="134" t="e">
        <f t="shared" si="64"/>
        <v>#DIV/0!</v>
      </c>
      <c r="X453" s="135" t="e">
        <f t="shared" si="63"/>
        <v>#DIV/0!</v>
      </c>
      <c r="Y453" s="134"/>
      <c r="Z453" s="135">
        <v>46.988999999999997</v>
      </c>
      <c r="AA453" s="136">
        <f t="shared" si="68"/>
        <v>7.9809999999999945</v>
      </c>
      <c r="AB453" s="131">
        <v>39.008000000000003</v>
      </c>
      <c r="AC453" s="131">
        <f t="shared" si="69"/>
        <v>3.2680000000000007</v>
      </c>
      <c r="AD453" s="131">
        <v>41.148499999999999</v>
      </c>
      <c r="AE453" s="131">
        <f t="shared" si="66"/>
        <v>-1.3618999999999986</v>
      </c>
      <c r="AF453" s="131">
        <v>39.7866</v>
      </c>
      <c r="AG453" s="130">
        <f>'[6]Monthly Palm Oil'!$D80</f>
        <v>1542.35</v>
      </c>
      <c r="AH453" s="131">
        <f>'[6]Monthly Palm Oil'!$X80</f>
        <v>19.074346701534711</v>
      </c>
      <c r="AI453" s="131">
        <f t="shared" si="72"/>
        <v>19.665653298465291</v>
      </c>
    </row>
    <row r="454" spans="1:35">
      <c r="A454" s="99">
        <v>39295</v>
      </c>
      <c r="B454" s="119" t="e">
        <f>'[4]Monthly Prices'!$CF94</f>
        <v>#DIV/0!</v>
      </c>
      <c r="C454" s="119">
        <v>229.22</v>
      </c>
      <c r="D454" s="119">
        <v>36.24</v>
      </c>
      <c r="E454" s="122" t="e">
        <f t="shared" si="65"/>
        <v>#DIV/0!</v>
      </c>
      <c r="F454" s="128" t="e">
        <f t="shared" si="73"/>
        <v>#DIV/0!</v>
      </c>
      <c r="G454" s="127" t="e">
        <f t="shared" si="75"/>
        <v>#DIV/0!</v>
      </c>
      <c r="J454" s="119">
        <v>8.06</v>
      </c>
      <c r="K454" s="119">
        <v>217.63</v>
      </c>
      <c r="L454" s="119">
        <v>34.869999999999997</v>
      </c>
      <c r="M454" s="119">
        <f t="shared" si="70"/>
        <v>0.56355999999999895</v>
      </c>
      <c r="N454" s="128">
        <f t="shared" si="71"/>
        <v>0.44479310168886166</v>
      </c>
      <c r="O454" s="124" t="e">
        <f t="shared" si="74"/>
        <v>#DIV/0!</v>
      </c>
      <c r="P454" s="124">
        <f t="shared" si="74"/>
        <v>-11.590000000000003</v>
      </c>
      <c r="Q454" s="124">
        <f t="shared" si="74"/>
        <v>-1.3700000000000045</v>
      </c>
      <c r="U454" s="119">
        <v>7.72</v>
      </c>
      <c r="V454" s="129" t="e">
        <f t="shared" si="67"/>
        <v>#DIV/0!</v>
      </c>
      <c r="W454" s="134" t="e">
        <f t="shared" si="64"/>
        <v>#DIV/0!</v>
      </c>
      <c r="X454" s="135" t="e">
        <f t="shared" si="63"/>
        <v>#DIV/0!</v>
      </c>
      <c r="Y454" s="134"/>
      <c r="Z454" s="135">
        <v>46.901299999999999</v>
      </c>
      <c r="AA454" s="136">
        <f t="shared" si="68"/>
        <v>8.2912999999999997</v>
      </c>
      <c r="AB454" s="131">
        <v>38.61</v>
      </c>
      <c r="AC454" s="131">
        <f t="shared" si="69"/>
        <v>3.740000000000002</v>
      </c>
      <c r="AD454" s="131">
        <v>40.813000000000002</v>
      </c>
      <c r="AE454" s="131">
        <f t="shared" si="66"/>
        <v>-1.1400000000000006</v>
      </c>
      <c r="AF454" s="131">
        <v>39.673000000000002</v>
      </c>
      <c r="AG454" s="130">
        <f>'[6]Monthly Palm Oil'!$D81</f>
        <v>1621.409090909091</v>
      </c>
      <c r="AH454" s="131">
        <f>'[6]Monthly Palm Oil'!$X81</f>
        <v>20.025711995280378</v>
      </c>
      <c r="AI454" s="131">
        <f t="shared" si="72"/>
        <v>20.114288004719622</v>
      </c>
    </row>
    <row r="455" spans="1:35">
      <c r="A455" s="99">
        <v>39326</v>
      </c>
      <c r="B455" s="119" t="e">
        <f>'[4]Monthly Prices'!$CF95</f>
        <v>#DIV/0!</v>
      </c>
      <c r="C455" s="119">
        <v>262.63</v>
      </c>
      <c r="D455" s="119">
        <v>38.74</v>
      </c>
      <c r="E455" s="122" t="e">
        <f t="shared" si="65"/>
        <v>#DIV/0!</v>
      </c>
      <c r="F455" s="128" t="e">
        <f t="shared" si="73"/>
        <v>#DIV/0!</v>
      </c>
      <c r="G455" s="127" t="e">
        <f t="shared" si="75"/>
        <v>#DIV/0!</v>
      </c>
      <c r="J455" s="119">
        <v>9.08</v>
      </c>
      <c r="K455" s="119">
        <v>254.41</v>
      </c>
      <c r="L455" s="119">
        <v>36.89</v>
      </c>
      <c r="M455" s="119">
        <f t="shared" si="70"/>
        <v>0.57492000000000054</v>
      </c>
      <c r="N455" s="128">
        <f t="shared" si="71"/>
        <v>0.42029348767260627</v>
      </c>
      <c r="O455" s="124" t="e">
        <f t="shared" si="74"/>
        <v>#DIV/0!</v>
      </c>
      <c r="P455" s="124">
        <f t="shared" si="74"/>
        <v>-8.2199999999999989</v>
      </c>
      <c r="Q455" s="124">
        <f t="shared" si="74"/>
        <v>-1.8500000000000014</v>
      </c>
      <c r="R455" s="124">
        <f>AVERAGE(J453:J455)</f>
        <v>8.3800000000000008</v>
      </c>
      <c r="S455" s="124">
        <f>AVERAGE(K453:K455)</f>
        <v>231.36333333333334</v>
      </c>
      <c r="T455" s="124">
        <f>AVERAGE(L453:L455)</f>
        <v>35.833333333333336</v>
      </c>
      <c r="U455" s="119">
        <v>8.15</v>
      </c>
      <c r="V455" s="129" t="e">
        <f t="shared" si="67"/>
        <v>#DIV/0!</v>
      </c>
      <c r="W455" s="134" t="e">
        <f t="shared" si="64"/>
        <v>#DIV/0!</v>
      </c>
      <c r="X455" s="135" t="e">
        <f t="shared" si="63"/>
        <v>#DIV/0!</v>
      </c>
      <c r="Y455" s="134"/>
      <c r="Z455" s="135">
        <v>51.52</v>
      </c>
      <c r="AA455" s="136">
        <f t="shared" si="68"/>
        <v>9.657900000000005</v>
      </c>
      <c r="AB455" s="131">
        <v>41.862099999999998</v>
      </c>
      <c r="AC455" s="131">
        <f t="shared" si="69"/>
        <v>4.9720999999999975</v>
      </c>
      <c r="AD455" s="131">
        <v>41.323099999999997</v>
      </c>
      <c r="AE455" s="131">
        <f t="shared" si="66"/>
        <v>1.6416000000000039</v>
      </c>
      <c r="AF455" s="131">
        <v>42.964700000000001</v>
      </c>
      <c r="AG455" s="130">
        <f>'[6]Monthly Palm Oil'!$D82</f>
        <v>1545.65</v>
      </c>
      <c r="AH455" s="131">
        <f>'[6]Monthly Palm Oil'!$X82</f>
        <v>19.104120927866795</v>
      </c>
      <c r="AI455" s="131">
        <f t="shared" si="72"/>
        <v>25.705879072133207</v>
      </c>
    </row>
    <row r="456" spans="1:35">
      <c r="A456" s="99">
        <v>39356</v>
      </c>
      <c r="B456" s="119" t="e">
        <f>'[4]Monthly Prices'!$CF96</f>
        <v>#DIV/0!</v>
      </c>
      <c r="C456" s="119">
        <v>275.10000000000002</v>
      </c>
      <c r="D456" s="119">
        <v>40.14</v>
      </c>
      <c r="E456" s="122" t="e">
        <f t="shared" si="65"/>
        <v>#DIV/0!</v>
      </c>
      <c r="F456" s="128" t="e">
        <f t="shared" si="73"/>
        <v>#DIV/0!</v>
      </c>
      <c r="G456" s="127" t="e">
        <f t="shared" si="75"/>
        <v>#DIV/0!</v>
      </c>
      <c r="J456" s="119">
        <v>9.4700000000000006</v>
      </c>
      <c r="K456" s="119">
        <v>260.56</v>
      </c>
      <c r="L456" s="119">
        <v>38.1</v>
      </c>
      <c r="M456" s="119">
        <f t="shared" si="70"/>
        <v>0.45331999999999972</v>
      </c>
      <c r="N456" s="128">
        <f t="shared" si="71"/>
        <v>0.42233849155323011</v>
      </c>
      <c r="O456" s="124" t="e">
        <f t="shared" si="74"/>
        <v>#DIV/0!</v>
      </c>
      <c r="P456" s="124">
        <f t="shared" si="74"/>
        <v>-14.54000000000002</v>
      </c>
      <c r="Q456" s="124">
        <f t="shared" si="74"/>
        <v>-2.0399999999999991</v>
      </c>
      <c r="U456" s="119">
        <v>8.36</v>
      </c>
      <c r="V456" s="129" t="e">
        <f t="shared" si="67"/>
        <v>#DIV/0!</v>
      </c>
      <c r="W456" s="134" t="e">
        <f t="shared" si="64"/>
        <v>#DIV/0!</v>
      </c>
      <c r="X456" s="135" t="e">
        <f t="shared" si="63"/>
        <v>#DIV/0!</v>
      </c>
      <c r="Y456" s="134"/>
      <c r="Z456" s="135">
        <v>55.290399999999998</v>
      </c>
      <c r="AA456" s="136">
        <f t="shared" si="68"/>
        <v>12.543500000000002</v>
      </c>
      <c r="AB456" s="131">
        <v>42.746899999999997</v>
      </c>
      <c r="AC456" s="131">
        <f t="shared" si="69"/>
        <v>4.6468999999999951</v>
      </c>
      <c r="AD456" s="131">
        <v>44.176499999999997</v>
      </c>
      <c r="AE456" s="131">
        <f t="shared" si="66"/>
        <v>0.24430000000000263</v>
      </c>
      <c r="AF456" s="131">
        <v>44.4208</v>
      </c>
      <c r="AG456" s="130">
        <f>'[6]Monthly Palm Oil'!$D83</f>
        <v>1590.3157894736842</v>
      </c>
      <c r="AH456" s="131">
        <f>'[6]Monthly Palm Oil'!$X83</f>
        <v>19.619721971788096</v>
      </c>
      <c r="AI456" s="131">
        <f t="shared" si="72"/>
        <v>27.160278028211906</v>
      </c>
    </row>
    <row r="457" spans="1:35">
      <c r="A457" s="99">
        <v>39387</v>
      </c>
      <c r="B457" s="119" t="e">
        <f>'[4]Monthly Prices'!$CF97</f>
        <v>#DIV/0!</v>
      </c>
      <c r="C457" s="119">
        <v>285.99</v>
      </c>
      <c r="D457" s="119">
        <v>44.81</v>
      </c>
      <c r="E457" s="122" t="e">
        <f t="shared" si="65"/>
        <v>#DIV/0!</v>
      </c>
      <c r="F457" s="128" t="e">
        <f t="shared" si="73"/>
        <v>#DIV/0!</v>
      </c>
      <c r="G457" s="127" t="e">
        <f t="shared" si="75"/>
        <v>#DIV/0!</v>
      </c>
      <c r="J457" s="119">
        <v>10.34</v>
      </c>
      <c r="K457" s="119">
        <v>280.76</v>
      </c>
      <c r="L457" s="119">
        <v>42.68</v>
      </c>
      <c r="M457" s="119">
        <f t="shared" si="70"/>
        <v>0.53152000000000044</v>
      </c>
      <c r="N457" s="128">
        <f t="shared" si="71"/>
        <v>0.4318439371863364</v>
      </c>
      <c r="O457" s="124" t="e">
        <f t="shared" si="74"/>
        <v>#DIV/0!</v>
      </c>
      <c r="P457" s="124">
        <f t="shared" si="74"/>
        <v>-5.2300000000000182</v>
      </c>
      <c r="Q457" s="124">
        <f t="shared" si="74"/>
        <v>-2.1300000000000026</v>
      </c>
      <c r="U457" s="119">
        <v>9.42</v>
      </c>
      <c r="V457" s="129" t="e">
        <f t="shared" si="67"/>
        <v>#DIV/0!</v>
      </c>
      <c r="W457" s="134" t="e">
        <f t="shared" si="64"/>
        <v>#DIV/0!</v>
      </c>
      <c r="X457" s="135" t="e">
        <f t="shared" si="63"/>
        <v>#DIV/0!</v>
      </c>
      <c r="Y457" s="134"/>
      <c r="Z457" s="135">
        <v>58.707999999999998</v>
      </c>
      <c r="AA457" s="136">
        <f t="shared" si="68"/>
        <v>11.412500000000001</v>
      </c>
      <c r="AB457" s="131">
        <v>47.295499999999997</v>
      </c>
      <c r="AC457" s="131">
        <f t="shared" si="69"/>
        <v>4.6154999999999973</v>
      </c>
      <c r="AD457" s="131">
        <v>47.344999999999999</v>
      </c>
      <c r="AE457" s="131">
        <f t="shared" si="66"/>
        <v>1.8254999999999981</v>
      </c>
      <c r="AF457" s="131">
        <v>49.170499999999997</v>
      </c>
      <c r="AG457" s="130">
        <f>'[6]Monthly Palm Oil'!$D84</f>
        <v>1775.6666666666667</v>
      </c>
      <c r="AH457" s="131">
        <f>'[6]Monthly Palm Oil'!$X84</f>
        <v>22.119872610408205</v>
      </c>
      <c r="AI457" s="131">
        <f t="shared" si="72"/>
        <v>29.950127389591795</v>
      </c>
    </row>
    <row r="458" spans="1:35">
      <c r="A458" s="99">
        <v>39417</v>
      </c>
      <c r="B458" s="119" t="e">
        <f>'[4]Monthly Prices'!$CF98</f>
        <v>#DIV/0!</v>
      </c>
      <c r="C458" s="119">
        <v>319.81</v>
      </c>
      <c r="D458" s="119">
        <v>46.78</v>
      </c>
      <c r="E458" s="122" t="e">
        <f t="shared" si="65"/>
        <v>#DIV/0!</v>
      </c>
      <c r="F458" s="128" t="e">
        <f t="shared" si="73"/>
        <v>#DIV/0!</v>
      </c>
      <c r="G458" s="127" t="e">
        <f t="shared" si="75"/>
        <v>#DIV/0!</v>
      </c>
      <c r="J458" s="119">
        <v>11.23</v>
      </c>
      <c r="K458" s="119">
        <v>314.77999999999997</v>
      </c>
      <c r="L458" s="119">
        <v>45.16</v>
      </c>
      <c r="M458" s="119">
        <f t="shared" si="70"/>
        <v>0.66275999999999868</v>
      </c>
      <c r="N458" s="128">
        <f t="shared" si="71"/>
        <v>0.41769950793592064</v>
      </c>
      <c r="O458" s="124" t="e">
        <f t="shared" si="74"/>
        <v>#DIV/0!</v>
      </c>
      <c r="P458" s="124">
        <f t="shared" si="74"/>
        <v>-5.0300000000000296</v>
      </c>
      <c r="Q458" s="124">
        <f t="shared" si="74"/>
        <v>-1.6200000000000045</v>
      </c>
      <c r="R458" s="124">
        <f>AVERAGE(J456:J458)</f>
        <v>10.346666666666668</v>
      </c>
      <c r="S458" s="124">
        <f>AVERAGE(K456:K458)</f>
        <v>285.36666666666662</v>
      </c>
      <c r="T458" s="124">
        <f>AVERAGE(L456:L458)</f>
        <v>41.98</v>
      </c>
      <c r="U458" s="119">
        <v>10</v>
      </c>
      <c r="V458" s="129" t="e">
        <f t="shared" si="67"/>
        <v>#DIV/0!</v>
      </c>
      <c r="W458" s="134" t="e">
        <f t="shared" si="64"/>
        <v>#DIV/0!</v>
      </c>
      <c r="X458" s="135" t="e">
        <f t="shared" si="63"/>
        <v>#DIV/0!</v>
      </c>
      <c r="Y458" s="134"/>
      <c r="Z458" s="135">
        <v>59.820999999999998</v>
      </c>
      <c r="AA458" s="136">
        <f t="shared" si="68"/>
        <v>11.326499999999996</v>
      </c>
      <c r="AB458" s="131">
        <v>48.494500000000002</v>
      </c>
      <c r="AC458" s="131">
        <f t="shared" si="69"/>
        <v>3.3345000000000056</v>
      </c>
      <c r="AD458" s="131">
        <v>47.491500000000002</v>
      </c>
      <c r="AE458" s="131">
        <f t="shared" si="66"/>
        <v>3.3109999999999999</v>
      </c>
      <c r="AF458" s="131">
        <v>50.802500000000002</v>
      </c>
      <c r="AG458" s="130">
        <f>'[6]Monthly Palm Oil'!$D85</f>
        <v>1897.05</v>
      </c>
      <c r="AH458" s="131">
        <f>'[6]Monthly Palm Oil'!$X85</f>
        <v>24.256363165821455</v>
      </c>
      <c r="AI458" s="131">
        <f t="shared" si="72"/>
        <v>35.063636834178546</v>
      </c>
    </row>
    <row r="459" spans="1:35">
      <c r="A459" s="99">
        <v>39448</v>
      </c>
      <c r="B459" s="119" t="e">
        <f>'[4]Monthly Prices'!$CF99</f>
        <v>#DIV/0!</v>
      </c>
      <c r="C459" s="119">
        <v>343.87</v>
      </c>
      <c r="D459" s="119">
        <v>52.07</v>
      </c>
      <c r="E459" s="122" t="e">
        <f t="shared" si="65"/>
        <v>#DIV/0!</v>
      </c>
      <c r="F459" s="128" t="e">
        <f t="shared" si="73"/>
        <v>#DIV/0!</v>
      </c>
      <c r="G459" s="127" t="e">
        <f t="shared" si="75"/>
        <v>#DIV/0!</v>
      </c>
      <c r="J459" s="119">
        <v>12.18</v>
      </c>
      <c r="K459" s="119">
        <v>331.28</v>
      </c>
      <c r="L459" s="119">
        <v>49.77</v>
      </c>
      <c r="M459" s="119">
        <f t="shared" si="70"/>
        <v>0.58286000000000016</v>
      </c>
      <c r="N459" s="128">
        <f t="shared" si="71"/>
        <v>0.42895557892196579</v>
      </c>
      <c r="O459" s="124" t="e">
        <f t="shared" si="74"/>
        <v>#DIV/0!</v>
      </c>
      <c r="P459" s="124">
        <f t="shared" si="74"/>
        <v>-12.590000000000032</v>
      </c>
      <c r="Q459" s="124">
        <f t="shared" si="74"/>
        <v>-2.2999999999999972</v>
      </c>
      <c r="U459" s="119">
        <v>9.9499999999999993</v>
      </c>
      <c r="V459" s="129" t="e">
        <f t="shared" si="67"/>
        <v>#DIV/0!</v>
      </c>
      <c r="W459" s="134" t="e">
        <f t="shared" si="64"/>
        <v>#DIV/0!</v>
      </c>
      <c r="X459" s="135" t="e">
        <f t="shared" si="63"/>
        <v>#DIV/0!</v>
      </c>
      <c r="Y459" s="134"/>
      <c r="Z459" s="135">
        <v>65.177599999999998</v>
      </c>
      <c r="AA459" s="136">
        <f t="shared" si="68"/>
        <v>11.850000000000001</v>
      </c>
      <c r="AB459" s="131">
        <v>53.327599999999997</v>
      </c>
      <c r="AC459" s="131">
        <f t="shared" si="69"/>
        <v>3.5575999999999937</v>
      </c>
      <c r="AD459" s="131">
        <v>52.232300000000002</v>
      </c>
      <c r="AE459" s="131">
        <f t="shared" si="66"/>
        <v>3.4047999999999945</v>
      </c>
      <c r="AF459" s="131">
        <v>55.637099999999997</v>
      </c>
      <c r="AG459" s="130">
        <f>'[6]Monthly Palm Oil'!$D86</f>
        <v>1897.55</v>
      </c>
      <c r="AH459" s="131">
        <f>'[6]Monthly Palm Oil'!$X86</f>
        <v>24.554767762963017</v>
      </c>
      <c r="AI459" s="131">
        <f t="shared" si="72"/>
        <v>35.915232237036982</v>
      </c>
    </row>
    <row r="460" spans="1:35">
      <c r="A460" s="99">
        <v>39479</v>
      </c>
      <c r="B460" s="119" t="e">
        <f>'[4]Monthly Prices'!$CF100</f>
        <v>#DIV/0!</v>
      </c>
      <c r="C460" s="119">
        <v>359.89</v>
      </c>
      <c r="D460" s="119">
        <v>59.32</v>
      </c>
      <c r="E460" s="122" t="e">
        <f t="shared" si="65"/>
        <v>#DIV/0!</v>
      </c>
      <c r="F460" s="128" t="e">
        <f t="shared" si="73"/>
        <v>#DIV/0!</v>
      </c>
      <c r="G460" s="127" t="e">
        <f t="shared" si="75"/>
        <v>#DIV/0!</v>
      </c>
      <c r="J460" s="119">
        <v>13.43</v>
      </c>
      <c r="K460" s="119">
        <v>345.88</v>
      </c>
      <c r="L460" s="119">
        <v>56.68</v>
      </c>
      <c r="M460" s="119">
        <f t="shared" si="70"/>
        <v>0.41416000000000075</v>
      </c>
      <c r="N460" s="128">
        <f t="shared" si="71"/>
        <v>0.45035596236969233</v>
      </c>
      <c r="O460" s="124" t="e">
        <f t="shared" si="74"/>
        <v>#DIV/0!</v>
      </c>
      <c r="P460" s="124">
        <f t="shared" si="74"/>
        <v>-14.009999999999991</v>
      </c>
      <c r="Q460" s="124">
        <f t="shared" si="74"/>
        <v>-2.6400000000000006</v>
      </c>
      <c r="U460" s="119">
        <v>11.7</v>
      </c>
      <c r="V460" s="129" t="e">
        <f t="shared" si="67"/>
        <v>#DIV/0!</v>
      </c>
      <c r="W460" s="134" t="e">
        <f t="shared" ref="W460:W523" si="76">(SUM(V448,V436,V424,V412,V400)-MAX(V448,V436,V424,V412,V400)-MIN(V448,V436,V424,V412,V400))/3</f>
        <v>#DIV/0!</v>
      </c>
      <c r="X460" s="135" t="e">
        <f t="shared" ref="X460:X519" si="77">V460-W460</f>
        <v>#DIV/0!</v>
      </c>
      <c r="Y460" s="134"/>
      <c r="Z460" s="135">
        <v>71.618499999999997</v>
      </c>
      <c r="AA460" s="136">
        <f t="shared" si="68"/>
        <v>10.649999999999999</v>
      </c>
      <c r="AB460" s="131">
        <v>60.968499999999999</v>
      </c>
      <c r="AC460" s="131">
        <f t="shared" si="69"/>
        <v>4.2884999999999991</v>
      </c>
      <c r="AD460" s="131">
        <v>58.229500000000002</v>
      </c>
      <c r="AE460" s="131">
        <f t="shared" si="66"/>
        <v>5.1139999999999972</v>
      </c>
      <c r="AF460" s="131">
        <v>63.343499999999999</v>
      </c>
      <c r="AG460" s="130">
        <f>'[6]Monthly Palm Oil'!$D87</f>
        <v>1927.7647058823529</v>
      </c>
      <c r="AH460" s="131">
        <f>'[6]Monthly Palm Oil'!$X87</f>
        <v>25.020005650086894</v>
      </c>
      <c r="AI460" s="131">
        <f t="shared" si="72"/>
        <v>33.589994349913106</v>
      </c>
    </row>
    <row r="461" spans="1:35">
      <c r="A461" s="99">
        <v>39508</v>
      </c>
      <c r="B461" s="119" t="e">
        <f>'[4]Monthly Prices'!$CF101</f>
        <v>#DIV/0!</v>
      </c>
      <c r="C461" s="119">
        <v>347.34</v>
      </c>
      <c r="D461" s="119">
        <v>60.47</v>
      </c>
      <c r="E461" s="122" t="e">
        <f t="shared" si="65"/>
        <v>#DIV/0!</v>
      </c>
      <c r="F461" s="128" t="e">
        <f t="shared" si="73"/>
        <v>#DIV/0!</v>
      </c>
      <c r="G461" s="127" t="e">
        <f t="shared" si="75"/>
        <v>#DIV/0!</v>
      </c>
      <c r="J461" s="119">
        <v>13.13</v>
      </c>
      <c r="K461" s="119">
        <v>331.57</v>
      </c>
      <c r="L461" s="119">
        <v>57.27</v>
      </c>
      <c r="M461" s="119">
        <f t="shared" si="70"/>
        <v>0.46423999999999843</v>
      </c>
      <c r="N461" s="128">
        <f t="shared" si="71"/>
        <v>0.46340950284826515</v>
      </c>
      <c r="O461" s="124" t="e">
        <f t="shared" si="74"/>
        <v>#DIV/0!</v>
      </c>
      <c r="P461" s="124">
        <f t="shared" si="74"/>
        <v>-15.769999999999982</v>
      </c>
      <c r="Q461" s="124">
        <f t="shared" si="74"/>
        <v>-3.1999999999999957</v>
      </c>
      <c r="R461" s="124">
        <f>AVERAGE(J459:J461)</f>
        <v>12.913333333333334</v>
      </c>
      <c r="S461" s="124">
        <f>AVERAGE(K459:K461)</f>
        <v>336.24333333333334</v>
      </c>
      <c r="T461" s="124">
        <f>AVERAGE(L459:L461)</f>
        <v>54.573333333333331</v>
      </c>
      <c r="U461" s="119">
        <v>11.4</v>
      </c>
      <c r="V461" s="129" t="e">
        <f t="shared" si="67"/>
        <v>#DIV/0!</v>
      </c>
      <c r="W461" s="134" t="e">
        <f t="shared" si="76"/>
        <v>#DIV/0!</v>
      </c>
      <c r="X461" s="135" t="e">
        <f t="shared" si="77"/>
        <v>#DIV/0!</v>
      </c>
      <c r="Y461" s="134"/>
      <c r="Z461" s="135">
        <v>73.590500000000006</v>
      </c>
      <c r="AA461" s="136">
        <f t="shared" si="68"/>
        <v>9.8125000000000071</v>
      </c>
      <c r="AB461" s="131">
        <v>63.777999999999999</v>
      </c>
      <c r="AC461" s="131">
        <f t="shared" si="69"/>
        <v>6.5079999999999956</v>
      </c>
      <c r="AD461" s="131">
        <v>65.13</v>
      </c>
      <c r="AE461" s="131">
        <f t="shared" si="66"/>
        <v>-1.4144999999999968</v>
      </c>
      <c r="AF461" s="131">
        <v>63.715499999999999</v>
      </c>
      <c r="AG461" s="130">
        <f>'[6]Monthly Palm Oil'!$D88</f>
        <v>1976.3636363636363</v>
      </c>
      <c r="AH461" s="131">
        <f>'[6]Monthly Palm Oil'!$X88</f>
        <v>25.70218074529722</v>
      </c>
      <c r="AI461" s="131">
        <f t="shared" si="72"/>
        <v>34.897819254702782</v>
      </c>
    </row>
    <row r="462" spans="1:35">
      <c r="A462" s="99">
        <v>39539</v>
      </c>
      <c r="B462" s="119" t="e">
        <f>'[4]Monthly Prices'!$CF102</f>
        <v>#DIV/0!</v>
      </c>
      <c r="C462" s="119">
        <v>340.48</v>
      </c>
      <c r="D462" s="119">
        <v>58.61</v>
      </c>
      <c r="E462" s="122" t="e">
        <f t="shared" si="65"/>
        <v>#DIV/0!</v>
      </c>
      <c r="F462" s="128" t="e">
        <f t="shared" si="73"/>
        <v>#DIV/0!</v>
      </c>
      <c r="G462" s="127" t="e">
        <f t="shared" si="75"/>
        <v>#DIV/0!</v>
      </c>
      <c r="J462" s="119">
        <v>12.93</v>
      </c>
      <c r="K462" s="119">
        <v>329.94</v>
      </c>
      <c r="L462" s="119">
        <v>56.58</v>
      </c>
      <c r="M462" s="119">
        <f t="shared" si="70"/>
        <v>0.55247999999999919</v>
      </c>
      <c r="N462" s="128">
        <f t="shared" si="71"/>
        <v>0.46162130409242219</v>
      </c>
      <c r="O462" s="124" t="e">
        <f t="shared" si="74"/>
        <v>#DIV/0!</v>
      </c>
      <c r="P462" s="124">
        <f t="shared" si="74"/>
        <v>-10.54000000000002</v>
      </c>
      <c r="Q462" s="124">
        <f t="shared" si="74"/>
        <v>-2.0300000000000011</v>
      </c>
      <c r="U462" s="119">
        <v>12</v>
      </c>
      <c r="V462" s="129" t="e">
        <f t="shared" si="67"/>
        <v>#DIV/0!</v>
      </c>
      <c r="W462" s="134" t="e">
        <f t="shared" si="76"/>
        <v>#DIV/0!</v>
      </c>
      <c r="X462" s="135" t="e">
        <f t="shared" si="77"/>
        <v>#DIV/0!</v>
      </c>
      <c r="Y462" s="134"/>
      <c r="Z462" s="135">
        <v>72.471299999999999</v>
      </c>
      <c r="AA462" s="136">
        <f t="shared" si="68"/>
        <v>10.5227</v>
      </c>
      <c r="AB462" s="131">
        <v>61.948599999999999</v>
      </c>
      <c r="AC462" s="131">
        <f t="shared" si="69"/>
        <v>5.3686000000000007</v>
      </c>
      <c r="AD462" s="131">
        <v>62.064999999999998</v>
      </c>
      <c r="AE462" s="131">
        <f t="shared" si="66"/>
        <v>1.429000000000002</v>
      </c>
      <c r="AF462" s="131">
        <v>63.494</v>
      </c>
      <c r="AG462" s="130">
        <f>'[6]Monthly Palm Oil'!$D89</f>
        <v>2166.7368421052633</v>
      </c>
      <c r="AH462" s="131">
        <f>'[6]Monthly Palm Oil'!$X89</f>
        <v>28.603623462269212</v>
      </c>
      <c r="AI462" s="131">
        <f t="shared" si="72"/>
        <v>35.556376537730785</v>
      </c>
    </row>
    <row r="463" spans="1:35">
      <c r="A463" s="99">
        <v>39569</v>
      </c>
      <c r="B463" s="119" t="e">
        <f>'[4]Monthly Prices'!$CF103</f>
        <v>#DIV/0!</v>
      </c>
      <c r="C463" s="119">
        <v>337.67</v>
      </c>
      <c r="D463" s="119">
        <v>60.6</v>
      </c>
      <c r="E463" s="122" t="e">
        <f t="shared" si="65"/>
        <v>#DIV/0!</v>
      </c>
      <c r="F463" s="128" t="e">
        <f t="shared" si="73"/>
        <v>#DIV/0!</v>
      </c>
      <c r="G463" s="127" t="e">
        <f t="shared" si="75"/>
        <v>#DIV/0!</v>
      </c>
      <c r="J463" s="119">
        <v>13.25</v>
      </c>
      <c r="K463" s="119">
        <v>325.48</v>
      </c>
      <c r="L463" s="119">
        <v>58.27</v>
      </c>
      <c r="M463" s="119">
        <f t="shared" si="70"/>
        <v>0.3202600000000011</v>
      </c>
      <c r="N463" s="128">
        <f t="shared" si="71"/>
        <v>0.47233435468443491</v>
      </c>
      <c r="O463" s="124" t="e">
        <f t="shared" si="74"/>
        <v>#DIV/0!</v>
      </c>
      <c r="P463" s="124">
        <f t="shared" si="74"/>
        <v>-12.189999999999998</v>
      </c>
      <c r="Q463" s="124">
        <f t="shared" si="74"/>
        <v>-2.3299999999999983</v>
      </c>
      <c r="U463" s="119">
        <v>12.1</v>
      </c>
      <c r="V463" s="129" t="e">
        <f t="shared" si="67"/>
        <v>#DIV/0!</v>
      </c>
      <c r="W463" s="134" t="e">
        <f t="shared" si="76"/>
        <v>#DIV/0!</v>
      </c>
      <c r="X463" s="135" t="e">
        <f t="shared" si="77"/>
        <v>#DIV/0!</v>
      </c>
      <c r="Y463" s="134"/>
      <c r="Z463" s="135">
        <v>74.085700000000003</v>
      </c>
      <c r="AA463" s="136">
        <f t="shared" si="68"/>
        <v>9.2077000000000027</v>
      </c>
      <c r="AB463" s="131">
        <v>64.878</v>
      </c>
      <c r="AC463" s="131">
        <f t="shared" si="69"/>
        <v>6.607999999999997</v>
      </c>
      <c r="AD463" s="131">
        <v>62.039499999999997</v>
      </c>
      <c r="AE463" s="131">
        <f t="shared" si="66"/>
        <v>4.0766000000000062</v>
      </c>
      <c r="AF463" s="131">
        <v>66.116100000000003</v>
      </c>
      <c r="AG463" s="130">
        <f>'[6]Monthly Palm Oil'!$D90</f>
        <v>2372.65</v>
      </c>
      <c r="AH463" s="131">
        <f>'[6]Monthly Palm Oil'!$X90</f>
        <v>31.655329952796144</v>
      </c>
      <c r="AI463" s="131">
        <f t="shared" si="72"/>
        <v>30.664670047203856</v>
      </c>
    </row>
    <row r="464" spans="1:35">
      <c r="A464" s="99">
        <v>39600</v>
      </c>
      <c r="B464" s="119" t="e">
        <f>'[4]Monthly Prices'!$CF104</f>
        <v>#DIV/0!</v>
      </c>
      <c r="C464" s="119">
        <v>396.36</v>
      </c>
      <c r="D464" s="119">
        <v>64.16</v>
      </c>
      <c r="E464" s="122" t="e">
        <f t="shared" si="65"/>
        <v>#DIV/0!</v>
      </c>
      <c r="F464" s="128" t="e">
        <f t="shared" si="73"/>
        <v>#DIV/0!</v>
      </c>
      <c r="G464" s="127" t="e">
        <f t="shared" si="75"/>
        <v>#DIV/0!</v>
      </c>
      <c r="J464" s="119">
        <v>15</v>
      </c>
      <c r="K464" s="119">
        <v>390.72</v>
      </c>
      <c r="L464" s="119">
        <v>62.43</v>
      </c>
      <c r="M464" s="119">
        <f t="shared" si="70"/>
        <v>0.46313999999999922</v>
      </c>
      <c r="N464" s="128">
        <f t="shared" si="71"/>
        <v>0.44410772973665114</v>
      </c>
      <c r="O464" s="124" t="e">
        <f t="shared" si="74"/>
        <v>#DIV/0!</v>
      </c>
      <c r="P464" s="124">
        <f t="shared" si="74"/>
        <v>-5.6399999999999864</v>
      </c>
      <c r="Q464" s="124">
        <f t="shared" si="74"/>
        <v>-1.7299999999999969</v>
      </c>
      <c r="R464" s="124">
        <f>AVERAGE(J462:J464)</f>
        <v>13.726666666666667</v>
      </c>
      <c r="S464" s="124">
        <f>AVERAGE(K462:K464)</f>
        <v>348.71333333333337</v>
      </c>
      <c r="T464" s="124">
        <f>AVERAGE(L462:L464)</f>
        <v>59.093333333333334</v>
      </c>
      <c r="U464" s="119">
        <v>13.1</v>
      </c>
      <c r="V464" s="129" t="e">
        <f t="shared" si="67"/>
        <v>#DIV/0!</v>
      </c>
      <c r="W464" s="134" t="e">
        <f t="shared" si="76"/>
        <v>#DIV/0!</v>
      </c>
      <c r="X464" s="135" t="e">
        <f t="shared" si="77"/>
        <v>#DIV/0!</v>
      </c>
      <c r="Y464" s="134"/>
      <c r="Z464" s="135">
        <v>76.811899999999994</v>
      </c>
      <c r="AA464" s="136">
        <f t="shared" si="68"/>
        <v>7.7738999999999976</v>
      </c>
      <c r="AB464" s="131">
        <v>69.037999999999997</v>
      </c>
      <c r="AC464" s="131">
        <f t="shared" si="69"/>
        <v>6.607999999999997</v>
      </c>
      <c r="AD464" s="131">
        <v>60.658000000000001</v>
      </c>
      <c r="AE464" s="131">
        <f t="shared" si="66"/>
        <v>9.7014999999999958</v>
      </c>
      <c r="AF464" s="131">
        <v>70.359499999999997</v>
      </c>
      <c r="AG464" s="130">
        <f>'[6]Monthly Palm Oil'!$D91</f>
        <v>2447.5238095238096</v>
      </c>
      <c r="AH464" s="131">
        <f>'[6]Monthly Palm Oil'!$X91</f>
        <v>32.248950776555439</v>
      </c>
      <c r="AI464" s="131">
        <f t="shared" si="72"/>
        <v>20.661049223444557</v>
      </c>
    </row>
    <row r="465" spans="1:35">
      <c r="A465" s="99">
        <v>39630</v>
      </c>
      <c r="B465" s="119" t="e">
        <f>'[4]Monthly Prices'!$CF105</f>
        <v>#DIV/0!</v>
      </c>
      <c r="C465" s="119">
        <v>407.33</v>
      </c>
      <c r="D465" s="119">
        <v>62.32</v>
      </c>
      <c r="E465" s="122" t="e">
        <f t="shared" si="65"/>
        <v>#DIV/0!</v>
      </c>
      <c r="F465" s="128" t="e">
        <f t="shared" si="73"/>
        <v>#DIV/0!</v>
      </c>
      <c r="G465" s="127" t="e">
        <f t="shared" si="75"/>
        <v>#DIV/0!</v>
      </c>
      <c r="J465" s="119">
        <v>15.16</v>
      </c>
      <c r="K465" s="119">
        <v>412.25</v>
      </c>
      <c r="L465" s="119">
        <v>60.54</v>
      </c>
      <c r="M465" s="119">
        <f t="shared" si="70"/>
        <v>0.5688999999999993</v>
      </c>
      <c r="N465" s="128">
        <f t="shared" si="71"/>
        <v>0.42338625078676828</v>
      </c>
      <c r="O465" s="124" t="e">
        <f t="shared" si="74"/>
        <v>#DIV/0!</v>
      </c>
      <c r="P465" s="124">
        <f t="shared" si="74"/>
        <v>4.9200000000000159</v>
      </c>
      <c r="Q465" s="124">
        <f t="shared" si="74"/>
        <v>-1.7800000000000011</v>
      </c>
      <c r="U465" s="119">
        <v>13.3</v>
      </c>
      <c r="V465" s="129" t="e">
        <f t="shared" si="67"/>
        <v>#DIV/0!</v>
      </c>
      <c r="W465" s="134" t="e">
        <f t="shared" si="76"/>
        <v>#DIV/0!</v>
      </c>
      <c r="X465" s="135" t="e">
        <f t="shared" si="77"/>
        <v>#DIV/0!</v>
      </c>
      <c r="Y465" s="134"/>
      <c r="Z465" s="135">
        <v>74.517200000000003</v>
      </c>
      <c r="AA465" s="136">
        <f t="shared" si="68"/>
        <v>8.0909000000000049</v>
      </c>
      <c r="AB465" s="131">
        <v>66.426299999999998</v>
      </c>
      <c r="AC465" s="131">
        <f t="shared" si="69"/>
        <v>5.8862999999999985</v>
      </c>
      <c r="AD465" s="131">
        <v>56.197200000000002</v>
      </c>
      <c r="AE465" s="131">
        <f t="shared" si="66"/>
        <v>11.979599999999998</v>
      </c>
      <c r="AF465" s="131">
        <v>68.1768</v>
      </c>
      <c r="AG465" s="130">
        <f>'[6]Monthly Palm Oil'!$D92</f>
        <v>2540.1428571428573</v>
      </c>
      <c r="AH465" s="131">
        <f>'[6]Monthly Palm Oil'!$X92</f>
        <v>33.514541830001008</v>
      </c>
      <c r="AI465" s="131">
        <f t="shared" si="72"/>
        <v>13.845458169998992</v>
      </c>
    </row>
    <row r="466" spans="1:35">
      <c r="A466" s="99">
        <v>39661</v>
      </c>
      <c r="B466" s="119" t="e">
        <f>'[4]Monthly Prices'!$CF106</f>
        <v>#DIV/0!</v>
      </c>
      <c r="C466" s="119">
        <v>349.82</v>
      </c>
      <c r="D466" s="119">
        <v>52.91</v>
      </c>
      <c r="E466" s="122" t="e">
        <f t="shared" si="65"/>
        <v>#DIV/0!</v>
      </c>
      <c r="F466" s="128" t="e">
        <f t="shared" si="73"/>
        <v>#DIV/0!</v>
      </c>
      <c r="G466" s="127" t="e">
        <f t="shared" si="75"/>
        <v>#DIV/0!</v>
      </c>
      <c r="J466" s="119">
        <v>12.89</v>
      </c>
      <c r="K466" s="119">
        <v>355.35</v>
      </c>
      <c r="L466" s="119">
        <v>50.78</v>
      </c>
      <c r="M466" s="119">
        <f t="shared" si="70"/>
        <v>0.51350000000000051</v>
      </c>
      <c r="N466" s="128">
        <f t="shared" si="71"/>
        <v>0.41674189577349202</v>
      </c>
      <c r="O466" s="124" t="e">
        <f t="shared" si="74"/>
        <v>#DIV/0!</v>
      </c>
      <c r="P466" s="124">
        <f t="shared" si="74"/>
        <v>5.5300000000000296</v>
      </c>
      <c r="Q466" s="124">
        <f t="shared" si="74"/>
        <v>-2.1299999999999955</v>
      </c>
      <c r="U466" s="119">
        <v>12.8</v>
      </c>
      <c r="V466" s="129" t="e">
        <f t="shared" si="67"/>
        <v>#DIV/0!</v>
      </c>
      <c r="W466" s="134" t="e">
        <f t="shared" si="76"/>
        <v>#DIV/0!</v>
      </c>
      <c r="X466" s="135" t="e">
        <f t="shared" si="77"/>
        <v>#DIV/0!</v>
      </c>
      <c r="Y466" s="134"/>
      <c r="Z466" s="135">
        <v>63.018500000000003</v>
      </c>
      <c r="AA466" s="136">
        <f t="shared" si="68"/>
        <v>6.5714000000000041</v>
      </c>
      <c r="AB466" s="131">
        <v>56.447099999999999</v>
      </c>
      <c r="AC466" s="131">
        <f t="shared" si="69"/>
        <v>5.6670999999999978</v>
      </c>
      <c r="AD466" s="131">
        <v>46.3628</v>
      </c>
      <c r="AE466" s="131">
        <f t="shared" si="66"/>
        <v>12.297199999999997</v>
      </c>
      <c r="AF466" s="131">
        <v>58.66</v>
      </c>
      <c r="AG466" s="130">
        <f>'[6]Monthly Palm Oil'!$D93</f>
        <v>2464.818181818182</v>
      </c>
      <c r="AH466" s="131">
        <f>'[6]Monthly Palm Oil'!$X93</f>
        <v>32.12454188655542</v>
      </c>
      <c r="AI466" s="131">
        <f t="shared" si="72"/>
        <v>4.7354581134445795</v>
      </c>
    </row>
    <row r="467" spans="1:35">
      <c r="A467" s="99">
        <v>39692</v>
      </c>
      <c r="B467" s="119" t="e">
        <f>'[4]Monthly Prices'!$CF107</f>
        <v>#DIV/0!</v>
      </c>
      <c r="C467" s="119">
        <v>324.60000000000002</v>
      </c>
      <c r="D467" s="119">
        <v>47.36</v>
      </c>
      <c r="E467" s="122" t="e">
        <f t="shared" ref="E467:E515" si="78">(C467/2000*44)+(D467/100*11)-B467</f>
        <v>#DIV/0!</v>
      </c>
      <c r="F467" s="128" t="e">
        <f t="shared" si="73"/>
        <v>#DIV/0!</v>
      </c>
      <c r="G467" s="127" t="e">
        <f t="shared" si="75"/>
        <v>#DIV/0!</v>
      </c>
      <c r="J467" s="119">
        <v>11.74</v>
      </c>
      <c r="K467" s="119">
        <v>352.7</v>
      </c>
      <c r="L467" s="119">
        <v>46.09</v>
      </c>
      <c r="M467" s="119">
        <f t="shared" si="70"/>
        <v>1.0892999999999997</v>
      </c>
      <c r="N467" s="128">
        <f t="shared" si="71"/>
        <v>0.39518134270770816</v>
      </c>
      <c r="O467" s="124" t="e">
        <f t="shared" si="74"/>
        <v>#DIV/0!</v>
      </c>
      <c r="P467" s="124">
        <f t="shared" si="74"/>
        <v>28.099999999999966</v>
      </c>
      <c r="Q467" s="124">
        <f t="shared" si="74"/>
        <v>-1.269999999999996</v>
      </c>
      <c r="R467" s="124">
        <f>AVERAGE(J465:J467)</f>
        <v>13.263333333333334</v>
      </c>
      <c r="S467" s="124">
        <f>AVERAGE(K465:K467)</f>
        <v>373.43333333333334</v>
      </c>
      <c r="T467" s="124">
        <f>AVERAGE(L465:L467)</f>
        <v>52.47</v>
      </c>
      <c r="U467" s="119">
        <v>10.8</v>
      </c>
      <c r="V467" s="129" t="e">
        <f t="shared" si="67"/>
        <v>#DIV/0!</v>
      </c>
      <c r="W467" s="134" t="e">
        <f t="shared" si="76"/>
        <v>#DIV/0!</v>
      </c>
      <c r="X467" s="135" t="e">
        <f t="shared" si="77"/>
        <v>#DIV/0!</v>
      </c>
      <c r="Y467" s="134"/>
      <c r="Z467" s="135">
        <v>56.219499999999996</v>
      </c>
      <c r="AA467" s="136">
        <f t="shared" si="68"/>
        <v>4.478599999999993</v>
      </c>
      <c r="AB467" s="131">
        <v>51.740900000000003</v>
      </c>
      <c r="AC467" s="131">
        <f t="shared" si="69"/>
        <v>5.6509</v>
      </c>
      <c r="AD467" s="131">
        <v>38.805700000000002</v>
      </c>
      <c r="AE467" s="131">
        <f t="shared" si="66"/>
        <v>15.768499999999996</v>
      </c>
      <c r="AF467" s="131">
        <v>54.574199999999998</v>
      </c>
      <c r="AG467" s="130">
        <f>'[6]Monthly Palm Oil'!$D94</f>
        <v>2562.2631578947367</v>
      </c>
      <c r="AH467" s="131">
        <f>'[6]Monthly Palm Oil'!$X94</f>
        <v>33.517887045714687</v>
      </c>
      <c r="AI467" s="131">
        <f t="shared" si="72"/>
        <v>-0.46788704571468998</v>
      </c>
    </row>
    <row r="468" spans="1:35">
      <c r="A468" s="99">
        <v>39722</v>
      </c>
      <c r="B468" s="119" t="e">
        <f>'[4]Monthly Prices'!$CF108</f>
        <v>#DIV/0!</v>
      </c>
      <c r="C468" s="119">
        <v>265.49</v>
      </c>
      <c r="D468" s="119">
        <v>36.86</v>
      </c>
      <c r="E468" s="122" t="e">
        <f t="shared" si="78"/>
        <v>#DIV/0!</v>
      </c>
      <c r="F468" s="128" t="e">
        <f t="shared" si="73"/>
        <v>#DIV/0!</v>
      </c>
      <c r="G468" s="127" t="e">
        <f t="shared" si="75"/>
        <v>#DIV/0!</v>
      </c>
      <c r="J468" s="119">
        <v>9.0399999999999991</v>
      </c>
      <c r="K468" s="119">
        <v>260.66000000000003</v>
      </c>
      <c r="L468" s="119">
        <v>35.5</v>
      </c>
      <c r="M468" s="119">
        <f t="shared" si="70"/>
        <v>0.59952000000000005</v>
      </c>
      <c r="N468" s="128">
        <f t="shared" si="71"/>
        <v>0.40510315866350194</v>
      </c>
      <c r="O468" s="124" t="e">
        <f t="shared" si="74"/>
        <v>#DIV/0!</v>
      </c>
      <c r="P468" s="124">
        <f t="shared" si="74"/>
        <v>-4.8299999999999841</v>
      </c>
      <c r="Q468" s="124">
        <f t="shared" si="74"/>
        <v>-1.3599999999999994</v>
      </c>
      <c r="U468" s="119">
        <v>9.9499999999999993</v>
      </c>
      <c r="V468" s="129" t="e">
        <f t="shared" si="67"/>
        <v>#DIV/0!</v>
      </c>
      <c r="W468" s="134" t="e">
        <f t="shared" si="76"/>
        <v>#DIV/0!</v>
      </c>
      <c r="X468" s="135" t="e">
        <f t="shared" si="77"/>
        <v>#DIV/0!</v>
      </c>
      <c r="Y468" s="134"/>
      <c r="Z468" s="135">
        <v>47.186</v>
      </c>
      <c r="AA468" s="136">
        <f t="shared" si="68"/>
        <v>6.3282000000000025</v>
      </c>
      <c r="AB468" s="131">
        <v>40.857799999999997</v>
      </c>
      <c r="AC468" s="131">
        <f t="shared" si="69"/>
        <v>5.3577999999999975</v>
      </c>
      <c r="AD468" s="131">
        <v>30.506900000000002</v>
      </c>
      <c r="AE468" s="131">
        <f t="shared" si="66"/>
        <v>14.046500000000002</v>
      </c>
      <c r="AF468" s="131">
        <v>44.553400000000003</v>
      </c>
      <c r="AG468" s="130">
        <f>'[6]Monthly Palm Oil'!$D95</f>
        <v>2698.2727272727275</v>
      </c>
      <c r="AH468" s="131">
        <f>'[6]Monthly Palm Oil'!$X95</f>
        <v>36.301741244467159</v>
      </c>
      <c r="AI468" s="131">
        <f t="shared" si="72"/>
        <v>-5.3017412444671592</v>
      </c>
    </row>
    <row r="469" spans="1:35">
      <c r="A469" s="99">
        <v>39753</v>
      </c>
      <c r="B469" s="119" t="e">
        <f>'[4]Monthly Prices'!$CF109</f>
        <v>#DIV/0!</v>
      </c>
      <c r="C469" s="119">
        <v>265.58</v>
      </c>
      <c r="D469" s="119">
        <v>33.049999999999997</v>
      </c>
      <c r="E469" s="122" t="e">
        <f t="shared" si="78"/>
        <v>#DIV/0!</v>
      </c>
      <c r="F469" s="128" t="e">
        <f t="shared" si="73"/>
        <v>#DIV/0!</v>
      </c>
      <c r="G469" s="127" t="e">
        <f t="shared" si="75"/>
        <v>#DIV/0!</v>
      </c>
      <c r="J469" s="119">
        <v>8.93</v>
      </c>
      <c r="K469" s="119">
        <v>267.37</v>
      </c>
      <c r="L469" s="119">
        <v>31.55</v>
      </c>
      <c r="M469" s="119">
        <f t="shared" si="70"/>
        <v>0.42263999999999946</v>
      </c>
      <c r="N469" s="128">
        <f t="shared" si="71"/>
        <v>0.37107169740308621</v>
      </c>
      <c r="O469" s="124" t="e">
        <f t="shared" si="74"/>
        <v>#DIV/0!</v>
      </c>
      <c r="P469" s="124">
        <f t="shared" si="74"/>
        <v>1.7900000000000205</v>
      </c>
      <c r="Q469" s="124">
        <f t="shared" si="74"/>
        <v>-1.4999999999999964</v>
      </c>
      <c r="U469" s="119">
        <v>9.39</v>
      </c>
      <c r="V469" s="129" t="e">
        <f t="shared" si="67"/>
        <v>#DIV/0!</v>
      </c>
      <c r="W469" s="134" t="e">
        <f t="shared" si="76"/>
        <v>#DIV/0!</v>
      </c>
      <c r="X469" s="135" t="e">
        <f t="shared" si="77"/>
        <v>#DIV/0!</v>
      </c>
      <c r="Y469" s="134"/>
      <c r="Z469" s="135">
        <v>42.045200000000001</v>
      </c>
      <c r="AA469" s="136">
        <f t="shared" si="68"/>
        <v>5.4737000000000009</v>
      </c>
      <c r="AB469" s="131">
        <v>36.5715</v>
      </c>
      <c r="AC469" s="131">
        <f t="shared" si="69"/>
        <v>5.0214999999999996</v>
      </c>
      <c r="AD469" s="131">
        <v>27.4605</v>
      </c>
      <c r="AE469" s="131">
        <f t="shared" si="66"/>
        <v>11.005799999999997</v>
      </c>
      <c r="AF469" s="131">
        <v>38.466299999999997</v>
      </c>
      <c r="AG469" s="130">
        <f>'[6]Monthly Palm Oil'!$D96</f>
        <v>2956</v>
      </c>
      <c r="AH469" s="131">
        <f>'[6]Monthly Palm Oil'!$X96</f>
        <v>39.978378785772477</v>
      </c>
      <c r="AI469" s="131">
        <f t="shared" si="72"/>
        <v>-5.6383787857724741</v>
      </c>
    </row>
    <row r="470" spans="1:35">
      <c r="A470" s="99">
        <v>39783</v>
      </c>
      <c r="B470" s="119" t="e">
        <f>'[4]Monthly Prices'!$CF110</f>
        <v>#DIV/0!</v>
      </c>
      <c r="C470" s="119">
        <v>264.94</v>
      </c>
      <c r="D470" s="119">
        <v>31</v>
      </c>
      <c r="E470" s="122" t="e">
        <f t="shared" si="78"/>
        <v>#DIV/0!</v>
      </c>
      <c r="F470" s="128" t="e">
        <f t="shared" si="73"/>
        <v>#DIV/0!</v>
      </c>
      <c r="G470" s="127" t="e">
        <f t="shared" si="75"/>
        <v>#DIV/0!</v>
      </c>
      <c r="J470" s="119">
        <v>8.68</v>
      </c>
      <c r="K470" s="119">
        <v>268.24</v>
      </c>
      <c r="L470" s="119">
        <v>29.3</v>
      </c>
      <c r="M470" s="119">
        <f t="shared" si="70"/>
        <v>0.4442800000000009</v>
      </c>
      <c r="N470" s="128">
        <f t="shared" si="71"/>
        <v>0.35323335101509373</v>
      </c>
      <c r="O470" s="124" t="e">
        <f t="shared" si="74"/>
        <v>#DIV/0!</v>
      </c>
      <c r="P470" s="124">
        <f t="shared" si="74"/>
        <v>3.3000000000000114</v>
      </c>
      <c r="Q470" s="124">
        <f t="shared" si="74"/>
        <v>-1.6999999999999993</v>
      </c>
      <c r="R470" s="124">
        <f>AVERAGE(J468:J470)</f>
        <v>8.8833333333333329</v>
      </c>
      <c r="S470" s="124">
        <f>AVERAGE(K468:K470)</f>
        <v>265.42333333333335</v>
      </c>
      <c r="T470" s="124">
        <f>AVERAGE(L468:L470)</f>
        <v>32.116666666666667</v>
      </c>
      <c r="U470" s="119">
        <v>9.24</v>
      </c>
      <c r="V470" s="129" t="e">
        <f t="shared" si="67"/>
        <v>#DIV/0!</v>
      </c>
      <c r="W470" s="134" t="e">
        <f t="shared" si="76"/>
        <v>#DIV/0!</v>
      </c>
      <c r="X470" s="135" t="e">
        <f t="shared" si="77"/>
        <v>#DIV/0!</v>
      </c>
      <c r="Y470" s="134"/>
      <c r="Z470" s="135">
        <v>39.098599999999998</v>
      </c>
      <c r="AA470" s="136">
        <f t="shared" si="68"/>
        <v>5.438600000000001</v>
      </c>
      <c r="AB470" s="131">
        <v>33.659999999999997</v>
      </c>
      <c r="AC470" s="131">
        <f t="shared" si="69"/>
        <v>4.3599999999999959</v>
      </c>
      <c r="AD470" s="131">
        <v>27.965399999999999</v>
      </c>
      <c r="AE470" s="131">
        <f t="shared" si="66"/>
        <v>7.6491000000000007</v>
      </c>
      <c r="AF470" s="131">
        <v>35.6145</v>
      </c>
      <c r="AG470" s="130">
        <f>'[6]Monthly Palm Oil'!$D97</f>
        <v>2956.6842105263158</v>
      </c>
      <c r="AH470" s="131">
        <f>'[6]Monthly Palm Oil'!$X97</f>
        <v>40.25928660717782</v>
      </c>
      <c r="AI470" s="131">
        <f t="shared" si="72"/>
        <v>-8.3392866071778187</v>
      </c>
    </row>
    <row r="471" spans="1:35">
      <c r="A471" s="99">
        <v>39814</v>
      </c>
      <c r="B471" s="119" t="e">
        <f>'[4]Monthly Prices'!$CF111</f>
        <v>#DIV/0!</v>
      </c>
      <c r="C471" s="119">
        <v>306.86</v>
      </c>
      <c r="D471" s="119">
        <v>34.340000000000003</v>
      </c>
      <c r="E471" s="122" t="e">
        <f t="shared" si="78"/>
        <v>#DIV/0!</v>
      </c>
      <c r="F471" s="128" t="e">
        <f t="shared" si="73"/>
        <v>#DIV/0!</v>
      </c>
      <c r="G471" s="127" t="e">
        <f t="shared" si="75"/>
        <v>#DIV/0!</v>
      </c>
      <c r="J471" s="119">
        <v>9.91</v>
      </c>
      <c r="K471" s="119">
        <v>306.85000000000002</v>
      </c>
      <c r="L471" s="119">
        <v>32.159999999999997</v>
      </c>
      <c r="M471" s="119">
        <f t="shared" si="70"/>
        <v>0.37829999999999941</v>
      </c>
      <c r="N471" s="128">
        <f t="shared" si="71"/>
        <v>0.34384689404469149</v>
      </c>
      <c r="O471" s="124" t="e">
        <f t="shared" si="74"/>
        <v>#DIV/0!</v>
      </c>
      <c r="P471" s="124">
        <f t="shared" si="74"/>
        <v>-9.9999999999909051E-3</v>
      </c>
      <c r="Q471" s="124">
        <f t="shared" si="74"/>
        <v>-2.1800000000000068</v>
      </c>
      <c r="U471" s="119">
        <v>9.9700000000000006</v>
      </c>
      <c r="V471" s="129" t="e">
        <f t="shared" si="67"/>
        <v>#DIV/0!</v>
      </c>
      <c r="W471" s="134" t="e">
        <f t="shared" si="76"/>
        <v>#DIV/0!</v>
      </c>
      <c r="X471" s="135" t="e">
        <f t="shared" si="77"/>
        <v>#DIV/0!</v>
      </c>
      <c r="Y471" s="134"/>
      <c r="Z471" s="135">
        <v>40.2605</v>
      </c>
      <c r="AA471" s="136">
        <f t="shared" si="68"/>
        <v>3.9125000000000014</v>
      </c>
      <c r="AB471" s="131">
        <v>36.347999999999999</v>
      </c>
      <c r="AC471" s="131">
        <f t="shared" si="69"/>
        <v>4.1880000000000024</v>
      </c>
      <c r="AD471" s="131">
        <v>31.022500000000001</v>
      </c>
      <c r="AE471" s="131">
        <f t="shared" si="66"/>
        <v>6.6004999999999967</v>
      </c>
      <c r="AF471" s="131">
        <v>37.622999999999998</v>
      </c>
      <c r="AG471" s="130">
        <f>'[6]Monthly Palm Oil'!$D98</f>
        <v>3224.0526315789475</v>
      </c>
      <c r="AH471" s="131">
        <f>'[6]Monthly Palm Oil'!$X98</f>
        <v>44.812048057309426</v>
      </c>
      <c r="AI471" s="131">
        <f t="shared" si="72"/>
        <v>-13.252048057309427</v>
      </c>
    </row>
    <row r="472" spans="1:35">
      <c r="A472" s="99">
        <v>39845</v>
      </c>
      <c r="B472" s="119" t="e">
        <f>'[4]Monthly Prices'!$CF112</f>
        <v>#DIV/0!</v>
      </c>
      <c r="C472" s="119">
        <v>291.99</v>
      </c>
      <c r="D472" s="119">
        <v>31.92</v>
      </c>
      <c r="E472" s="122" t="e">
        <f t="shared" si="78"/>
        <v>#DIV/0!</v>
      </c>
      <c r="F472" s="128" t="e">
        <f t="shared" si="73"/>
        <v>#DIV/0!</v>
      </c>
      <c r="G472" s="127" t="e">
        <f t="shared" si="75"/>
        <v>#DIV/0!</v>
      </c>
      <c r="J472" s="119">
        <v>9.39</v>
      </c>
      <c r="K472" s="119">
        <v>297.42</v>
      </c>
      <c r="L472" s="119">
        <v>28.93</v>
      </c>
      <c r="M472" s="119">
        <f t="shared" si="70"/>
        <v>0.33553999999999995</v>
      </c>
      <c r="N472" s="128">
        <f t="shared" si="71"/>
        <v>0.32721062275205282</v>
      </c>
      <c r="O472" s="124" t="e">
        <f t="shared" si="74"/>
        <v>#DIV/0!</v>
      </c>
      <c r="P472" s="124">
        <f t="shared" si="74"/>
        <v>5.4300000000000068</v>
      </c>
      <c r="Q472" s="124">
        <f t="shared" si="74"/>
        <v>-2.990000000000002</v>
      </c>
      <c r="U472" s="119">
        <v>9.5399999999999991</v>
      </c>
      <c r="V472" s="129" t="e">
        <f t="shared" si="67"/>
        <v>#DIV/0!</v>
      </c>
      <c r="W472" s="134" t="e">
        <f t="shared" si="76"/>
        <v>#DIV/0!</v>
      </c>
      <c r="X472" s="135" t="e">
        <f t="shared" si="77"/>
        <v>#DIV/0!</v>
      </c>
      <c r="Y472" s="134"/>
      <c r="Z472" s="135">
        <v>37.046799999999998</v>
      </c>
      <c r="AA472" s="136">
        <f t="shared" si="68"/>
        <v>4.3683999999999941</v>
      </c>
      <c r="AB472" s="131">
        <v>32.678400000000003</v>
      </c>
      <c r="AC472" s="131">
        <f t="shared" si="69"/>
        <v>3.7484000000000037</v>
      </c>
      <c r="AD472" s="131">
        <v>30.983599999999999</v>
      </c>
      <c r="AE472" s="131">
        <f t="shared" ref="AE472:AE535" si="79">AF472-AD472</f>
        <v>2.8553000000000033</v>
      </c>
      <c r="AF472" s="131">
        <v>33.838900000000002</v>
      </c>
      <c r="AG472" s="130">
        <f>'[6]Monthly Palm Oil'!$D99</f>
        <v>3599.2352941176468</v>
      </c>
      <c r="AH472" s="131">
        <f>'[6]Monthly Palm Oil'!$X99</f>
        <v>50.69892975697379</v>
      </c>
      <c r="AI472" s="131">
        <f t="shared" si="72"/>
        <v>-14.988929756973789</v>
      </c>
    </row>
    <row r="473" spans="1:35">
      <c r="A473" s="99">
        <v>39873</v>
      </c>
      <c r="B473" s="119" t="e">
        <f>'[4]Monthly Prices'!$CF113</f>
        <v>#DIV/0!</v>
      </c>
      <c r="C473" s="119">
        <v>281.2</v>
      </c>
      <c r="D473" s="119">
        <v>31.56</v>
      </c>
      <c r="E473" s="122" t="e">
        <f t="shared" si="78"/>
        <v>#DIV/0!</v>
      </c>
      <c r="F473" s="128" t="e">
        <f t="shared" si="73"/>
        <v>#DIV/0!</v>
      </c>
      <c r="G473" s="127" t="e">
        <f t="shared" si="75"/>
        <v>#DIV/0!</v>
      </c>
      <c r="J473" s="119">
        <v>9.17</v>
      </c>
      <c r="K473" s="119">
        <v>292.22000000000003</v>
      </c>
      <c r="L473" s="119">
        <v>28.23</v>
      </c>
      <c r="M473" s="119">
        <f t="shared" si="70"/>
        <v>0.3641400000000008</v>
      </c>
      <c r="N473" s="128">
        <f t="shared" si="71"/>
        <v>0.32570320972840755</v>
      </c>
      <c r="O473" s="124" t="e">
        <f t="shared" si="74"/>
        <v>#DIV/0!</v>
      </c>
      <c r="P473" s="124">
        <f t="shared" si="74"/>
        <v>11.020000000000039</v>
      </c>
      <c r="Q473" s="124">
        <f t="shared" si="74"/>
        <v>-3.3299999999999983</v>
      </c>
      <c r="R473" s="124">
        <f>AVERAGE(J471:J473)</f>
        <v>9.49</v>
      </c>
      <c r="S473" s="124">
        <f>AVERAGE(K471:K473)</f>
        <v>298.83</v>
      </c>
      <c r="T473" s="124">
        <f>AVERAGE(L471:L473)</f>
        <v>29.77333333333333</v>
      </c>
      <c r="U473" s="119">
        <v>9.1199999999999992</v>
      </c>
      <c r="V473" s="129" t="e">
        <f t="shared" si="67"/>
        <v>#DIV/0!</v>
      </c>
      <c r="W473" s="134" t="e">
        <f t="shared" si="76"/>
        <v>#DIV/0!</v>
      </c>
      <c r="X473" s="135" t="e">
        <f t="shared" si="77"/>
        <v>#DIV/0!</v>
      </c>
      <c r="Y473" s="134"/>
      <c r="Z473" s="135">
        <v>36.049999999999997</v>
      </c>
      <c r="AA473" s="136">
        <f t="shared" si="68"/>
        <v>4.5340999999999987</v>
      </c>
      <c r="AB473" s="131">
        <v>31.515899999999998</v>
      </c>
      <c r="AC473" s="131">
        <f t="shared" si="69"/>
        <v>3.285899999999998</v>
      </c>
      <c r="AD473" s="131">
        <v>32.615400000000001</v>
      </c>
      <c r="AE473" s="131">
        <f t="shared" si="79"/>
        <v>1.0726999999999975</v>
      </c>
      <c r="AF473" s="131">
        <v>33.688099999999999</v>
      </c>
      <c r="AG473" s="130">
        <f>'[6]Monthly Palm Oil'!$D100</f>
        <v>3710.2105263157896</v>
      </c>
      <c r="AH473" s="131">
        <f>'[6]Monthly Palm Oil'!$X100</f>
        <v>52.842290190528971</v>
      </c>
      <c r="AI473" s="131">
        <f t="shared" si="72"/>
        <v>-14.352290190528969</v>
      </c>
    </row>
    <row r="474" spans="1:35">
      <c r="A474" s="99">
        <v>39904</v>
      </c>
      <c r="B474" s="119" t="e">
        <f>'[4]Monthly Prices'!$CF114</f>
        <v>#DIV/0!</v>
      </c>
      <c r="C474" s="119">
        <v>317.12</v>
      </c>
      <c r="D474" s="119">
        <v>35.71</v>
      </c>
      <c r="E474" s="122" t="e">
        <f t="shared" si="78"/>
        <v>#DIV/0!</v>
      </c>
      <c r="F474" s="128" t="e">
        <f t="shared" si="73"/>
        <v>#DIV/0!</v>
      </c>
      <c r="G474" s="127" t="e">
        <f t="shared" si="75"/>
        <v>#DIV/0!</v>
      </c>
      <c r="J474" s="119">
        <v>10.26</v>
      </c>
      <c r="K474" s="119">
        <v>324.27</v>
      </c>
      <c r="L474" s="119">
        <v>32.76</v>
      </c>
      <c r="M474" s="119">
        <f t="shared" si="70"/>
        <v>0.47753999999999941</v>
      </c>
      <c r="N474" s="128">
        <f t="shared" si="71"/>
        <v>0.3356075972708833</v>
      </c>
      <c r="O474" s="124" t="e">
        <f t="shared" si="74"/>
        <v>#DIV/0!</v>
      </c>
      <c r="P474" s="124">
        <f t="shared" si="74"/>
        <v>7.1499999999999773</v>
      </c>
      <c r="Q474" s="124">
        <f t="shared" si="74"/>
        <v>-2.9500000000000028</v>
      </c>
      <c r="U474" s="119">
        <v>9.7899999999999991</v>
      </c>
      <c r="V474" s="129" t="e">
        <f t="shared" si="67"/>
        <v>#DIV/0!</v>
      </c>
      <c r="W474" s="134" t="e">
        <f t="shared" si="76"/>
        <v>#DIV/0!</v>
      </c>
      <c r="X474" s="135" t="e">
        <f t="shared" si="77"/>
        <v>#DIV/0!</v>
      </c>
      <c r="Y474" s="134"/>
      <c r="Z474" s="135">
        <v>40.263300000000001</v>
      </c>
      <c r="AA474" s="136">
        <f t="shared" si="68"/>
        <v>4.5519000000000034</v>
      </c>
      <c r="AB474" s="131">
        <v>35.711399999999998</v>
      </c>
      <c r="AC474" s="131">
        <f t="shared" si="69"/>
        <v>2.9513999999999996</v>
      </c>
      <c r="AD474" s="131">
        <v>38.480400000000003</v>
      </c>
      <c r="AE474" s="131">
        <f t="shared" si="79"/>
        <v>0.27379999999999427</v>
      </c>
      <c r="AF474" s="131">
        <v>38.754199999999997</v>
      </c>
      <c r="AG474" s="130">
        <f>'[6]Monthly Palm Oil'!$D101</f>
        <v>3438.7727272727275</v>
      </c>
      <c r="AH474" s="131">
        <f>'[6]Monthly Palm Oil'!$X101</f>
        <v>49.35390533585268</v>
      </c>
      <c r="AI474" s="131">
        <f t="shared" si="72"/>
        <v>-11.623905335852683</v>
      </c>
    </row>
    <row r="475" spans="1:35">
      <c r="A475" s="99">
        <v>39934</v>
      </c>
      <c r="B475" s="119" t="e">
        <f>'[4]Monthly Prices'!$CF115</f>
        <v>#DIV/0!</v>
      </c>
      <c r="C475" s="119">
        <v>361.8</v>
      </c>
      <c r="D475" s="119">
        <v>38.49</v>
      </c>
      <c r="E475" s="122" t="e">
        <f t="shared" si="78"/>
        <v>#DIV/0!</v>
      </c>
      <c r="F475" s="128" t="e">
        <f t="shared" si="73"/>
        <v>#DIV/0!</v>
      </c>
      <c r="G475" s="127" t="e">
        <f t="shared" si="75"/>
        <v>#DIV/0!</v>
      </c>
      <c r="J475" s="119">
        <v>11.67</v>
      </c>
      <c r="K475" s="119">
        <v>380.37</v>
      </c>
      <c r="L475" s="119">
        <v>36.06</v>
      </c>
      <c r="M475" s="119">
        <f t="shared" si="70"/>
        <v>0.66474000000000011</v>
      </c>
      <c r="N475" s="128">
        <f t="shared" si="71"/>
        <v>0.32157953876611917</v>
      </c>
      <c r="O475" s="124" t="e">
        <f t="shared" si="74"/>
        <v>#DIV/0!</v>
      </c>
      <c r="P475" s="124">
        <f t="shared" si="74"/>
        <v>18.569999999999993</v>
      </c>
      <c r="Q475" s="124">
        <f t="shared" si="74"/>
        <v>-2.4299999999999997</v>
      </c>
      <c r="U475" s="119">
        <v>10.7</v>
      </c>
      <c r="V475" s="129" t="e">
        <f t="shared" ref="V475:V538" si="80">U475-B475</f>
        <v>#DIV/0!</v>
      </c>
      <c r="W475" s="134" t="e">
        <f t="shared" si="76"/>
        <v>#DIV/0!</v>
      </c>
      <c r="X475" s="135" t="e">
        <f t="shared" si="77"/>
        <v>#DIV/0!</v>
      </c>
      <c r="Y475" s="134"/>
      <c r="Z475" s="135">
        <v>43.67</v>
      </c>
      <c r="AA475" s="136">
        <f t="shared" si="68"/>
        <v>4.5159999999999982</v>
      </c>
      <c r="AB475" s="131">
        <v>39.154000000000003</v>
      </c>
      <c r="AC475" s="131">
        <f t="shared" si="69"/>
        <v>3.0940000000000012</v>
      </c>
      <c r="AD475" s="131">
        <v>41.619</v>
      </c>
      <c r="AE475" s="131">
        <f t="shared" si="79"/>
        <v>0.48499999999999943</v>
      </c>
      <c r="AF475" s="131">
        <v>42.103999999999999</v>
      </c>
      <c r="AG475" s="130">
        <f>'[6]Monthly Palm Oil'!$D102</f>
        <v>3522.6842105263158</v>
      </c>
      <c r="AH475" s="131">
        <f>'[6]Monthly Palm Oil'!$X102</f>
        <v>49.687208117989961</v>
      </c>
      <c r="AI475" s="131">
        <f t="shared" si="72"/>
        <v>-15.58720811798996</v>
      </c>
    </row>
    <row r="476" spans="1:35">
      <c r="A476" s="99">
        <v>39965</v>
      </c>
      <c r="B476" s="119" t="e">
        <f>'[4]Monthly Prices'!$CF116</f>
        <v>#DIV/0!</v>
      </c>
      <c r="C476" s="119">
        <v>400.72</v>
      </c>
      <c r="D476" s="119">
        <v>37.729999999999997</v>
      </c>
      <c r="E476" s="122" t="e">
        <f t="shared" si="78"/>
        <v>#DIV/0!</v>
      </c>
      <c r="F476" s="128" t="e">
        <f t="shared" si="73"/>
        <v>#DIV/0!</v>
      </c>
      <c r="G476" s="127" t="e">
        <f t="shared" si="75"/>
        <v>#DIV/0!</v>
      </c>
      <c r="J476" s="119">
        <v>12.37</v>
      </c>
      <c r="K476" s="119">
        <v>418.47</v>
      </c>
      <c r="L476" s="119">
        <v>35.659999999999997</v>
      </c>
      <c r="M476" s="119">
        <f t="shared" si="70"/>
        <v>0.75894000000000084</v>
      </c>
      <c r="N476" s="128">
        <f t="shared" si="71"/>
        <v>0.29877507247348223</v>
      </c>
      <c r="O476" s="124" t="e">
        <f t="shared" si="74"/>
        <v>#DIV/0!</v>
      </c>
      <c r="P476" s="124">
        <f t="shared" si="74"/>
        <v>17.75</v>
      </c>
      <c r="Q476" s="124">
        <f t="shared" si="74"/>
        <v>-2.0700000000000003</v>
      </c>
      <c r="R476" s="124">
        <f>AVERAGE(J474:J476)</f>
        <v>11.433333333333332</v>
      </c>
      <c r="S476" s="124">
        <f>AVERAGE(K474:K476)</f>
        <v>374.37000000000006</v>
      </c>
      <c r="T476" s="124">
        <f>AVERAGE(L474:L476)</f>
        <v>34.826666666666661</v>
      </c>
      <c r="U476" s="119">
        <v>11.4</v>
      </c>
      <c r="V476" s="129" t="e">
        <f t="shared" si="80"/>
        <v>#DIV/0!</v>
      </c>
      <c r="W476" s="134" t="e">
        <f t="shared" si="76"/>
        <v>#DIV/0!</v>
      </c>
      <c r="X476" s="135" t="e">
        <f t="shared" si="77"/>
        <v>#DIV/0!</v>
      </c>
      <c r="Y476" s="134"/>
      <c r="Z476" s="135">
        <v>44.089500000000001</v>
      </c>
      <c r="AA476" s="136">
        <f t="shared" si="68"/>
        <v>5.3635999999999981</v>
      </c>
      <c r="AB476" s="131">
        <v>38.725900000000003</v>
      </c>
      <c r="AC476" s="131">
        <f t="shared" si="69"/>
        <v>3.0659000000000063</v>
      </c>
      <c r="AD476" s="131">
        <v>38.378999999999998</v>
      </c>
      <c r="AE476" s="131">
        <f t="shared" si="79"/>
        <v>2.6878000000000029</v>
      </c>
      <c r="AF476" s="131">
        <v>41.066800000000001</v>
      </c>
      <c r="AG476" s="130">
        <f>'[6]Monthly Palm Oil'!$D103</f>
        <v>3582.5714285714284</v>
      </c>
      <c r="AH476" s="131">
        <f>'[6]Monthly Palm Oil'!$X103</f>
        <v>49.912846123893878</v>
      </c>
      <c r="AI476" s="131">
        <f t="shared" si="72"/>
        <v>-13.132846123893877</v>
      </c>
    </row>
    <row r="477" spans="1:35">
      <c r="A477" s="99">
        <v>39995</v>
      </c>
      <c r="B477" s="119" t="e">
        <f>'[4]Monthly Prices'!$CF117</f>
        <v>#DIV/0!</v>
      </c>
      <c r="C477" s="119">
        <v>339.19</v>
      </c>
      <c r="D477" s="119">
        <v>34.1</v>
      </c>
      <c r="E477" s="122" t="e">
        <f t="shared" si="78"/>
        <v>#DIV/0!</v>
      </c>
      <c r="F477" s="128" t="e">
        <f t="shared" si="73"/>
        <v>#DIV/0!</v>
      </c>
      <c r="G477" s="127" t="e">
        <f t="shared" si="75"/>
        <v>#DIV/0!</v>
      </c>
      <c r="J477" s="119">
        <v>10.96</v>
      </c>
      <c r="K477" s="119">
        <v>373.18</v>
      </c>
      <c r="L477" s="119">
        <v>31.08</v>
      </c>
      <c r="M477" s="119">
        <f t="shared" si="70"/>
        <v>0.66875999999999891</v>
      </c>
      <c r="N477" s="128">
        <f t="shared" si="71"/>
        <v>0.29399523250974308</v>
      </c>
      <c r="O477" s="124" t="e">
        <f t="shared" si="74"/>
        <v>#DIV/0!</v>
      </c>
      <c r="P477" s="124">
        <f t="shared" si="74"/>
        <v>33.990000000000009</v>
      </c>
      <c r="Q477" s="124">
        <f t="shared" si="74"/>
        <v>-3.0200000000000031</v>
      </c>
      <c r="U477" s="119">
        <v>10.8</v>
      </c>
      <c r="V477" s="129" t="e">
        <f t="shared" si="80"/>
        <v>#DIV/0!</v>
      </c>
      <c r="W477" s="134" t="e">
        <f t="shared" si="76"/>
        <v>#DIV/0!</v>
      </c>
      <c r="X477" s="135" t="e">
        <f t="shared" si="77"/>
        <v>#DIV/0!</v>
      </c>
      <c r="Y477" s="134"/>
      <c r="Z477" s="135">
        <v>41.892200000000003</v>
      </c>
      <c r="AA477" s="136">
        <f t="shared" si="68"/>
        <v>7.0909000000000049</v>
      </c>
      <c r="AB477" s="131">
        <v>34.801299999999998</v>
      </c>
      <c r="AC477" s="131">
        <f t="shared" si="69"/>
        <v>3.7212999999999994</v>
      </c>
      <c r="AD477" s="131">
        <v>34.329000000000001</v>
      </c>
      <c r="AE477" s="131">
        <f t="shared" si="79"/>
        <v>2.3813999999999993</v>
      </c>
      <c r="AF477" s="131">
        <v>36.7104</v>
      </c>
      <c r="AG477" s="130">
        <f>'[6]Monthly Palm Oil'!$D104</f>
        <v>3340.6363636363635</v>
      </c>
      <c r="AH477" s="131">
        <f>'[6]Monthly Palm Oil'!$X104</f>
        <v>46.655516482797566</v>
      </c>
      <c r="AI477" s="131">
        <f t="shared" si="72"/>
        <v>-12.585516482797566</v>
      </c>
    </row>
    <row r="478" spans="1:35">
      <c r="A478" s="99">
        <v>40026</v>
      </c>
      <c r="B478" s="119" t="e">
        <f>'[4]Monthly Prices'!$CF118</f>
        <v>#DIV/0!</v>
      </c>
      <c r="C478" s="119">
        <v>342.47</v>
      </c>
      <c r="D478" s="119">
        <v>36.78</v>
      </c>
      <c r="E478" s="122" t="e">
        <f t="shared" si="78"/>
        <v>#DIV/0!</v>
      </c>
      <c r="F478" s="128" t="e">
        <f t="shared" si="73"/>
        <v>#DIV/0!</v>
      </c>
      <c r="G478" s="127" t="e">
        <f t="shared" si="75"/>
        <v>#DIV/0!</v>
      </c>
      <c r="J478" s="119">
        <v>11.36</v>
      </c>
      <c r="K478" s="119">
        <v>405.27</v>
      </c>
      <c r="L478" s="119">
        <v>33.69</v>
      </c>
      <c r="M478" s="119">
        <f t="shared" si="70"/>
        <v>1.2618399999999994</v>
      </c>
      <c r="N478" s="128">
        <f t="shared" si="71"/>
        <v>0.29361012340514536</v>
      </c>
      <c r="O478" s="124" t="e">
        <f t="shared" si="74"/>
        <v>#DIV/0!</v>
      </c>
      <c r="P478" s="124">
        <f t="shared" si="74"/>
        <v>62.799999999999955</v>
      </c>
      <c r="Q478" s="124">
        <f t="shared" si="74"/>
        <v>-3.0900000000000034</v>
      </c>
      <c r="U478" s="119">
        <v>10.8</v>
      </c>
      <c r="V478" s="129" t="e">
        <f t="shared" si="80"/>
        <v>#DIV/0!</v>
      </c>
      <c r="W478" s="134" t="e">
        <f t="shared" si="76"/>
        <v>#DIV/0!</v>
      </c>
      <c r="X478" s="135" t="e">
        <f t="shared" si="77"/>
        <v>#DIV/0!</v>
      </c>
      <c r="Y478" s="134"/>
      <c r="Z478" s="135">
        <v>45.4833</v>
      </c>
      <c r="AA478" s="136">
        <f t="shared" si="68"/>
        <v>8.7571999999999974</v>
      </c>
      <c r="AB478" s="131">
        <v>36.726100000000002</v>
      </c>
      <c r="AC478" s="131">
        <f t="shared" si="69"/>
        <v>3.0361000000000047</v>
      </c>
      <c r="AD478" s="131">
        <v>37.963299999999997</v>
      </c>
      <c r="AE478" s="131">
        <f t="shared" si="79"/>
        <v>1.5367000000000033</v>
      </c>
      <c r="AF478" s="131">
        <v>39.5</v>
      </c>
      <c r="AG478" s="130">
        <f>'[6]Monthly Palm Oil'!$D105</f>
        <v>2635.1428571428573</v>
      </c>
      <c r="AH478" s="131">
        <f>'[6]Monthly Palm Oil'!$X105</f>
        <v>35.94615826376009</v>
      </c>
      <c r="AI478" s="131">
        <f t="shared" si="72"/>
        <v>0.36384173623991245</v>
      </c>
    </row>
    <row r="479" spans="1:35">
      <c r="A479" s="99">
        <v>40057</v>
      </c>
      <c r="B479" s="119" t="e">
        <f>'[4]Monthly Prices'!$CF119</f>
        <v>#DIV/0!</v>
      </c>
      <c r="C479" s="119">
        <v>289.79000000000002</v>
      </c>
      <c r="D479" s="119">
        <v>34.07</v>
      </c>
      <c r="E479" s="122" t="e">
        <f t="shared" si="78"/>
        <v>#DIV/0!</v>
      </c>
      <c r="F479" s="128" t="e">
        <f t="shared" si="73"/>
        <v>#DIV/0!</v>
      </c>
      <c r="G479" s="127" t="e">
        <f t="shared" si="75"/>
        <v>#DIV/0!</v>
      </c>
      <c r="J479" s="119">
        <v>10.119999999999999</v>
      </c>
      <c r="K479" s="119">
        <v>379.68</v>
      </c>
      <c r="L479" s="119">
        <v>30.96</v>
      </c>
      <c r="M479" s="119">
        <f t="shared" si="70"/>
        <v>1.63856</v>
      </c>
      <c r="N479" s="128">
        <f t="shared" si="71"/>
        <v>0.28962730130220027</v>
      </c>
      <c r="O479" s="124" t="e">
        <f t="shared" si="74"/>
        <v>#DIV/0!</v>
      </c>
      <c r="P479" s="124">
        <f t="shared" si="74"/>
        <v>89.889999999999986</v>
      </c>
      <c r="Q479" s="124">
        <f t="shared" si="74"/>
        <v>-3.1099999999999994</v>
      </c>
      <c r="R479" s="124">
        <f>AVERAGE(J477:J479)</f>
        <v>10.813333333333333</v>
      </c>
      <c r="S479" s="124">
        <f>AVERAGE(K477:K479)</f>
        <v>386.04333333333335</v>
      </c>
      <c r="T479" s="124">
        <f>AVERAGE(L477:L479)</f>
        <v>31.909999999999997</v>
      </c>
      <c r="U479" s="119">
        <v>9.75</v>
      </c>
      <c r="V479" s="129" t="e">
        <f t="shared" si="80"/>
        <v>#DIV/0!</v>
      </c>
      <c r="W479" s="134" t="e">
        <f t="shared" si="76"/>
        <v>#DIV/0!</v>
      </c>
      <c r="X479" s="135" t="e">
        <f t="shared" si="77"/>
        <v>#DIV/0!</v>
      </c>
      <c r="Y479" s="134"/>
      <c r="Z479" s="135">
        <v>41.8309</v>
      </c>
      <c r="AA479" s="136">
        <f t="shared" si="68"/>
        <v>7.7789999999999964</v>
      </c>
      <c r="AB479" s="131">
        <v>34.051900000000003</v>
      </c>
      <c r="AC479" s="131">
        <f t="shared" si="69"/>
        <v>3.0919000000000025</v>
      </c>
      <c r="AD479" s="131">
        <v>35.485700000000001</v>
      </c>
      <c r="AE479" s="131">
        <f t="shared" si="79"/>
        <v>2.1614000000000004</v>
      </c>
      <c r="AF479" s="131">
        <v>37.647100000000002</v>
      </c>
      <c r="AG479" s="130">
        <f>'[6]Monthly Palm Oil'!$D106</f>
        <v>2303.5714285714284</v>
      </c>
      <c r="AH479" s="131">
        <f>'[6]Monthly Palm Oil'!$X106</f>
        <v>30.35630291038008</v>
      </c>
      <c r="AI479" s="131">
        <f t="shared" si="72"/>
        <v>8.3936970896199199</v>
      </c>
    </row>
    <row r="480" spans="1:35">
      <c r="A480" s="99">
        <v>40087</v>
      </c>
      <c r="B480" s="119" t="e">
        <f>'[4]Monthly Prices'!$CF120</f>
        <v>#DIV/0!</v>
      </c>
      <c r="C480" s="119">
        <v>292.47000000000003</v>
      </c>
      <c r="D480" s="119">
        <v>36.31</v>
      </c>
      <c r="E480" s="122" t="e">
        <f t="shared" si="78"/>
        <v>#DIV/0!</v>
      </c>
      <c r="F480" s="128" t="e">
        <f t="shared" si="73"/>
        <v>#DIV/0!</v>
      </c>
      <c r="G480" s="127" t="e">
        <f t="shared" si="75"/>
        <v>#DIV/0!</v>
      </c>
      <c r="J480" s="119">
        <v>9.7899999999999991</v>
      </c>
      <c r="K480" s="119">
        <v>325.69</v>
      </c>
      <c r="L480" s="119">
        <v>33.15</v>
      </c>
      <c r="M480" s="119">
        <f t="shared" si="70"/>
        <v>1.0216799999999999</v>
      </c>
      <c r="N480" s="128">
        <f t="shared" si="71"/>
        <v>0.33727413315969396</v>
      </c>
      <c r="O480" s="124" t="e">
        <f t="shared" si="74"/>
        <v>#DIV/0!</v>
      </c>
      <c r="P480" s="124">
        <f t="shared" si="74"/>
        <v>33.21999999999997</v>
      </c>
      <c r="Q480" s="124">
        <f t="shared" si="74"/>
        <v>-3.1600000000000037</v>
      </c>
      <c r="U480" s="119">
        <v>9.43</v>
      </c>
      <c r="V480" s="129" t="e">
        <f t="shared" si="80"/>
        <v>#DIV/0!</v>
      </c>
      <c r="W480" s="134" t="e">
        <f t="shared" si="76"/>
        <v>#DIV/0!</v>
      </c>
      <c r="X480" s="135" t="e">
        <f t="shared" si="77"/>
        <v>#DIV/0!</v>
      </c>
      <c r="Y480" s="134"/>
      <c r="Z480" s="135">
        <v>43.594999999999999</v>
      </c>
      <c r="AA480" s="136">
        <f t="shared" ref="AA480:AA543" si="81">Z480-AB480</f>
        <v>7.4350000000000023</v>
      </c>
      <c r="AB480" s="131">
        <v>36.159999999999997</v>
      </c>
      <c r="AC480" s="131">
        <f t="shared" ref="AC480:AC543" si="82">AB480-L480</f>
        <v>3.009999999999998</v>
      </c>
      <c r="AD480" s="131">
        <v>35.708599999999997</v>
      </c>
      <c r="AE480" s="131">
        <f t="shared" si="79"/>
        <v>4.3150000000000048</v>
      </c>
      <c r="AF480" s="131">
        <v>40.023600000000002</v>
      </c>
      <c r="AG480" s="130">
        <f>'[6]Monthly Palm Oil'!$D107</f>
        <v>1681.25</v>
      </c>
      <c r="AH480" s="131">
        <f>'[6]Monthly Palm Oil'!$X107</f>
        <v>21.660279520184293</v>
      </c>
      <c r="AI480" s="131">
        <f t="shared" si="72"/>
        <v>17.839720479815707</v>
      </c>
    </row>
    <row r="481" spans="1:35">
      <c r="A481" s="99">
        <v>40118</v>
      </c>
      <c r="B481" s="119" t="e">
        <f>'[4]Monthly Prices'!$CF121</f>
        <v>#DIV/0!</v>
      </c>
      <c r="C481" s="119">
        <v>306.3</v>
      </c>
      <c r="D481" s="119">
        <v>38.75</v>
      </c>
      <c r="E481" s="122" t="e">
        <f t="shared" si="78"/>
        <v>#DIV/0!</v>
      </c>
      <c r="F481" s="128" t="e">
        <f t="shared" si="73"/>
        <v>#DIV/0!</v>
      </c>
      <c r="G481" s="127" t="e">
        <f t="shared" si="75"/>
        <v>#DIV/0!</v>
      </c>
      <c r="J481" s="119">
        <v>10.09</v>
      </c>
      <c r="K481" s="119">
        <v>328.18</v>
      </c>
      <c r="L481" s="119">
        <v>36.590000000000003</v>
      </c>
      <c r="M481" s="119">
        <f t="shared" si="70"/>
        <v>1.1548600000000011</v>
      </c>
      <c r="N481" s="128">
        <f t="shared" si="71"/>
        <v>0.35793242423649563</v>
      </c>
      <c r="O481" s="124" t="e">
        <f t="shared" si="74"/>
        <v>#DIV/0!</v>
      </c>
      <c r="P481" s="124">
        <f t="shared" si="74"/>
        <v>21.879999999999995</v>
      </c>
      <c r="Q481" s="124">
        <f t="shared" si="74"/>
        <v>-2.1599999999999966</v>
      </c>
      <c r="U481" s="119">
        <v>9.5299999999999994</v>
      </c>
      <c r="V481" s="129" t="e">
        <f t="shared" si="80"/>
        <v>#DIV/0!</v>
      </c>
      <c r="W481" s="134" t="e">
        <f t="shared" si="76"/>
        <v>#DIV/0!</v>
      </c>
      <c r="X481" s="135" t="e">
        <f t="shared" si="77"/>
        <v>#DIV/0!</v>
      </c>
      <c r="Y481" s="134"/>
      <c r="Z481" s="135">
        <v>46.622500000000002</v>
      </c>
      <c r="AA481" s="136">
        <f t="shared" si="81"/>
        <v>6.9500000000000028</v>
      </c>
      <c r="AB481" s="131">
        <v>39.672499999999999</v>
      </c>
      <c r="AC481" s="131">
        <f t="shared" si="82"/>
        <v>3.082499999999996</v>
      </c>
      <c r="AD481" s="131">
        <v>37.069499999999998</v>
      </c>
      <c r="AE481" s="131">
        <f t="shared" si="79"/>
        <v>5.0405000000000015</v>
      </c>
      <c r="AF481" s="131">
        <v>42.11</v>
      </c>
      <c r="AG481" s="130">
        <f>'[6]Monthly Palm Oil'!$D108</f>
        <v>1541.8421052631579</v>
      </c>
      <c r="AH481" s="131">
        <f>'[6]Monthly Palm Oil'!$X108</f>
        <v>19.520635632849171</v>
      </c>
      <c r="AI481" s="131">
        <f t="shared" si="72"/>
        <v>18.709364367150826</v>
      </c>
    </row>
    <row r="482" spans="1:35">
      <c r="A482" s="99">
        <v>40148</v>
      </c>
      <c r="B482" s="119" t="e">
        <f>'[4]Monthly Prices'!$CF122</f>
        <v>#DIV/0!</v>
      </c>
      <c r="C482" s="119">
        <v>309.23</v>
      </c>
      <c r="D482" s="119">
        <v>39.5</v>
      </c>
      <c r="E482" s="122" t="e">
        <f t="shared" si="78"/>
        <v>#DIV/0!</v>
      </c>
      <c r="F482" s="128" t="e">
        <f t="shared" si="73"/>
        <v>#DIV/0!</v>
      </c>
      <c r="G482" s="127" t="e">
        <f t="shared" si="75"/>
        <v>#DIV/0!</v>
      </c>
      <c r="J482" s="119">
        <v>10.34</v>
      </c>
      <c r="K482" s="119">
        <v>333.93</v>
      </c>
      <c r="L482" s="119">
        <v>36.81</v>
      </c>
      <c r="M482" s="119">
        <f t="shared" si="70"/>
        <v>1.0555599999999998</v>
      </c>
      <c r="N482" s="128">
        <f t="shared" si="71"/>
        <v>0.35532259932815941</v>
      </c>
      <c r="O482" s="124" t="e">
        <f t="shared" si="74"/>
        <v>#DIV/0!</v>
      </c>
      <c r="P482" s="124">
        <f t="shared" si="74"/>
        <v>24.699999999999989</v>
      </c>
      <c r="Q482" s="124">
        <f t="shared" si="74"/>
        <v>-2.6899999999999977</v>
      </c>
      <c r="R482" s="124">
        <f>AVERAGE(J480:J482)</f>
        <v>10.073333333333332</v>
      </c>
      <c r="S482" s="124">
        <f>AVERAGE(K480:K482)</f>
        <v>329.26666666666665</v>
      </c>
      <c r="T482" s="124">
        <f>AVERAGE(L480:L482)</f>
        <v>35.516666666666673</v>
      </c>
      <c r="U482" s="119">
        <v>9.8000000000000007</v>
      </c>
      <c r="V482" s="129" t="e">
        <f t="shared" si="80"/>
        <v>#DIV/0!</v>
      </c>
      <c r="W482" s="134" t="e">
        <f t="shared" si="76"/>
        <v>#DIV/0!</v>
      </c>
      <c r="X482" s="135" t="e">
        <f t="shared" si="77"/>
        <v>#DIV/0!</v>
      </c>
      <c r="Y482" s="134"/>
      <c r="Z482" s="135">
        <v>47.033099999999997</v>
      </c>
      <c r="AA482" s="136">
        <f t="shared" si="81"/>
        <v>7.2804000000000002</v>
      </c>
      <c r="AB482" s="131">
        <v>39.752699999999997</v>
      </c>
      <c r="AC482" s="131">
        <f t="shared" si="82"/>
        <v>2.942699999999995</v>
      </c>
      <c r="AD482" s="131">
        <v>39.846299999999999</v>
      </c>
      <c r="AE482" s="131">
        <f t="shared" si="79"/>
        <v>2.5981999999999985</v>
      </c>
      <c r="AF482" s="131">
        <v>42.444499999999998</v>
      </c>
      <c r="AG482" s="130">
        <f>'[6]Monthly Palm Oil'!$D109</f>
        <v>1575.9</v>
      </c>
      <c r="AH482" s="131">
        <f>'[6]Monthly Palm Oil'!$X109</f>
        <v>20.161934243997269</v>
      </c>
      <c r="AI482" s="131">
        <f t="shared" si="72"/>
        <v>17.958065756002728</v>
      </c>
    </row>
    <row r="483" spans="1:35">
      <c r="A483" s="99">
        <v>40179</v>
      </c>
      <c r="B483" s="119" t="e">
        <f>'[4]Monthly Prices'!$CF123</f>
        <v>#DIV/0!</v>
      </c>
      <c r="C483" s="119">
        <v>291.58</v>
      </c>
      <c r="D483" s="119">
        <v>38.229999999999997</v>
      </c>
      <c r="E483" s="122" t="e">
        <f t="shared" si="78"/>
        <v>#DIV/0!</v>
      </c>
      <c r="F483" s="128" t="e">
        <f t="shared" si="73"/>
        <v>#DIV/0!</v>
      </c>
      <c r="G483" s="127" t="e">
        <f t="shared" si="75"/>
        <v>#DIV/0!</v>
      </c>
      <c r="J483" s="119">
        <v>9.84</v>
      </c>
      <c r="K483" s="119">
        <v>314.23</v>
      </c>
      <c r="L483" s="119">
        <v>34.880000000000003</v>
      </c>
      <c r="M483" s="119">
        <f t="shared" si="70"/>
        <v>0.90986000000000011</v>
      </c>
      <c r="N483" s="128">
        <f t="shared" si="71"/>
        <v>0.35691627611894483</v>
      </c>
      <c r="O483" s="124" t="e">
        <f t="shared" si="74"/>
        <v>#DIV/0!</v>
      </c>
      <c r="P483" s="124">
        <f t="shared" si="74"/>
        <v>22.650000000000034</v>
      </c>
      <c r="Q483" s="124">
        <f t="shared" si="74"/>
        <v>-3.3499999999999943</v>
      </c>
      <c r="U483" s="119">
        <v>9.7899999999999991</v>
      </c>
      <c r="V483" s="129" t="e">
        <f t="shared" si="80"/>
        <v>#DIV/0!</v>
      </c>
      <c r="W483" s="134" t="e">
        <f t="shared" si="76"/>
        <v>#DIV/0!</v>
      </c>
      <c r="X483" s="135" t="e">
        <f t="shared" si="77"/>
        <v>#DIV/0!</v>
      </c>
      <c r="Y483" s="134"/>
      <c r="Z483" s="135">
        <v>44.061</v>
      </c>
      <c r="AA483" s="136">
        <f t="shared" si="81"/>
        <v>7.1058000000000021</v>
      </c>
      <c r="AB483" s="131">
        <v>36.955199999999998</v>
      </c>
      <c r="AC483" s="131">
        <f t="shared" si="82"/>
        <v>2.0751999999999953</v>
      </c>
      <c r="AD483" s="131">
        <v>40.177300000000002</v>
      </c>
      <c r="AE483" s="131">
        <f t="shared" si="79"/>
        <v>0.17269999999999897</v>
      </c>
      <c r="AF483" s="131">
        <v>40.35</v>
      </c>
      <c r="AG483" s="130">
        <f>'[6]Monthly Palm Oil'!$D110</f>
        <v>1850.5555555555557</v>
      </c>
      <c r="AH483" s="131">
        <f>'[6]Monthly Palm Oil'!$X110</f>
        <v>23.555271533784619</v>
      </c>
      <c r="AI483" s="131">
        <f t="shared" si="72"/>
        <v>16.034728466215384</v>
      </c>
    </row>
    <row r="484" spans="1:35">
      <c r="A484" s="99">
        <v>40210</v>
      </c>
      <c r="B484" s="119" t="e">
        <f>'[4]Monthly Prices'!$CF124</f>
        <v>#DIV/0!</v>
      </c>
      <c r="C484" s="119">
        <v>275.48</v>
      </c>
      <c r="D484" s="119">
        <v>38.119999999999997</v>
      </c>
      <c r="E484" s="122" t="e">
        <f t="shared" si="78"/>
        <v>#DIV/0!</v>
      </c>
      <c r="F484" s="128" t="e">
        <f t="shared" si="73"/>
        <v>#DIV/0!</v>
      </c>
      <c r="G484" s="127" t="e">
        <f t="shared" si="75"/>
        <v>#DIV/0!</v>
      </c>
      <c r="J484" s="119">
        <v>9.44</v>
      </c>
      <c r="K484" s="119">
        <v>295.79000000000002</v>
      </c>
      <c r="L484" s="119">
        <v>34.69</v>
      </c>
      <c r="M484" s="119">
        <f t="shared" si="70"/>
        <v>0.88328000000000095</v>
      </c>
      <c r="N484" s="128">
        <f t="shared" si="71"/>
        <v>0.36964026937175004</v>
      </c>
      <c r="O484" s="124" t="e">
        <f t="shared" si="74"/>
        <v>#DIV/0!</v>
      </c>
      <c r="P484" s="124">
        <f t="shared" si="74"/>
        <v>20.310000000000002</v>
      </c>
      <c r="Q484" s="124">
        <f t="shared" si="74"/>
        <v>-3.4299999999999997</v>
      </c>
      <c r="U484" s="119">
        <v>9.41</v>
      </c>
      <c r="V484" s="129" t="e">
        <f t="shared" si="80"/>
        <v>#DIV/0!</v>
      </c>
      <c r="W484" s="134" t="e">
        <f t="shared" si="76"/>
        <v>#DIV/0!</v>
      </c>
      <c r="X484" s="135" t="e">
        <f t="shared" si="77"/>
        <v>#DIV/0!</v>
      </c>
      <c r="Y484" s="134"/>
      <c r="Z484" s="135">
        <v>43.935699999999997</v>
      </c>
      <c r="AA484" s="136">
        <f t="shared" si="81"/>
        <v>7.2894000000000005</v>
      </c>
      <c r="AB484" s="131">
        <v>36.646299999999997</v>
      </c>
      <c r="AC484" s="131">
        <f t="shared" si="82"/>
        <v>1.9562999999999988</v>
      </c>
      <c r="AD484" s="131">
        <v>40.473100000000002</v>
      </c>
      <c r="AE484" s="131">
        <f t="shared" si="79"/>
        <v>-0.27420000000000044</v>
      </c>
      <c r="AF484" s="131">
        <v>40.198900000000002</v>
      </c>
      <c r="AG484" s="130">
        <f>'[6]Monthly Palm Oil'!$D111</f>
        <v>1888.4705882352941</v>
      </c>
      <c r="AH484" s="131">
        <f>'[6]Monthly Palm Oil'!$X111</f>
        <v>23.550665433761338</v>
      </c>
      <c r="AI484" s="131">
        <f t="shared" si="72"/>
        <v>15.819334566238659</v>
      </c>
    </row>
    <row r="485" spans="1:35">
      <c r="A485" s="99">
        <v>40238</v>
      </c>
      <c r="B485" s="119" t="e">
        <f>'[4]Monthly Prices'!$CF125</f>
        <v>#DIV/0!</v>
      </c>
      <c r="C485" s="119">
        <v>265.37</v>
      </c>
      <c r="D485" s="119">
        <v>39.590000000000003</v>
      </c>
      <c r="E485" s="122" t="e">
        <f t="shared" si="78"/>
        <v>#DIV/0!</v>
      </c>
      <c r="F485" s="128" t="e">
        <f t="shared" si="73"/>
        <v>#DIV/0!</v>
      </c>
      <c r="G485" s="127" t="e">
        <f t="shared" si="75"/>
        <v>#DIV/0!</v>
      </c>
      <c r="J485" s="119">
        <v>9.49</v>
      </c>
      <c r="K485" s="119">
        <v>277.61</v>
      </c>
      <c r="L485" s="119">
        <v>36.39</v>
      </c>
      <c r="M485" s="119">
        <f t="shared" si="70"/>
        <v>0.62032000000000131</v>
      </c>
      <c r="N485" s="128">
        <f t="shared" si="71"/>
        <v>0.39592218643920268</v>
      </c>
      <c r="O485" s="124" t="e">
        <f t="shared" si="74"/>
        <v>#DIV/0!</v>
      </c>
      <c r="P485" s="124">
        <f t="shared" si="74"/>
        <v>12.240000000000009</v>
      </c>
      <c r="Q485" s="124">
        <f t="shared" si="74"/>
        <v>-3.2000000000000028</v>
      </c>
      <c r="R485" s="124">
        <f>AVERAGE(J483:J485)</f>
        <v>9.5900000000000016</v>
      </c>
      <c r="S485" s="124">
        <f>AVERAGE(K483:K485)</f>
        <v>295.87666666666667</v>
      </c>
      <c r="T485" s="124">
        <f>AVERAGE(L483:L485)</f>
        <v>35.32</v>
      </c>
      <c r="U485" s="119">
        <v>9.39</v>
      </c>
      <c r="V485" s="129" t="e">
        <f t="shared" si="80"/>
        <v>#DIV/0!</v>
      </c>
      <c r="W485" s="134" t="e">
        <f t="shared" si="76"/>
        <v>#DIV/0!</v>
      </c>
      <c r="X485" s="135" t="e">
        <f t="shared" si="77"/>
        <v>#DIV/0!</v>
      </c>
      <c r="Y485" s="134"/>
      <c r="Z485" s="135">
        <v>44.695999999999998</v>
      </c>
      <c r="AA485" s="136">
        <f t="shared" si="81"/>
        <v>6.383899999999997</v>
      </c>
      <c r="AB485" s="131">
        <v>38.312100000000001</v>
      </c>
      <c r="AC485" s="131">
        <f t="shared" si="82"/>
        <v>1.9221000000000004</v>
      </c>
      <c r="AD485" s="131">
        <v>42.017299999999999</v>
      </c>
      <c r="AE485" s="131">
        <f t="shared" si="79"/>
        <v>-0.99340000000000117</v>
      </c>
      <c r="AF485" s="131">
        <v>41.023899999999998</v>
      </c>
      <c r="AG485" s="130">
        <f>'[6]Monthly Palm Oil'!$D112</f>
        <v>1949.6666666666667</v>
      </c>
      <c r="AH485" s="131">
        <f>'[6]Monthly Palm Oil'!$X112</f>
        <v>24.099551073457743</v>
      </c>
      <c r="AI485" s="131">
        <f t="shared" si="72"/>
        <v>13.820448926542259</v>
      </c>
    </row>
    <row r="486" spans="1:35">
      <c r="A486" s="99">
        <v>40269</v>
      </c>
      <c r="B486" s="119" t="e">
        <f>'[4]Monthly Prices'!$CF126</f>
        <v>#DIV/0!</v>
      </c>
      <c r="C486" s="119">
        <v>279.45999999999998</v>
      </c>
      <c r="D486" s="119">
        <v>39.369999999999997</v>
      </c>
      <c r="E486" s="122" t="e">
        <f t="shared" si="78"/>
        <v>#DIV/0!</v>
      </c>
      <c r="F486" s="128" t="e">
        <f t="shared" si="73"/>
        <v>#DIV/0!</v>
      </c>
      <c r="G486" s="127" t="e">
        <f t="shared" si="75"/>
        <v>#DIV/0!</v>
      </c>
      <c r="J486" s="119">
        <v>9.75</v>
      </c>
      <c r="K486" s="119">
        <v>291.20999999999998</v>
      </c>
      <c r="L486" s="119">
        <v>37.11</v>
      </c>
      <c r="M486" s="119">
        <f t="shared" si="70"/>
        <v>0.73871999999999893</v>
      </c>
      <c r="N486" s="128">
        <f t="shared" si="71"/>
        <v>0.38918952932292977</v>
      </c>
      <c r="O486" s="124" t="e">
        <f t="shared" si="74"/>
        <v>#DIV/0!</v>
      </c>
      <c r="P486" s="124">
        <f t="shared" si="74"/>
        <v>11.75</v>
      </c>
      <c r="Q486" s="124">
        <f t="shared" si="74"/>
        <v>-2.259999999999998</v>
      </c>
      <c r="U486" s="119">
        <v>9.4700000000000006</v>
      </c>
      <c r="V486" s="129" t="e">
        <f t="shared" si="80"/>
        <v>#DIV/0!</v>
      </c>
      <c r="W486" s="134" t="e">
        <f t="shared" si="76"/>
        <v>#DIV/0!</v>
      </c>
      <c r="X486" s="135" t="e">
        <f t="shared" si="77"/>
        <v>#DIV/0!</v>
      </c>
      <c r="Y486" s="134"/>
      <c r="Z486" s="135">
        <v>44.372300000000003</v>
      </c>
      <c r="AA486" s="136">
        <f t="shared" si="81"/>
        <v>5.1666000000000025</v>
      </c>
      <c r="AB486" s="131">
        <v>39.2057</v>
      </c>
      <c r="AC486" s="131">
        <f t="shared" si="82"/>
        <v>2.0957000000000008</v>
      </c>
      <c r="AD486" s="131">
        <v>42.412300000000002</v>
      </c>
      <c r="AE486" s="131">
        <f t="shared" si="79"/>
        <v>-1.3447000000000031</v>
      </c>
      <c r="AF486" s="131">
        <v>41.067599999999999</v>
      </c>
      <c r="AG486" s="130">
        <f>'[6]Monthly Palm Oil'!$D113</f>
        <v>2369.4285714285716</v>
      </c>
      <c r="AH486" s="131">
        <f>'[6]Monthly Palm Oil'!$X113</f>
        <v>29.815440405002487</v>
      </c>
      <c r="AI486" s="131">
        <f t="shared" si="72"/>
        <v>7.4245595949975147</v>
      </c>
    </row>
    <row r="487" spans="1:35">
      <c r="A487" s="99">
        <v>40299</v>
      </c>
      <c r="B487" s="119" t="e">
        <f>'[4]Monthly Prices'!$CF127</f>
        <v>#DIV/0!</v>
      </c>
      <c r="C487" s="119">
        <v>277.45</v>
      </c>
      <c r="D487" s="119">
        <v>37.92</v>
      </c>
      <c r="E487" s="122" t="e">
        <f t="shared" si="78"/>
        <v>#DIV/0!</v>
      </c>
      <c r="F487" s="128" t="e">
        <f t="shared" si="73"/>
        <v>#DIV/0!</v>
      </c>
      <c r="G487" s="127" t="e">
        <f t="shared" si="75"/>
        <v>#DIV/0!</v>
      </c>
      <c r="J487" s="119">
        <v>9.5500000000000007</v>
      </c>
      <c r="K487" s="119">
        <v>287.85000000000002</v>
      </c>
      <c r="L487" s="119">
        <v>35.409999999999997</v>
      </c>
      <c r="M487" s="119">
        <f t="shared" si="70"/>
        <v>0.67779999999999951</v>
      </c>
      <c r="N487" s="128">
        <f t="shared" si="71"/>
        <v>0.38083458808345877</v>
      </c>
      <c r="O487" s="124" t="e">
        <f t="shared" si="74"/>
        <v>#DIV/0!</v>
      </c>
      <c r="P487" s="124">
        <f t="shared" si="74"/>
        <v>10.400000000000034</v>
      </c>
      <c r="Q487" s="124">
        <f t="shared" si="74"/>
        <v>-2.5100000000000051</v>
      </c>
      <c r="U487" s="119">
        <v>9.41</v>
      </c>
      <c r="V487" s="129" t="e">
        <f t="shared" si="80"/>
        <v>#DIV/0!</v>
      </c>
      <c r="W487" s="134" t="e">
        <f t="shared" si="76"/>
        <v>#DIV/0!</v>
      </c>
      <c r="X487" s="135" t="e">
        <f t="shared" si="77"/>
        <v>#DIV/0!</v>
      </c>
      <c r="Y487" s="134"/>
      <c r="Z487" s="135">
        <v>42.500999999999998</v>
      </c>
      <c r="AA487" s="136">
        <f t="shared" si="81"/>
        <v>4.8804999999999978</v>
      </c>
      <c r="AB487" s="131">
        <v>37.6205</v>
      </c>
      <c r="AC487" s="131">
        <f t="shared" si="82"/>
        <v>2.2105000000000032</v>
      </c>
      <c r="AD487" s="131">
        <v>41.7425</v>
      </c>
      <c r="AE487" s="131">
        <f t="shared" si="79"/>
        <v>-1.9594999999999985</v>
      </c>
      <c r="AF487" s="131">
        <v>39.783000000000001</v>
      </c>
      <c r="AG487" s="130">
        <f>'[6]Monthly Palm Oil'!$D114</f>
        <v>2616.2105263157896</v>
      </c>
      <c r="AH487" s="131">
        <f>'[6]Monthly Palm Oil'!$X114</f>
        <v>33.710551533081421</v>
      </c>
      <c r="AI487" s="131">
        <f t="shared" si="72"/>
        <v>4.2994484669185766</v>
      </c>
    </row>
    <row r="488" spans="1:35">
      <c r="A488" s="99">
        <v>40330</v>
      </c>
      <c r="B488" s="119" t="e">
        <f>'[4]Monthly Prices'!$CF128</f>
        <v>#DIV/0!</v>
      </c>
      <c r="C488" s="119">
        <v>285.14999999999998</v>
      </c>
      <c r="D488" s="119">
        <v>37.24</v>
      </c>
      <c r="E488" s="122" t="e">
        <f t="shared" si="78"/>
        <v>#DIV/0!</v>
      </c>
      <c r="F488" s="128" t="e">
        <f t="shared" si="73"/>
        <v>#DIV/0!</v>
      </c>
      <c r="G488" s="127" t="e">
        <f t="shared" si="75"/>
        <v>#DIV/0!</v>
      </c>
      <c r="J488" s="119">
        <v>9.7200000000000006</v>
      </c>
      <c r="K488" s="119">
        <v>305.77999999999997</v>
      </c>
      <c r="L488" s="119">
        <v>34.47</v>
      </c>
      <c r="M488" s="119">
        <f t="shared" si="70"/>
        <v>0.79885999999999946</v>
      </c>
      <c r="N488" s="128">
        <f t="shared" si="71"/>
        <v>0.36046681864764812</v>
      </c>
      <c r="O488" s="124" t="e">
        <f t="shared" si="74"/>
        <v>#DIV/0!</v>
      </c>
      <c r="P488" s="124">
        <f t="shared" si="74"/>
        <v>20.629999999999995</v>
      </c>
      <c r="Q488" s="124">
        <f t="shared" si="74"/>
        <v>-2.7700000000000031</v>
      </c>
      <c r="R488" s="124">
        <f>AVERAGE(J486:J488)</f>
        <v>9.6733333333333338</v>
      </c>
      <c r="S488" s="124">
        <f>AVERAGE(K486:K488)</f>
        <v>294.94666666666666</v>
      </c>
      <c r="T488" s="124">
        <f>AVERAGE(L486:L488)</f>
        <v>35.663333333333334</v>
      </c>
      <c r="U488" s="119">
        <v>9.4499999999999993</v>
      </c>
      <c r="V488" s="129" t="e">
        <f t="shared" si="80"/>
        <v>#DIV/0!</v>
      </c>
      <c r="W488" s="134" t="e">
        <f t="shared" si="76"/>
        <v>#DIV/0!</v>
      </c>
      <c r="X488" s="135" t="e">
        <f t="shared" si="77"/>
        <v>#DIV/0!</v>
      </c>
      <c r="Y488" s="134"/>
      <c r="Z488" s="135">
        <v>42.906300000000002</v>
      </c>
      <c r="AA488" s="136">
        <f t="shared" si="81"/>
        <v>6.2349999999999994</v>
      </c>
      <c r="AB488" s="131">
        <v>36.671300000000002</v>
      </c>
      <c r="AC488" s="131">
        <f t="shared" si="82"/>
        <v>2.2013000000000034</v>
      </c>
      <c r="AD488" s="131">
        <v>41.081800000000001</v>
      </c>
      <c r="AE488" s="131">
        <f t="shared" si="79"/>
        <v>-1.9014000000000024</v>
      </c>
      <c r="AF488" s="131">
        <v>39.180399999999999</v>
      </c>
      <c r="AG488" s="130">
        <f>'[6]Monthly Palm Oil'!$D115</f>
        <v>2402.6363636363635</v>
      </c>
      <c r="AH488" s="131">
        <f>'[6]Monthly Palm Oil'!$X115</f>
        <v>31.009639932023198</v>
      </c>
      <c r="AI488" s="131">
        <f t="shared" si="72"/>
        <v>9.6903600679768047</v>
      </c>
    </row>
    <row r="489" spans="1:35">
      <c r="A489" s="99">
        <v>40360</v>
      </c>
      <c r="B489" s="119" t="e">
        <f>'[4]Monthly Prices'!$CF129</f>
        <v>#DIV/0!</v>
      </c>
      <c r="C489" s="119">
        <v>298.74</v>
      </c>
      <c r="D489" s="119">
        <v>38.01</v>
      </c>
      <c r="E489" s="122" t="e">
        <f t="shared" si="78"/>
        <v>#DIV/0!</v>
      </c>
      <c r="F489" s="128" t="e">
        <f t="shared" si="73"/>
        <v>#DIV/0!</v>
      </c>
      <c r="G489" s="127" t="e">
        <f t="shared" si="75"/>
        <v>#DIV/0!</v>
      </c>
      <c r="J489" s="119">
        <v>10.31</v>
      </c>
      <c r="K489" s="119">
        <v>325.56</v>
      </c>
      <c r="L489" s="119">
        <v>35.07</v>
      </c>
      <c r="M489" s="119">
        <f t="shared" si="70"/>
        <v>0.7100200000000001</v>
      </c>
      <c r="N489" s="128">
        <f t="shared" si="71"/>
        <v>0.35006288554830212</v>
      </c>
      <c r="O489" s="124" t="e">
        <f t="shared" si="74"/>
        <v>#DIV/0!</v>
      </c>
      <c r="P489" s="124">
        <f t="shared" si="74"/>
        <v>26.819999999999993</v>
      </c>
      <c r="Q489" s="124">
        <f t="shared" si="74"/>
        <v>-2.9399999999999977</v>
      </c>
      <c r="U489" s="119">
        <v>9.7899999999999991</v>
      </c>
      <c r="V489" s="129" t="e">
        <f t="shared" si="80"/>
        <v>#DIV/0!</v>
      </c>
      <c r="W489" s="134" t="e">
        <f t="shared" si="76"/>
        <v>#DIV/0!</v>
      </c>
      <c r="X489" s="135" t="e">
        <f t="shared" si="77"/>
        <v>#DIV/0!</v>
      </c>
      <c r="Y489" s="134"/>
      <c r="Z489" s="135">
        <v>46.2209</v>
      </c>
      <c r="AA489" s="136">
        <f t="shared" si="81"/>
        <v>8.9686000000000021</v>
      </c>
      <c r="AB489" s="131">
        <v>37.252299999999998</v>
      </c>
      <c r="AC489" s="131">
        <f t="shared" si="82"/>
        <v>2.1822999999999979</v>
      </c>
      <c r="AD489" s="131">
        <v>42.054200000000002</v>
      </c>
      <c r="AE489" s="131">
        <f t="shared" si="79"/>
        <v>-1.1876000000000033</v>
      </c>
      <c r="AF489" s="131">
        <v>40.866599999999998</v>
      </c>
      <c r="AG489" s="130">
        <f>'[6]Monthly Palm Oil'!$D116</f>
        <v>2102.681818181818</v>
      </c>
      <c r="AH489" s="131">
        <f>'[6]Monthly Palm Oil'!$X116</f>
        <v>26.908006082915279</v>
      </c>
      <c r="AI489" s="131">
        <f t="shared" si="72"/>
        <v>15.31199391708472</v>
      </c>
    </row>
    <row r="490" spans="1:35">
      <c r="A490" s="99">
        <v>40391</v>
      </c>
      <c r="B490" s="119" t="e">
        <f>'[4]Monthly Prices'!$CF130</f>
        <v>#DIV/0!</v>
      </c>
      <c r="C490" s="119">
        <v>301.68</v>
      </c>
      <c r="D490" s="119">
        <v>40.700000000000003</v>
      </c>
      <c r="E490" s="122" t="e">
        <f t="shared" si="78"/>
        <v>#DIV/0!</v>
      </c>
      <c r="F490" s="128" t="e">
        <f t="shared" si="73"/>
        <v>#DIV/0!</v>
      </c>
      <c r="G490" s="127" t="e">
        <f t="shared" si="75"/>
        <v>#DIV/0!</v>
      </c>
      <c r="J490" s="119">
        <v>10.66</v>
      </c>
      <c r="K490" s="119">
        <v>331.76</v>
      </c>
      <c r="L490" s="119">
        <v>37.57</v>
      </c>
      <c r="M490" s="119">
        <f t="shared" si="70"/>
        <v>0.77141999999999911</v>
      </c>
      <c r="N490" s="128">
        <f t="shared" si="71"/>
        <v>0.36152114085564174</v>
      </c>
      <c r="O490" s="124" t="e">
        <f t="shared" si="74"/>
        <v>#DIV/0!</v>
      </c>
      <c r="P490" s="124">
        <f t="shared" si="74"/>
        <v>30.079999999999984</v>
      </c>
      <c r="Q490" s="124">
        <f t="shared" si="74"/>
        <v>-3.1300000000000026</v>
      </c>
      <c r="U490" s="119">
        <v>10.1</v>
      </c>
      <c r="V490" s="129" t="e">
        <f t="shared" si="80"/>
        <v>#DIV/0!</v>
      </c>
      <c r="W490" s="134" t="e">
        <f t="shared" si="76"/>
        <v>#DIV/0!</v>
      </c>
      <c r="X490" s="135" t="e">
        <f t="shared" si="77"/>
        <v>#DIV/0!</v>
      </c>
      <c r="Y490" s="134"/>
      <c r="Z490" s="135">
        <v>48.727699999999999</v>
      </c>
      <c r="AA490" s="136">
        <f t="shared" si="81"/>
        <v>9.0599999999999952</v>
      </c>
      <c r="AB490" s="131">
        <v>39.667700000000004</v>
      </c>
      <c r="AC490" s="131">
        <f t="shared" si="82"/>
        <v>2.0977000000000032</v>
      </c>
      <c r="AD490" s="131">
        <v>46.424500000000002</v>
      </c>
      <c r="AE490" s="131">
        <f t="shared" si="79"/>
        <v>-2.9318000000000026</v>
      </c>
      <c r="AF490" s="131">
        <v>43.492699999999999</v>
      </c>
      <c r="AG490" s="130">
        <f>'[6]Monthly Palm Oil'!$D117</f>
        <v>2366.6</v>
      </c>
      <c r="AH490" s="131">
        <f>'[6]Monthly Palm Oil'!$X117</f>
        <v>30.540222802774572</v>
      </c>
      <c r="AI490" s="131">
        <f t="shared" si="72"/>
        <v>16.58977719722543</v>
      </c>
    </row>
    <row r="491" spans="1:35">
      <c r="A491" s="99">
        <v>40422</v>
      </c>
      <c r="B491" s="119" t="e">
        <f>'[4]Monthly Prices'!$CF131</f>
        <v>#DIV/0!</v>
      </c>
      <c r="C491" s="119">
        <v>300.74</v>
      </c>
      <c r="D491" s="119">
        <v>42.22</v>
      </c>
      <c r="E491" s="122" t="e">
        <f t="shared" si="78"/>
        <v>#DIV/0!</v>
      </c>
      <c r="F491" s="128" t="e">
        <f t="shared" si="73"/>
        <v>#DIV/0!</v>
      </c>
      <c r="G491" s="127" t="e">
        <f t="shared" si="75"/>
        <v>#DIV/0!</v>
      </c>
      <c r="J491" s="119">
        <v>10.65</v>
      </c>
      <c r="K491" s="119">
        <v>317.64999999999998</v>
      </c>
      <c r="L491" s="119">
        <v>39.21</v>
      </c>
      <c r="M491" s="119">
        <f t="shared" si="70"/>
        <v>0.65140000000000065</v>
      </c>
      <c r="N491" s="128">
        <f t="shared" si="71"/>
        <v>0.38164298228538057</v>
      </c>
      <c r="O491" s="124" t="e">
        <f t="shared" si="74"/>
        <v>#DIV/0!</v>
      </c>
      <c r="P491" s="124">
        <f t="shared" si="74"/>
        <v>16.909999999999968</v>
      </c>
      <c r="Q491" s="124">
        <f t="shared" si="74"/>
        <v>-3.009999999999998</v>
      </c>
      <c r="R491" s="124">
        <f>AVERAGE(J489:J491)</f>
        <v>10.54</v>
      </c>
      <c r="S491" s="124">
        <f>AVERAGE(K489:K491)</f>
        <v>324.98999999999995</v>
      </c>
      <c r="T491" s="124">
        <f>AVERAGE(L489:L491)</f>
        <v>37.283333333333331</v>
      </c>
      <c r="U491" s="119">
        <v>9.98</v>
      </c>
      <c r="V491" s="129" t="e">
        <f t="shared" si="80"/>
        <v>#DIV/0!</v>
      </c>
      <c r="W491" s="134" t="e">
        <f t="shared" si="76"/>
        <v>#DIV/0!</v>
      </c>
      <c r="X491" s="135" t="e">
        <f t="shared" si="77"/>
        <v>#DIV/0!</v>
      </c>
      <c r="Y491" s="134"/>
      <c r="Z491" s="135">
        <v>48.954700000000003</v>
      </c>
      <c r="AA491" s="136">
        <f t="shared" si="81"/>
        <v>6.7713999999999999</v>
      </c>
      <c r="AB491" s="131">
        <v>42.183300000000003</v>
      </c>
      <c r="AC491" s="131">
        <f t="shared" si="82"/>
        <v>2.9733000000000018</v>
      </c>
      <c r="AD491" s="131">
        <v>47.283799999999999</v>
      </c>
      <c r="AE491" s="131">
        <f t="shared" si="79"/>
        <v>-0.79429999999999978</v>
      </c>
      <c r="AF491" s="131">
        <v>46.4895</v>
      </c>
      <c r="AG491" s="130">
        <f>'[6]Monthly Palm Oil'!$D118</f>
        <v>2166.4736842105262</v>
      </c>
      <c r="AH491" s="131">
        <f>'[6]Monthly Palm Oil'!$X118</f>
        <v>28.148440386514448</v>
      </c>
      <c r="AI491" s="131">
        <f t="shared" si="72"/>
        <v>22.801559613485555</v>
      </c>
    </row>
    <row r="492" spans="1:35">
      <c r="A492" s="99">
        <v>40452</v>
      </c>
      <c r="B492" s="119" t="e">
        <f>'[4]Monthly Prices'!$CF132</f>
        <v>#DIV/0!</v>
      </c>
      <c r="C492" s="119">
        <v>322.73</v>
      </c>
      <c r="D492" s="119">
        <v>47.13</v>
      </c>
      <c r="E492" s="122" t="e">
        <f t="shared" si="78"/>
        <v>#DIV/0!</v>
      </c>
      <c r="F492" s="128" t="e">
        <f t="shared" si="73"/>
        <v>#DIV/0!</v>
      </c>
      <c r="G492" s="127" t="e">
        <f t="shared" si="75"/>
        <v>#DIV/0!</v>
      </c>
      <c r="J492" s="119">
        <v>11.48</v>
      </c>
      <c r="K492" s="119">
        <v>321.92</v>
      </c>
      <c r="L492" s="119">
        <v>44.02</v>
      </c>
      <c r="M492" s="119">
        <f t="shared" si="70"/>
        <v>0.44444000000000017</v>
      </c>
      <c r="N492" s="128">
        <f t="shared" si="71"/>
        <v>0.40607357662078891</v>
      </c>
      <c r="O492" s="124" t="e">
        <f t="shared" si="74"/>
        <v>#DIV/0!</v>
      </c>
      <c r="P492" s="124">
        <f t="shared" si="74"/>
        <v>-0.81000000000000227</v>
      </c>
      <c r="Q492" s="124">
        <f t="shared" si="74"/>
        <v>-3.1099999999999994</v>
      </c>
      <c r="U492" s="119">
        <v>10.199999999999999</v>
      </c>
      <c r="V492" s="129" t="e">
        <f t="shared" si="80"/>
        <v>#DIV/0!</v>
      </c>
      <c r="W492" s="134" t="e">
        <f t="shared" si="76"/>
        <v>#DIV/0!</v>
      </c>
      <c r="X492" s="135" t="e">
        <f t="shared" si="77"/>
        <v>#DIV/0!</v>
      </c>
      <c r="Y492" s="134"/>
      <c r="Z492" s="135">
        <v>52.412300000000002</v>
      </c>
      <c r="AA492" s="136">
        <f t="shared" si="81"/>
        <v>4.8352000000000004</v>
      </c>
      <c r="AB492" s="131">
        <v>47.577100000000002</v>
      </c>
      <c r="AC492" s="131">
        <f t="shared" si="82"/>
        <v>3.5570999999999984</v>
      </c>
      <c r="AD492" s="131">
        <v>50.209499999999998</v>
      </c>
      <c r="AE492" s="131">
        <f t="shared" si="79"/>
        <v>1.3862000000000023</v>
      </c>
      <c r="AF492" s="131">
        <v>51.595700000000001</v>
      </c>
      <c r="AG492" s="130">
        <f>'[6]Monthly Palm Oil'!$D119</f>
        <v>2142.2272727272725</v>
      </c>
      <c r="AH492" s="131">
        <f>'[6]Monthly Palm Oil'!$X119</f>
        <v>28.574372161132441</v>
      </c>
      <c r="AI492" s="131">
        <f t="shared" si="72"/>
        <v>26.405627838867556</v>
      </c>
    </row>
    <row r="493" spans="1:35">
      <c r="A493" s="99">
        <v>40483</v>
      </c>
      <c r="B493" s="119" t="e">
        <f>'[4]Monthly Prices'!$CF133</f>
        <v>#DIV/0!</v>
      </c>
      <c r="C493" s="119">
        <v>341.14</v>
      </c>
      <c r="D493" s="119">
        <v>50.95</v>
      </c>
      <c r="E493" s="122" t="e">
        <f t="shared" si="78"/>
        <v>#DIV/0!</v>
      </c>
      <c r="F493" s="128" t="e">
        <f t="shared" si="73"/>
        <v>#DIV/0!</v>
      </c>
      <c r="G493" s="127" t="e">
        <f t="shared" si="75"/>
        <v>#DIV/0!</v>
      </c>
      <c r="J493" s="119">
        <v>12.52</v>
      </c>
      <c r="K493" s="119">
        <v>341.78</v>
      </c>
      <c r="L493" s="119">
        <v>47.62</v>
      </c>
      <c r="M493" s="119">
        <f t="shared" si="70"/>
        <v>0.23735999999999891</v>
      </c>
      <c r="N493" s="128">
        <f t="shared" si="71"/>
        <v>0.41060219355728766</v>
      </c>
      <c r="O493" s="124" t="e">
        <f t="shared" si="74"/>
        <v>#DIV/0!</v>
      </c>
      <c r="P493" s="124">
        <f t="shared" si="74"/>
        <v>0.63999999999998636</v>
      </c>
      <c r="Q493" s="124">
        <f t="shared" si="74"/>
        <v>-3.3300000000000054</v>
      </c>
      <c r="U493" s="119">
        <v>11.1</v>
      </c>
      <c r="V493" s="129" t="e">
        <f t="shared" si="80"/>
        <v>#DIV/0!</v>
      </c>
      <c r="W493" s="134" t="e">
        <f t="shared" si="76"/>
        <v>#DIV/0!</v>
      </c>
      <c r="X493" s="135" t="e">
        <f t="shared" si="77"/>
        <v>#DIV/0!</v>
      </c>
      <c r="Y493" s="134"/>
      <c r="Z493" s="135">
        <v>55.437600000000003</v>
      </c>
      <c r="AA493" s="136">
        <f t="shared" si="81"/>
        <v>4.3667000000000016</v>
      </c>
      <c r="AB493" s="131">
        <v>51.070900000000002</v>
      </c>
      <c r="AC493" s="131">
        <f t="shared" si="82"/>
        <v>3.4509000000000043</v>
      </c>
      <c r="AD493" s="131">
        <v>54.908999999999999</v>
      </c>
      <c r="AE493" s="131">
        <f t="shared" si="79"/>
        <v>0.44050000000000011</v>
      </c>
      <c r="AF493" s="131">
        <v>55.349499999999999</v>
      </c>
      <c r="AG493" s="130">
        <f>'[6]Monthly Palm Oil'!$D120</f>
        <v>2325.8421052631579</v>
      </c>
      <c r="AH493" s="131">
        <f>'[6]Monthly Palm Oil'!$X120</f>
        <v>31.151447269283068</v>
      </c>
      <c r="AI493" s="131">
        <f t="shared" si="72"/>
        <v>26.118552730716935</v>
      </c>
    </row>
    <row r="494" spans="1:35">
      <c r="A494" s="99">
        <v>40513</v>
      </c>
      <c r="B494" s="119" t="e">
        <f>'[4]Monthly Prices'!$CF134</f>
        <v>#DIV/0!</v>
      </c>
      <c r="C494" s="119">
        <v>351.72</v>
      </c>
      <c r="D494" s="119">
        <v>54.98</v>
      </c>
      <c r="E494" s="122" t="e">
        <f t="shared" si="78"/>
        <v>#DIV/0!</v>
      </c>
      <c r="F494" s="128" t="e">
        <f t="shared" si="73"/>
        <v>#DIV/0!</v>
      </c>
      <c r="G494" s="127" t="e">
        <f t="shared" si="75"/>
        <v>#DIV/0!</v>
      </c>
      <c r="J494" s="119">
        <v>13.11</v>
      </c>
      <c r="K494" s="119">
        <v>351.93</v>
      </c>
      <c r="L494" s="119">
        <v>51.51</v>
      </c>
      <c r="M494" s="119">
        <f t="shared" si="70"/>
        <v>0.29856000000000193</v>
      </c>
      <c r="N494" s="128">
        <f t="shared" si="71"/>
        <v>0.42257334120889933</v>
      </c>
      <c r="O494" s="124" t="e">
        <f t="shared" si="74"/>
        <v>#DIV/0!</v>
      </c>
      <c r="P494" s="124">
        <f t="shared" si="74"/>
        <v>0.20999999999997954</v>
      </c>
      <c r="Q494" s="124">
        <f t="shared" si="74"/>
        <v>-3.4699999999999989</v>
      </c>
      <c r="R494" s="124">
        <f>AVERAGE(J492:J494)</f>
        <v>12.37</v>
      </c>
      <c r="S494" s="124">
        <f>AVERAGE(K492:K494)</f>
        <v>338.54333333333335</v>
      </c>
      <c r="T494" s="124">
        <f>AVERAGE(L492:L494)</f>
        <v>47.716666666666669</v>
      </c>
      <c r="U494" s="119">
        <v>11.6</v>
      </c>
      <c r="V494" s="129" t="e">
        <f t="shared" si="80"/>
        <v>#DIV/0!</v>
      </c>
      <c r="W494" s="134" t="e">
        <f t="shared" si="76"/>
        <v>#DIV/0!</v>
      </c>
      <c r="X494" s="135" t="e">
        <f t="shared" si="77"/>
        <v>#DIV/0!</v>
      </c>
      <c r="Y494" s="134"/>
      <c r="Z494" s="135">
        <v>59.100900000000003</v>
      </c>
      <c r="AA494" s="136">
        <f t="shared" si="81"/>
        <v>4.0731999999999999</v>
      </c>
      <c r="AB494" s="131">
        <v>55.027700000000003</v>
      </c>
      <c r="AC494" s="131">
        <f t="shared" si="82"/>
        <v>3.5177000000000049</v>
      </c>
      <c r="AD494" s="131">
        <v>59.643599999999999</v>
      </c>
      <c r="AE494" s="131">
        <f t="shared" si="79"/>
        <v>-8.6000000000012733E-3</v>
      </c>
      <c r="AF494" s="131">
        <v>59.634999999999998</v>
      </c>
      <c r="AG494" s="130">
        <f>'[6]Monthly Palm Oil'!$D121</f>
        <v>2548.7619047619046</v>
      </c>
      <c r="AH494" s="131">
        <f>'[6]Monthly Palm Oil'!$X121</f>
        <v>33.914726474745542</v>
      </c>
      <c r="AI494" s="131">
        <f t="shared" si="72"/>
        <v>23.615273525254459</v>
      </c>
    </row>
    <row r="495" spans="1:35">
      <c r="A495" s="99">
        <v>40544</v>
      </c>
      <c r="B495" s="119" t="e">
        <f>'[4]Monthly Prices'!$CF135</f>
        <v>#DIV/0!</v>
      </c>
      <c r="C495" s="119">
        <v>376.09</v>
      </c>
      <c r="D495" s="119">
        <v>57.27</v>
      </c>
      <c r="E495" s="122" t="e">
        <f t="shared" si="78"/>
        <v>#DIV/0!</v>
      </c>
      <c r="F495" s="128" t="e">
        <f t="shared" si="73"/>
        <v>#DIV/0!</v>
      </c>
      <c r="G495" s="127" t="e">
        <f t="shared" si="75"/>
        <v>#DIV/0!</v>
      </c>
      <c r="J495" s="119">
        <v>13.78</v>
      </c>
      <c r="K495" s="119">
        <v>368.54</v>
      </c>
      <c r="L495" s="119">
        <v>53.84</v>
      </c>
      <c r="M495" s="119">
        <f t="shared" si="70"/>
        <v>0.25028000000000183</v>
      </c>
      <c r="N495" s="128">
        <f t="shared" si="71"/>
        <v>0.42211559569730606</v>
      </c>
      <c r="O495" s="124" t="e">
        <f t="shared" si="74"/>
        <v>#DIV/0!</v>
      </c>
      <c r="P495" s="124">
        <f t="shared" si="74"/>
        <v>-7.5499999999999545</v>
      </c>
      <c r="Q495" s="124">
        <f t="shared" si="74"/>
        <v>-3.4299999999999997</v>
      </c>
      <c r="U495" s="119">
        <v>11.6</v>
      </c>
      <c r="V495" s="129" t="e">
        <f t="shared" si="80"/>
        <v>#DIV/0!</v>
      </c>
      <c r="W495" s="134" t="e">
        <f t="shared" si="76"/>
        <v>#DIV/0!</v>
      </c>
      <c r="X495" s="135" t="e">
        <f t="shared" si="77"/>
        <v>#DIV/0!</v>
      </c>
      <c r="Y495" s="134"/>
      <c r="Z495" s="135">
        <v>60.7455</v>
      </c>
      <c r="AA495" s="136">
        <f t="shared" si="81"/>
        <v>2.6749999999999972</v>
      </c>
      <c r="AB495" s="131">
        <v>58.070500000000003</v>
      </c>
      <c r="AC495" s="131">
        <f t="shared" si="82"/>
        <v>4.2304999999999993</v>
      </c>
      <c r="AD495" s="131">
        <v>62.274000000000001</v>
      </c>
      <c r="AE495" s="131">
        <f t="shared" si="79"/>
        <v>0.36399999999999721</v>
      </c>
      <c r="AF495" s="131">
        <v>62.637999999999998</v>
      </c>
      <c r="AG495" s="130">
        <f>'[6]Monthly Palm Oil'!$D122</f>
        <v>2529.6315789473683</v>
      </c>
      <c r="AH495" s="131">
        <f>'[6]Monthly Palm Oil'!$X122</f>
        <v>34.002390223903902</v>
      </c>
      <c r="AI495" s="131">
        <f t="shared" si="72"/>
        <v>22.6676097760961</v>
      </c>
    </row>
    <row r="496" spans="1:35">
      <c r="A496" s="99">
        <v>40575</v>
      </c>
      <c r="B496" s="119" t="e">
        <f>'[4]Monthly Prices'!$CF136</f>
        <v>#DIV/0!</v>
      </c>
      <c r="C496" s="119">
        <v>372.09</v>
      </c>
      <c r="D496" s="119">
        <v>57.53</v>
      </c>
      <c r="E496" s="122" t="e">
        <f t="shared" si="78"/>
        <v>#DIV/0!</v>
      </c>
      <c r="F496" s="128" t="e">
        <f t="shared" si="73"/>
        <v>#DIV/0!</v>
      </c>
      <c r="G496" s="127" t="e">
        <f t="shared" si="75"/>
        <v>#DIV/0!</v>
      </c>
      <c r="J496" s="119">
        <v>13.86</v>
      </c>
      <c r="K496" s="119">
        <v>358.59</v>
      </c>
      <c r="L496" s="119">
        <v>54.21</v>
      </c>
      <c r="M496" s="119">
        <f t="shared" si="70"/>
        <v>-7.9199999999985948E-3</v>
      </c>
      <c r="N496" s="128">
        <f t="shared" si="71"/>
        <v>0.43048408614446354</v>
      </c>
      <c r="O496" s="124" t="e">
        <f t="shared" si="74"/>
        <v>#DIV/0!</v>
      </c>
      <c r="P496" s="124">
        <f t="shared" si="74"/>
        <v>-13.5</v>
      </c>
      <c r="Q496" s="124">
        <f t="shared" si="74"/>
        <v>-3.3200000000000003</v>
      </c>
      <c r="U496" s="119">
        <v>12.7</v>
      </c>
      <c r="V496" s="129" t="e">
        <f t="shared" si="80"/>
        <v>#DIV/0!</v>
      </c>
      <c r="W496" s="134" t="e">
        <f t="shared" si="76"/>
        <v>#DIV/0!</v>
      </c>
      <c r="X496" s="135" t="e">
        <f t="shared" si="77"/>
        <v>#DIV/0!</v>
      </c>
      <c r="Y496" s="134"/>
      <c r="Z496" s="135">
        <v>61.031500000000001</v>
      </c>
      <c r="AA496" s="136">
        <f t="shared" si="81"/>
        <v>1.3947000000000003</v>
      </c>
      <c r="AB496" s="131">
        <v>59.636800000000001</v>
      </c>
      <c r="AC496" s="131">
        <f t="shared" si="82"/>
        <v>5.4268000000000001</v>
      </c>
      <c r="AD496" s="131">
        <v>63.684199999999997</v>
      </c>
      <c r="AE496" s="131">
        <f t="shared" si="79"/>
        <v>0.11050000000000182</v>
      </c>
      <c r="AF496" s="131">
        <v>63.794699999999999</v>
      </c>
      <c r="AG496" s="130">
        <f>'[6]Monthly Palm Oil'!$D123</f>
        <v>2568.125</v>
      </c>
      <c r="AH496" s="131">
        <f>'[6]Monthly Palm Oil'!$X123</f>
        <v>34.136333965628694</v>
      </c>
      <c r="AI496" s="131">
        <f t="shared" si="72"/>
        <v>23.883666034371309</v>
      </c>
    </row>
    <row r="497" spans="1:35">
      <c r="A497" s="99">
        <v>40603</v>
      </c>
      <c r="B497" s="119" t="e">
        <f>'[4]Monthly Prices'!$CF137</f>
        <v>#DIV/0!</v>
      </c>
      <c r="C497" s="119">
        <v>359.6</v>
      </c>
      <c r="D497" s="119">
        <v>56.67</v>
      </c>
      <c r="E497" s="122" t="e">
        <f t="shared" si="78"/>
        <v>#DIV/0!</v>
      </c>
      <c r="F497" s="128" t="e">
        <f t="shared" si="73"/>
        <v>#DIV/0!</v>
      </c>
      <c r="G497" s="127" t="e">
        <f t="shared" si="75"/>
        <v>#DIV/0!</v>
      </c>
      <c r="J497" s="119">
        <v>13.5</v>
      </c>
      <c r="K497" s="119">
        <v>345.43</v>
      </c>
      <c r="L497" s="119">
        <v>54.07</v>
      </c>
      <c r="M497" s="119">
        <f t="shared" si="70"/>
        <v>4.7159999999999869E-2</v>
      </c>
      <c r="N497" s="128">
        <f t="shared" si="71"/>
        <v>0.43903666894020588</v>
      </c>
      <c r="O497" s="124" t="e">
        <f t="shared" si="74"/>
        <v>#DIV/0!</v>
      </c>
      <c r="P497" s="124">
        <f t="shared" si="74"/>
        <v>-14.170000000000016</v>
      </c>
      <c r="Q497" s="124">
        <f t="shared" si="74"/>
        <v>-2.6000000000000014</v>
      </c>
      <c r="R497" s="124">
        <f>AVERAGE(J495:J497)</f>
        <v>13.713333333333333</v>
      </c>
      <c r="S497" s="124">
        <f>AVERAGE(K495:K497)</f>
        <v>357.52</v>
      </c>
      <c r="T497" s="124">
        <f>AVERAGE(L495:L497)</f>
        <v>54.04</v>
      </c>
      <c r="U497" s="119">
        <v>12.7</v>
      </c>
      <c r="V497" s="129" t="e">
        <f t="shared" si="80"/>
        <v>#DIV/0!</v>
      </c>
      <c r="W497" s="134" t="e">
        <f t="shared" si="76"/>
        <v>#DIV/0!</v>
      </c>
      <c r="X497" s="135" t="e">
        <f t="shared" si="77"/>
        <v>#DIV/0!</v>
      </c>
      <c r="Y497" s="134"/>
      <c r="Z497" s="135">
        <v>61.055199999999999</v>
      </c>
      <c r="AA497" s="136">
        <f t="shared" si="81"/>
        <v>1.4596000000000018</v>
      </c>
      <c r="AB497" s="131">
        <v>59.595599999999997</v>
      </c>
      <c r="AC497" s="131">
        <f t="shared" si="82"/>
        <v>5.5255999999999972</v>
      </c>
      <c r="AD497" s="131">
        <v>59.86</v>
      </c>
      <c r="AE497" s="131">
        <f t="shared" si="79"/>
        <v>2.9769000000000005</v>
      </c>
      <c r="AF497" s="131">
        <v>62.8369</v>
      </c>
      <c r="AG497" s="130">
        <f>'[6]Monthly Palm Oil'!$D124</f>
        <v>2603.8260869565215</v>
      </c>
      <c r="AH497" s="131">
        <f>'[6]Monthly Palm Oil'!$X124</f>
        <v>35.572894489291059</v>
      </c>
      <c r="AI497" s="131">
        <f t="shared" si="72"/>
        <v>21.547105510708938</v>
      </c>
    </row>
    <row r="498" spans="1:35">
      <c r="A498" s="99">
        <v>40634</v>
      </c>
      <c r="B498" s="119" t="e">
        <f>'[4]Monthly Prices'!$CF138</f>
        <v>#DIV/0!</v>
      </c>
      <c r="C498" s="119">
        <v>352.19</v>
      </c>
      <c r="D498" s="119">
        <v>58.02</v>
      </c>
      <c r="E498" s="122" t="e">
        <f t="shared" si="78"/>
        <v>#DIV/0!</v>
      </c>
      <c r="F498" s="128" t="e">
        <f t="shared" si="73"/>
        <v>#DIV/0!</v>
      </c>
      <c r="G498" s="127" t="e">
        <f t="shared" si="75"/>
        <v>#DIV/0!</v>
      </c>
      <c r="J498" s="119">
        <v>13.64</v>
      </c>
      <c r="K498" s="119">
        <v>335.87</v>
      </c>
      <c r="L498" s="119">
        <v>56.65</v>
      </c>
      <c r="M498" s="119">
        <f t="shared" si="70"/>
        <v>-1.9359999999998934E-2</v>
      </c>
      <c r="N498" s="128">
        <f t="shared" si="71"/>
        <v>0.45750419950898047</v>
      </c>
      <c r="O498" s="124" t="e">
        <f t="shared" si="74"/>
        <v>#DIV/0!</v>
      </c>
      <c r="P498" s="124">
        <f t="shared" si="74"/>
        <v>-16.319999999999993</v>
      </c>
      <c r="Q498" s="124">
        <f t="shared" si="74"/>
        <v>-1.3700000000000045</v>
      </c>
      <c r="U498" s="119">
        <v>13.1</v>
      </c>
      <c r="V498" s="129" t="e">
        <f t="shared" si="80"/>
        <v>#DIV/0!</v>
      </c>
      <c r="W498" s="134" t="e">
        <f t="shared" si="76"/>
        <v>#DIV/0!</v>
      </c>
      <c r="X498" s="135" t="e">
        <f t="shared" si="77"/>
        <v>#DIV/0!</v>
      </c>
      <c r="Y498" s="134"/>
      <c r="Z498" s="135">
        <v>63.170999999999999</v>
      </c>
      <c r="AA498" s="136">
        <f t="shared" si="81"/>
        <v>0.10750000000000171</v>
      </c>
      <c r="AB498" s="131">
        <v>63.063499999999998</v>
      </c>
      <c r="AC498" s="131">
        <f t="shared" si="82"/>
        <v>6.4134999999999991</v>
      </c>
      <c r="AD498" s="131">
        <v>58.54</v>
      </c>
      <c r="AE498" s="131">
        <f t="shared" si="79"/>
        <v>6.2585000000000051</v>
      </c>
      <c r="AF498" s="131">
        <v>64.798500000000004</v>
      </c>
      <c r="AG498" s="130">
        <f>'[6]Monthly Palm Oil'!$D125</f>
        <v>2527.4285714285716</v>
      </c>
      <c r="AH498" s="131">
        <f>'[6]Monthly Palm Oil'!$X125</f>
        <v>35.809802925560362</v>
      </c>
      <c r="AI498" s="131">
        <f t="shared" si="72"/>
        <v>20.890197074439641</v>
      </c>
    </row>
    <row r="499" spans="1:35">
      <c r="A499" s="99">
        <v>40664</v>
      </c>
      <c r="B499" s="119" t="e">
        <f>'[4]Monthly Prices'!$CF139</f>
        <v>#DIV/0!</v>
      </c>
      <c r="C499" s="119">
        <v>354.3</v>
      </c>
      <c r="D499" s="119">
        <v>57.12</v>
      </c>
      <c r="E499" s="122" t="e">
        <f t="shared" si="78"/>
        <v>#DIV/0!</v>
      </c>
      <c r="F499" s="128" t="e">
        <f t="shared" si="73"/>
        <v>#DIV/0!</v>
      </c>
      <c r="G499" s="127" t="e">
        <f t="shared" si="75"/>
        <v>#DIV/0!</v>
      </c>
      <c r="J499" s="119">
        <v>13.68</v>
      </c>
      <c r="K499" s="119">
        <v>342.3</v>
      </c>
      <c r="L499" s="119">
        <v>56.09</v>
      </c>
      <c r="M499" s="119">
        <f t="shared" si="70"/>
        <v>2.0500000000001961E-2</v>
      </c>
      <c r="N499" s="128">
        <f t="shared" si="71"/>
        <v>0.45034122842232038</v>
      </c>
      <c r="O499" s="124" t="e">
        <f t="shared" si="74"/>
        <v>#DIV/0!</v>
      </c>
      <c r="P499" s="124">
        <f t="shared" si="74"/>
        <v>-12</v>
      </c>
      <c r="Q499" s="124">
        <f t="shared" si="74"/>
        <v>-1.029999999999994</v>
      </c>
      <c r="U499" s="119">
        <v>13.2</v>
      </c>
      <c r="V499" s="129" t="e">
        <f t="shared" si="80"/>
        <v>#DIV/0!</v>
      </c>
      <c r="W499" s="134" t="e">
        <f t="shared" si="76"/>
        <v>#DIV/0!</v>
      </c>
      <c r="X499" s="135" t="e">
        <f t="shared" si="77"/>
        <v>#DIV/0!</v>
      </c>
      <c r="Y499" s="134"/>
      <c r="Z499" s="135">
        <v>62.238999999999997</v>
      </c>
      <c r="AA499" s="136">
        <f t="shared" si="81"/>
        <v>-0.3405000000000058</v>
      </c>
      <c r="AB499" s="131">
        <v>62.579500000000003</v>
      </c>
      <c r="AC499" s="131">
        <f t="shared" si="82"/>
        <v>6.4894999999999996</v>
      </c>
      <c r="AD499" s="131">
        <v>59.802799999999998</v>
      </c>
      <c r="AE499" s="131">
        <f t="shared" si="79"/>
        <v>4.0267000000000053</v>
      </c>
      <c r="AF499" s="131">
        <v>63.829500000000003</v>
      </c>
      <c r="AG499" s="130">
        <f>'[6]Monthly Palm Oil'!$D126</f>
        <v>2485.1578947368421</v>
      </c>
      <c r="AH499" s="131">
        <f>'[6]Monthly Palm Oil'!$X126</f>
        <v>34.706618894266938</v>
      </c>
      <c r="AI499" s="131">
        <f t="shared" si="72"/>
        <v>21.673381105733064</v>
      </c>
    </row>
    <row r="500" spans="1:35">
      <c r="A500" s="99">
        <v>40695</v>
      </c>
      <c r="B500" s="119" t="e">
        <f>'[4]Monthly Prices'!$CF140</f>
        <v>#DIV/0!</v>
      </c>
      <c r="C500" s="119">
        <v>355.34</v>
      </c>
      <c r="D500" s="119">
        <v>56.7</v>
      </c>
      <c r="E500" s="122" t="e">
        <f t="shared" si="78"/>
        <v>#DIV/0!</v>
      </c>
      <c r="F500" s="128" t="e">
        <f t="shared" si="73"/>
        <v>#DIV/0!</v>
      </c>
      <c r="G500" s="127" t="e">
        <f t="shared" si="75"/>
        <v>#DIV/0!</v>
      </c>
      <c r="J500" s="119">
        <v>13.82</v>
      </c>
      <c r="K500" s="119">
        <v>347.45</v>
      </c>
      <c r="L500" s="119">
        <v>55.68</v>
      </c>
      <c r="M500" s="119">
        <f t="shared" si="70"/>
        <v>-5.1300000000001234E-2</v>
      </c>
      <c r="N500" s="128">
        <f t="shared" si="71"/>
        <v>0.44483502436686106</v>
      </c>
      <c r="O500" s="124" t="e">
        <f t="shared" si="74"/>
        <v>#DIV/0!</v>
      </c>
      <c r="P500" s="124">
        <f t="shared" si="74"/>
        <v>-7.8899999999999864</v>
      </c>
      <c r="Q500" s="124">
        <f t="shared" si="74"/>
        <v>-1.0200000000000031</v>
      </c>
      <c r="R500" s="124">
        <f>AVERAGE(J498:J500)</f>
        <v>13.713333333333333</v>
      </c>
      <c r="S500" s="124">
        <f>AVERAGE(K498:K500)</f>
        <v>341.87333333333339</v>
      </c>
      <c r="T500" s="124">
        <f>AVERAGE(L498:L500)</f>
        <v>56.140000000000008</v>
      </c>
      <c r="U500" s="119">
        <v>13.2</v>
      </c>
      <c r="V500" s="129" t="e">
        <f t="shared" si="80"/>
        <v>#DIV/0!</v>
      </c>
      <c r="W500" s="134" t="e">
        <f t="shared" si="76"/>
        <v>#DIV/0!</v>
      </c>
      <c r="X500" s="135" t="e">
        <f t="shared" si="77"/>
        <v>#DIV/0!</v>
      </c>
      <c r="Y500" s="134"/>
      <c r="Z500" s="135">
        <v>61.626300000000001</v>
      </c>
      <c r="AA500" s="136">
        <f t="shared" si="81"/>
        <v>-0.60269999999999868</v>
      </c>
      <c r="AB500" s="131">
        <v>62.228999999999999</v>
      </c>
      <c r="AC500" s="131">
        <f t="shared" si="82"/>
        <v>6.5489999999999995</v>
      </c>
      <c r="AD500" s="131">
        <v>57.5045</v>
      </c>
      <c r="AE500" s="131">
        <f t="shared" si="79"/>
        <v>6.458599999999997</v>
      </c>
      <c r="AF500" s="131">
        <v>63.963099999999997</v>
      </c>
      <c r="AG500" s="130">
        <f>'[6]Monthly Palm Oil'!$D127</f>
        <v>2409.590909090909</v>
      </c>
      <c r="AH500" s="131">
        <f>'[6]Monthly Palm Oil'!$X127</f>
        <v>33.48585865013257</v>
      </c>
      <c r="AI500" s="131">
        <f t="shared" si="72"/>
        <v>22.114141349867431</v>
      </c>
    </row>
    <row r="501" spans="1:35">
      <c r="A501" s="99">
        <v>40725</v>
      </c>
      <c r="B501" s="119" t="e">
        <f>'[4]Monthly Prices'!$CF141</f>
        <v>#DIV/0!</v>
      </c>
      <c r="C501" s="119">
        <v>353.91</v>
      </c>
      <c r="D501" s="119">
        <v>56.38</v>
      </c>
      <c r="E501" s="122" t="e">
        <f t="shared" si="78"/>
        <v>#DIV/0!</v>
      </c>
      <c r="F501" s="128" t="e">
        <f t="shared" si="73"/>
        <v>#DIV/0!</v>
      </c>
      <c r="G501" s="127" t="e">
        <f t="shared" si="75"/>
        <v>#DIV/0!</v>
      </c>
      <c r="J501" s="119">
        <v>13.84</v>
      </c>
      <c r="K501" s="119">
        <v>346.52</v>
      </c>
      <c r="L501" s="119">
        <v>55.16</v>
      </c>
      <c r="M501" s="119">
        <f t="shared" ref="M501:M564" si="83">(K501/2000*44)+(L501/100*11)-J501</f>
        <v>-0.14896000000000065</v>
      </c>
      <c r="N501" s="128">
        <f t="shared" ref="N501:N564" si="84">L501/100*11/(J501+M501)</f>
        <v>0.4431803573724129</v>
      </c>
      <c r="O501" s="124" t="e">
        <f t="shared" si="74"/>
        <v>#DIV/0!</v>
      </c>
      <c r="P501" s="124">
        <f t="shared" si="74"/>
        <v>-7.3900000000000432</v>
      </c>
      <c r="Q501" s="124">
        <f t="shared" si="74"/>
        <v>-1.220000000000006</v>
      </c>
      <c r="U501" s="119">
        <v>13.2</v>
      </c>
      <c r="V501" s="129" t="e">
        <f t="shared" si="80"/>
        <v>#DIV/0!</v>
      </c>
      <c r="W501" s="134" t="e">
        <f t="shared" si="76"/>
        <v>#DIV/0!</v>
      </c>
      <c r="X501" s="135" t="e">
        <f t="shared" si="77"/>
        <v>#DIV/0!</v>
      </c>
      <c r="Y501" s="134"/>
      <c r="Z501" s="135">
        <v>62.262</v>
      </c>
      <c r="AA501" s="136">
        <f t="shared" si="81"/>
        <v>0.5</v>
      </c>
      <c r="AB501" s="131">
        <v>61.762</v>
      </c>
      <c r="AC501" s="131">
        <f t="shared" si="82"/>
        <v>6.6020000000000039</v>
      </c>
      <c r="AD501" s="131">
        <v>56.408499999999997</v>
      </c>
      <c r="AE501" s="131">
        <f t="shared" si="79"/>
        <v>7.9540000000000006</v>
      </c>
      <c r="AF501" s="131">
        <v>64.362499999999997</v>
      </c>
      <c r="AG501" s="130">
        <f>'[6]Monthly Palm Oil'!$D128</f>
        <v>2411.4285714285716</v>
      </c>
      <c r="AH501" s="131">
        <f>'[6]Monthly Palm Oil'!$X128</f>
        <v>34.15158047525243</v>
      </c>
      <c r="AI501" s="131">
        <f t="shared" si="72"/>
        <v>21.298419524747572</v>
      </c>
    </row>
    <row r="502" spans="1:35">
      <c r="A502" s="99">
        <v>40756</v>
      </c>
      <c r="B502" s="119" t="e">
        <f>'[4]Monthly Prices'!$CF142</f>
        <v>#DIV/0!</v>
      </c>
      <c r="C502" s="119">
        <v>357.83</v>
      </c>
      <c r="D502" s="119">
        <v>55.6</v>
      </c>
      <c r="E502" s="122" t="e">
        <f t="shared" si="78"/>
        <v>#DIV/0!</v>
      </c>
      <c r="F502" s="128" t="e">
        <f t="shared" si="73"/>
        <v>#DIV/0!</v>
      </c>
      <c r="G502" s="127" t="e">
        <f t="shared" si="75"/>
        <v>#DIV/0!</v>
      </c>
      <c r="J502" s="119">
        <v>13.81</v>
      </c>
      <c r="K502" s="119">
        <v>349.6</v>
      </c>
      <c r="L502" s="119">
        <v>54.39</v>
      </c>
      <c r="M502" s="119">
        <f t="shared" si="83"/>
        <v>-0.13589999999999947</v>
      </c>
      <c r="N502" s="128">
        <f t="shared" si="84"/>
        <v>0.43753519427238358</v>
      </c>
      <c r="O502" s="124" t="e">
        <f t="shared" si="74"/>
        <v>#DIV/0!</v>
      </c>
      <c r="P502" s="124">
        <f t="shared" si="74"/>
        <v>-8.2299999999999613</v>
      </c>
      <c r="Q502" s="124">
        <f t="shared" si="74"/>
        <v>-1.2100000000000009</v>
      </c>
      <c r="U502" s="119">
        <v>13.4</v>
      </c>
      <c r="V502" s="129" t="e">
        <f t="shared" si="80"/>
        <v>#DIV/0!</v>
      </c>
      <c r="W502" s="134" t="e">
        <f t="shared" si="76"/>
        <v>#DIV/0!</v>
      </c>
      <c r="X502" s="135" t="e">
        <f t="shared" si="77"/>
        <v>#DIV/0!</v>
      </c>
      <c r="Y502" s="134"/>
      <c r="Z502" s="135">
        <v>61.594700000000003</v>
      </c>
      <c r="AA502" s="136">
        <f t="shared" si="81"/>
        <v>0.74430000000000263</v>
      </c>
      <c r="AB502" s="131">
        <v>60.8504</v>
      </c>
      <c r="AC502" s="131">
        <f t="shared" si="82"/>
        <v>6.4603999999999999</v>
      </c>
      <c r="AD502" s="131">
        <v>57.339100000000002</v>
      </c>
      <c r="AE502" s="131">
        <f t="shared" si="79"/>
        <v>6.6743000000000023</v>
      </c>
      <c r="AF502" s="131">
        <v>64.013400000000004</v>
      </c>
      <c r="AG502" s="130">
        <f>'[6]Monthly Palm Oil'!$D129</f>
        <v>2606.7619047619046</v>
      </c>
      <c r="AH502" s="131">
        <f>'[6]Monthly Palm Oil'!$X129</f>
        <v>37.518173164047766</v>
      </c>
      <c r="AI502" s="131">
        <f t="shared" si="72"/>
        <v>13.71182683595223</v>
      </c>
    </row>
    <row r="503" spans="1:35">
      <c r="A503" s="99">
        <v>40787</v>
      </c>
      <c r="B503" s="119" t="e">
        <f>'[4]Monthly Prices'!$CF143</f>
        <v>#DIV/0!</v>
      </c>
      <c r="C503" s="119">
        <v>348.55</v>
      </c>
      <c r="D503" s="119">
        <v>55.45</v>
      </c>
      <c r="E503" s="122" t="e">
        <f t="shared" si="78"/>
        <v>#DIV/0!</v>
      </c>
      <c r="F503" s="128" t="e">
        <f t="shared" si="73"/>
        <v>#DIV/0!</v>
      </c>
      <c r="G503" s="127" t="e">
        <f t="shared" si="75"/>
        <v>#DIV/0!</v>
      </c>
      <c r="J503" s="119">
        <v>13.33</v>
      </c>
      <c r="K503" s="119">
        <v>336.32</v>
      </c>
      <c r="L503" s="119">
        <v>55.13</v>
      </c>
      <c r="M503" s="119">
        <f t="shared" si="83"/>
        <v>0.13334000000000046</v>
      </c>
      <c r="N503" s="128">
        <f t="shared" si="84"/>
        <v>0.45043057666225467</v>
      </c>
      <c r="O503" s="124" t="e">
        <f t="shared" si="74"/>
        <v>#DIV/0!</v>
      </c>
      <c r="P503" s="124">
        <f t="shared" si="74"/>
        <v>-12.230000000000018</v>
      </c>
      <c r="Q503" s="124">
        <f t="shared" si="74"/>
        <v>-0.32000000000000028</v>
      </c>
      <c r="R503" s="124">
        <f>AVERAGE(J501:J503)</f>
        <v>13.659999999999998</v>
      </c>
      <c r="S503" s="124">
        <f>AVERAGE(K501:K503)</f>
        <v>344.1466666666667</v>
      </c>
      <c r="T503" s="124">
        <f>AVERAGE(L501:L503)</f>
        <v>54.893333333333338</v>
      </c>
      <c r="U503" s="119">
        <v>12.2</v>
      </c>
      <c r="V503" s="129" t="e">
        <f t="shared" si="80"/>
        <v>#DIV/0!</v>
      </c>
      <c r="W503" s="134" t="e">
        <f t="shared" si="76"/>
        <v>#DIV/0!</v>
      </c>
      <c r="X503" s="135" t="e">
        <f t="shared" si="77"/>
        <v>#DIV/0!</v>
      </c>
      <c r="Y503" s="134"/>
      <c r="Z503" s="135">
        <v>61.0657</v>
      </c>
      <c r="AA503" s="136">
        <f t="shared" si="81"/>
        <v>-0.39620000000000033</v>
      </c>
      <c r="AB503" s="131">
        <v>61.4619</v>
      </c>
      <c r="AC503" s="131">
        <f t="shared" si="82"/>
        <v>6.3318999999999974</v>
      </c>
      <c r="AD503" s="131">
        <v>53.960900000000002</v>
      </c>
      <c r="AE503" s="131">
        <f t="shared" si="79"/>
        <v>9.8699999999999974</v>
      </c>
      <c r="AF503" s="131">
        <v>63.8309</v>
      </c>
      <c r="AG503" s="130">
        <f>'[6]Monthly Palm Oil'!$D130</f>
        <v>2656.8947368421054</v>
      </c>
      <c r="AH503" s="131">
        <f>'[6]Monthly Palm Oil'!$X130</f>
        <v>38.838613158827208</v>
      </c>
      <c r="AI503" s="131">
        <f t="shared" si="72"/>
        <v>11.821386841172789</v>
      </c>
    </row>
    <row r="504" spans="1:35">
      <c r="A504" s="99">
        <v>40817</v>
      </c>
      <c r="B504" s="119" t="e">
        <f>'[4]Monthly Prices'!$CF144</f>
        <v>#DIV/0!</v>
      </c>
      <c r="C504" s="119">
        <v>316.74</v>
      </c>
      <c r="D504" s="119">
        <v>51.23</v>
      </c>
      <c r="E504" s="122" t="e">
        <f t="shared" si="78"/>
        <v>#DIV/0!</v>
      </c>
      <c r="F504" s="128" t="e">
        <f t="shared" si="73"/>
        <v>#DIV/0!</v>
      </c>
      <c r="G504" s="127" t="e">
        <f t="shared" si="75"/>
        <v>#DIV/0!</v>
      </c>
      <c r="J504" s="119">
        <v>12.08</v>
      </c>
      <c r="K504" s="119">
        <v>301.45</v>
      </c>
      <c r="L504" s="119">
        <v>51.73</v>
      </c>
      <c r="M504" s="119">
        <f t="shared" si="83"/>
        <v>0.24219999999999864</v>
      </c>
      <c r="N504" s="128">
        <f t="shared" si="84"/>
        <v>0.46179253704695594</v>
      </c>
      <c r="O504" s="124" t="e">
        <f t="shared" si="74"/>
        <v>#DIV/0!</v>
      </c>
      <c r="P504" s="124">
        <f t="shared" si="74"/>
        <v>-15.29000000000002</v>
      </c>
      <c r="Q504" s="124">
        <f t="shared" si="74"/>
        <v>0.5</v>
      </c>
      <c r="U504" s="119">
        <v>11.8</v>
      </c>
      <c r="V504" s="129" t="e">
        <f t="shared" si="80"/>
        <v>#DIV/0!</v>
      </c>
      <c r="W504" s="134" t="e">
        <f t="shared" si="76"/>
        <v>#DIV/0!</v>
      </c>
      <c r="X504" s="135" t="e">
        <f t="shared" si="77"/>
        <v>#DIV/0!</v>
      </c>
      <c r="Y504" s="134"/>
      <c r="Z504" s="135">
        <v>59.011400000000002</v>
      </c>
      <c r="AA504" s="136">
        <f t="shared" si="81"/>
        <v>0.51910000000000167</v>
      </c>
      <c r="AB504" s="131">
        <v>58.4923</v>
      </c>
      <c r="AC504" s="131">
        <f t="shared" si="82"/>
        <v>6.7623000000000033</v>
      </c>
      <c r="AD504" s="131">
        <v>49.271900000000002</v>
      </c>
      <c r="AE504" s="131">
        <f t="shared" si="79"/>
        <v>10.458500000000001</v>
      </c>
      <c r="AF504" s="131">
        <v>59.730400000000003</v>
      </c>
      <c r="AG504" s="130">
        <f>'[6]Monthly Palm Oil'!$D131</f>
        <v>2908.6666666666665</v>
      </c>
      <c r="AH504" s="131">
        <f>'[6]Monthly Palm Oil'!$X131</f>
        <v>42.576572529453671</v>
      </c>
      <c r="AI504" s="131">
        <f t="shared" ref="AI504:AI567" si="85">D506-AH504</f>
        <v>7.5834274705463258</v>
      </c>
    </row>
    <row r="505" spans="1:35">
      <c r="A505" s="99">
        <v>40848</v>
      </c>
      <c r="B505" s="119" t="e">
        <f>'[4]Monthly Prices'!$CF145</f>
        <v>#DIV/0!</v>
      </c>
      <c r="C505" s="119">
        <v>299.37</v>
      </c>
      <c r="D505" s="119">
        <v>50.66</v>
      </c>
      <c r="E505" s="122" t="e">
        <f t="shared" si="78"/>
        <v>#DIV/0!</v>
      </c>
      <c r="F505" s="128" t="e">
        <f t="shared" si="73"/>
        <v>#DIV/0!</v>
      </c>
      <c r="G505" s="127" t="e">
        <f t="shared" si="75"/>
        <v>#DIV/0!</v>
      </c>
      <c r="J505" s="119">
        <v>11.79</v>
      </c>
      <c r="K505" s="119">
        <v>290.37</v>
      </c>
      <c r="L505" s="119">
        <v>51.44</v>
      </c>
      <c r="M505" s="119">
        <f t="shared" si="83"/>
        <v>0.2565400000000011</v>
      </c>
      <c r="N505" s="128">
        <f t="shared" si="84"/>
        <v>0.46971163504209501</v>
      </c>
      <c r="O505" s="124" t="e">
        <f t="shared" si="74"/>
        <v>#DIV/0!</v>
      </c>
      <c r="P505" s="124">
        <f t="shared" si="74"/>
        <v>-9</v>
      </c>
      <c r="Q505" s="124">
        <f t="shared" si="74"/>
        <v>0.78000000000000114</v>
      </c>
      <c r="U505" s="119">
        <v>11.7</v>
      </c>
      <c r="V505" s="129" t="e">
        <f t="shared" si="80"/>
        <v>#DIV/0!</v>
      </c>
      <c r="W505" s="134" t="e">
        <f t="shared" si="76"/>
        <v>#DIV/0!</v>
      </c>
      <c r="X505" s="135" t="e">
        <f t="shared" si="77"/>
        <v>#DIV/0!</v>
      </c>
      <c r="Y505" s="134"/>
      <c r="Z505" s="135">
        <v>59.336599999999997</v>
      </c>
      <c r="AA505" s="136">
        <f t="shared" si="81"/>
        <v>1.1104999999999947</v>
      </c>
      <c r="AB505" s="131">
        <v>58.226100000000002</v>
      </c>
      <c r="AC505" s="131">
        <f t="shared" si="82"/>
        <v>6.7861000000000047</v>
      </c>
      <c r="AD505" s="131">
        <v>52.5852</v>
      </c>
      <c r="AE505" s="131">
        <f t="shared" si="79"/>
        <v>6.7719000000000023</v>
      </c>
      <c r="AF505" s="131">
        <v>59.357100000000003</v>
      </c>
      <c r="AG505" s="130">
        <f>'[6]Monthly Palm Oil'!$D132</f>
        <v>3266</v>
      </c>
      <c r="AH505" s="131">
        <f>'[6]Monthly Palm Oil'!$X132</f>
        <v>47.591065320223748</v>
      </c>
      <c r="AI505" s="131">
        <f t="shared" si="85"/>
        <v>3.8589346797762545</v>
      </c>
    </row>
    <row r="506" spans="1:35">
      <c r="A506" s="99">
        <v>40878</v>
      </c>
      <c r="B506" s="119" t="e">
        <f>'[4]Monthly Prices'!$CF146</f>
        <v>#DIV/0!</v>
      </c>
      <c r="C506" s="119">
        <v>291.83</v>
      </c>
      <c r="D506" s="119">
        <v>50.16</v>
      </c>
      <c r="E506" s="122" t="e">
        <f t="shared" si="78"/>
        <v>#DIV/0!</v>
      </c>
      <c r="F506" s="128" t="e">
        <f t="shared" si="73"/>
        <v>#DIV/0!</v>
      </c>
      <c r="G506" s="127" t="e">
        <f t="shared" si="75"/>
        <v>#DIV/0!</v>
      </c>
      <c r="J506" s="119">
        <v>11.43</v>
      </c>
      <c r="K506" s="119">
        <v>281.64999999999998</v>
      </c>
      <c r="L506" s="119">
        <v>50.17</v>
      </c>
      <c r="M506" s="119">
        <f t="shared" si="83"/>
        <v>0.28500000000000014</v>
      </c>
      <c r="N506" s="128">
        <f t="shared" si="84"/>
        <v>0.47107981220657286</v>
      </c>
      <c r="O506" s="124" t="e">
        <f t="shared" si="74"/>
        <v>#DIV/0!</v>
      </c>
      <c r="P506" s="124">
        <f t="shared" si="74"/>
        <v>-10.180000000000007</v>
      </c>
      <c r="Q506" s="124">
        <f t="shared" si="74"/>
        <v>1.0000000000005116E-2</v>
      </c>
      <c r="R506" s="124">
        <f>AVERAGE(J504:J506)</f>
        <v>11.766666666666666</v>
      </c>
      <c r="S506" s="124">
        <f>AVERAGE(K504:K506)</f>
        <v>291.15666666666664</v>
      </c>
      <c r="T506" s="124">
        <f>AVERAGE(L504:L506)</f>
        <v>51.113333333333323</v>
      </c>
      <c r="U506" s="119">
        <v>11.5</v>
      </c>
      <c r="V506" s="129" t="e">
        <f t="shared" si="80"/>
        <v>#DIV/0!</v>
      </c>
      <c r="W506" s="134" t="e">
        <f t="shared" si="76"/>
        <v>#DIV/0!</v>
      </c>
      <c r="X506" s="135" t="e">
        <f t="shared" si="77"/>
        <v>#DIV/0!</v>
      </c>
      <c r="Y506" s="134"/>
      <c r="Z506" s="135">
        <v>58.209000000000003</v>
      </c>
      <c r="AA506" s="136">
        <f t="shared" si="81"/>
        <v>1.4167000000000058</v>
      </c>
      <c r="AB506" s="131">
        <v>56.792299999999997</v>
      </c>
      <c r="AC506" s="131">
        <f t="shared" si="82"/>
        <v>6.6222999999999956</v>
      </c>
      <c r="AD506" s="131">
        <v>53.692799999999998</v>
      </c>
      <c r="AE506" s="131">
        <f t="shared" si="79"/>
        <v>5.0472000000000037</v>
      </c>
      <c r="AF506" s="131">
        <v>58.74</v>
      </c>
      <c r="AG506" s="130">
        <f>'[6]Monthly Palm Oil'!$D133</f>
        <v>3618.4736842105262</v>
      </c>
      <c r="AH506" s="131">
        <f>'[6]Monthly Palm Oil'!$X133</f>
        <v>52.458977351694152</v>
      </c>
      <c r="AI506" s="131">
        <f t="shared" si="85"/>
        <v>0.64102264830584943</v>
      </c>
    </row>
    <row r="507" spans="1:35">
      <c r="A507" s="99">
        <v>40909</v>
      </c>
      <c r="B507" s="119" t="e">
        <f>'[4]Monthly Prices'!$CF147</f>
        <v>#DIV/0!</v>
      </c>
      <c r="C507" s="119">
        <v>315.5</v>
      </c>
      <c r="D507" s="119">
        <v>51.45</v>
      </c>
      <c r="E507" s="122" t="e">
        <f t="shared" si="78"/>
        <v>#DIV/0!</v>
      </c>
      <c r="F507" s="128" t="e">
        <f t="shared" si="73"/>
        <v>#DIV/0!</v>
      </c>
      <c r="G507" s="127" t="e">
        <f t="shared" si="75"/>
        <v>#DIV/0!</v>
      </c>
      <c r="J507" s="119">
        <v>12.02</v>
      </c>
      <c r="K507" s="119">
        <v>310.64999999999998</v>
      </c>
      <c r="L507" s="119">
        <v>50.99</v>
      </c>
      <c r="M507" s="119">
        <f t="shared" si="83"/>
        <v>0.42320000000000135</v>
      </c>
      <c r="N507" s="128">
        <f t="shared" si="84"/>
        <v>0.45076025459688823</v>
      </c>
      <c r="O507" s="124" t="e">
        <f t="shared" si="74"/>
        <v>#DIV/0!</v>
      </c>
      <c r="P507" s="124">
        <f t="shared" si="74"/>
        <v>-4.8500000000000227</v>
      </c>
      <c r="Q507" s="124">
        <f t="shared" si="74"/>
        <v>-0.46000000000000085</v>
      </c>
      <c r="R507" s="124"/>
      <c r="S507" s="124"/>
      <c r="T507" s="124"/>
      <c r="U507" s="119">
        <v>11.9</v>
      </c>
      <c r="V507" s="129" t="e">
        <f t="shared" si="80"/>
        <v>#DIV/0!</v>
      </c>
      <c r="W507" s="134" t="e">
        <f t="shared" si="76"/>
        <v>#DIV/0!</v>
      </c>
      <c r="X507" s="135" t="e">
        <f t="shared" si="77"/>
        <v>#DIV/0!</v>
      </c>
      <c r="Y507" s="134"/>
      <c r="Z507" s="135">
        <v>58.1325</v>
      </c>
      <c r="AA507" s="136">
        <f t="shared" si="81"/>
        <v>0.52499999999999858</v>
      </c>
      <c r="AB507" s="131">
        <v>57.607500000000002</v>
      </c>
      <c r="AC507" s="131">
        <f t="shared" si="82"/>
        <v>6.6174999999999997</v>
      </c>
      <c r="AD507" s="131">
        <v>53.777999999999999</v>
      </c>
      <c r="AE507" s="131">
        <f t="shared" si="79"/>
        <v>5.7650000000000006</v>
      </c>
      <c r="AF507" s="131">
        <v>59.542999999999999</v>
      </c>
      <c r="AG507" s="130">
        <f>'[6]Monthly Palm Oil'!$D134</f>
        <v>3735.7222222222222</v>
      </c>
      <c r="AH507" s="131">
        <f>'[6]Monthly Palm Oil'!$X134</f>
        <v>55.38014092705086</v>
      </c>
      <c r="AI507" s="131">
        <f t="shared" si="85"/>
        <v>-0.94014092705086227</v>
      </c>
    </row>
    <row r="508" spans="1:35">
      <c r="A508" s="99">
        <v>40940</v>
      </c>
      <c r="B508" s="119" t="e">
        <f>'[4]Monthly Prices'!$CF148</f>
        <v>#DIV/0!</v>
      </c>
      <c r="C508" s="119">
        <v>330.75</v>
      </c>
      <c r="D508" s="119">
        <v>53.1</v>
      </c>
      <c r="E508" s="122" t="e">
        <f t="shared" si="78"/>
        <v>#DIV/0!</v>
      </c>
      <c r="F508" s="128" t="e">
        <f t="shared" si="73"/>
        <v>#DIV/0!</v>
      </c>
      <c r="G508" s="127" t="e">
        <f t="shared" si="75"/>
        <v>#DIV/0!</v>
      </c>
      <c r="J508" s="119">
        <v>12.63</v>
      </c>
      <c r="K508" s="119">
        <v>330.37</v>
      </c>
      <c r="L508" s="119">
        <v>52.36</v>
      </c>
      <c r="M508" s="119">
        <f t="shared" si="83"/>
        <v>0.39773999999999887</v>
      </c>
      <c r="N508" s="128">
        <f t="shared" si="84"/>
        <v>0.44210277454109459</v>
      </c>
      <c r="O508" s="124" t="e">
        <f t="shared" si="74"/>
        <v>#DIV/0!</v>
      </c>
      <c r="P508" s="124">
        <f t="shared" si="74"/>
        <v>-0.37999999999999545</v>
      </c>
      <c r="Q508" s="124">
        <f t="shared" si="74"/>
        <v>-0.74000000000000199</v>
      </c>
      <c r="R508" s="124"/>
      <c r="S508" s="124"/>
      <c r="T508" s="124"/>
      <c r="U508" s="119">
        <v>12.2</v>
      </c>
      <c r="V508" s="129" t="e">
        <f t="shared" si="80"/>
        <v>#DIV/0!</v>
      </c>
      <c r="W508" s="134" t="e">
        <f t="shared" si="76"/>
        <v>#DIV/0!</v>
      </c>
      <c r="X508" s="135" t="e">
        <f t="shared" si="77"/>
        <v>#DIV/0!</v>
      </c>
      <c r="Y508" s="134"/>
      <c r="Z508" s="135">
        <v>59.280500000000004</v>
      </c>
      <c r="AA508" s="136">
        <f t="shared" si="81"/>
        <v>0.375</v>
      </c>
      <c r="AB508" s="131">
        <v>58.905500000000004</v>
      </c>
      <c r="AC508" s="131">
        <f t="shared" si="82"/>
        <v>6.5455000000000041</v>
      </c>
      <c r="AD508" s="131">
        <v>54.44</v>
      </c>
      <c r="AE508" s="131">
        <f t="shared" si="79"/>
        <v>6.4455000000000027</v>
      </c>
      <c r="AF508" s="131">
        <v>60.8855</v>
      </c>
      <c r="AG508" s="130">
        <f>'[6]Monthly Palm Oil'!$D135</f>
        <v>3745.2</v>
      </c>
      <c r="AH508" s="131">
        <f>'[6]Monthly Palm Oil'!$X135</f>
        <v>55.805390633304995</v>
      </c>
      <c r="AI508" s="131">
        <f t="shared" si="85"/>
        <v>1.4609366695005122E-2</v>
      </c>
    </row>
    <row r="509" spans="1:35">
      <c r="A509" s="99">
        <v>40969</v>
      </c>
      <c r="B509" s="119" t="e">
        <f>'[4]Monthly Prices'!$CF149</f>
        <v>#DIV/0!</v>
      </c>
      <c r="C509" s="119">
        <v>369.07</v>
      </c>
      <c r="D509" s="119">
        <v>54.44</v>
      </c>
      <c r="E509" s="122" t="e">
        <f t="shared" si="78"/>
        <v>#DIV/0!</v>
      </c>
      <c r="F509" s="128" t="e">
        <f t="shared" si="73"/>
        <v>#DIV/0!</v>
      </c>
      <c r="G509" s="127" t="e">
        <f t="shared" si="75"/>
        <v>#DIV/0!</v>
      </c>
      <c r="J509" s="119">
        <v>13.58</v>
      </c>
      <c r="K509" s="119">
        <v>365.95</v>
      </c>
      <c r="L509" s="119">
        <v>53.43</v>
      </c>
      <c r="M509" s="119">
        <f t="shared" si="83"/>
        <v>0.34820000000000029</v>
      </c>
      <c r="N509" s="128">
        <f t="shared" si="84"/>
        <v>0.42197125256673512</v>
      </c>
      <c r="O509" s="124" t="e">
        <f t="shared" si="74"/>
        <v>#DIV/0!</v>
      </c>
      <c r="P509" s="124">
        <f t="shared" si="74"/>
        <v>-3.1200000000000045</v>
      </c>
      <c r="Q509" s="124">
        <f t="shared" si="74"/>
        <v>-1.009999999999998</v>
      </c>
      <c r="R509" s="124">
        <f>AVERAGE(J507:J509)</f>
        <v>12.743333333333332</v>
      </c>
      <c r="S509" s="124">
        <f>AVERAGE(K507:K509)</f>
        <v>335.65666666666669</v>
      </c>
      <c r="T509" s="124">
        <f>AVERAGE(L507:L509)</f>
        <v>52.26</v>
      </c>
      <c r="U509" s="119">
        <v>13</v>
      </c>
      <c r="V509" s="129" t="e">
        <f t="shared" si="80"/>
        <v>#DIV/0!</v>
      </c>
      <c r="W509" s="134" t="e">
        <f t="shared" si="76"/>
        <v>#DIV/0!</v>
      </c>
      <c r="X509" s="135" t="e">
        <f t="shared" si="77"/>
        <v>#DIV/0!</v>
      </c>
      <c r="Y509" s="134"/>
      <c r="Z509" s="135">
        <v>61.055900000000001</v>
      </c>
      <c r="AA509" s="136">
        <f t="shared" si="81"/>
        <v>1.1364000000000019</v>
      </c>
      <c r="AB509" s="131">
        <v>59.919499999999999</v>
      </c>
      <c r="AC509" s="131">
        <f t="shared" si="82"/>
        <v>6.4894999999999996</v>
      </c>
      <c r="AD509" s="131">
        <v>56.993600000000001</v>
      </c>
      <c r="AE509" s="131">
        <f t="shared" si="79"/>
        <v>4.8903999999999996</v>
      </c>
      <c r="AF509" s="131">
        <v>61.884</v>
      </c>
      <c r="AG509" s="130">
        <f>'[6]Monthly Palm Oil'!$D136</f>
        <v>3420.478260869565</v>
      </c>
      <c r="AH509" s="131">
        <f>'[6]Monthly Palm Oil'!$X136</f>
        <v>51.13558577501103</v>
      </c>
      <c r="AI509" s="131">
        <f t="shared" si="85"/>
        <v>0.43441422498896998</v>
      </c>
    </row>
    <row r="510" spans="1:35">
      <c r="A510" s="99">
        <v>41000</v>
      </c>
      <c r="B510" s="119" t="e">
        <f>'[4]Monthly Prices'!$CF150</f>
        <v>#DIV/0!</v>
      </c>
      <c r="C510" s="119">
        <v>399.35</v>
      </c>
      <c r="D510" s="119">
        <v>55.82</v>
      </c>
      <c r="E510" s="122" t="e">
        <f t="shared" si="78"/>
        <v>#DIV/0!</v>
      </c>
      <c r="F510" s="128" t="e">
        <f t="shared" si="73"/>
        <v>#DIV/0!</v>
      </c>
      <c r="G510" s="127" t="e">
        <f t="shared" si="75"/>
        <v>#DIV/0!</v>
      </c>
      <c r="J510" s="119">
        <v>14.47</v>
      </c>
      <c r="K510" s="119">
        <v>394.29</v>
      </c>
      <c r="L510" s="119">
        <v>54.96</v>
      </c>
      <c r="M510" s="119">
        <f t="shared" si="83"/>
        <v>0.24997999999999898</v>
      </c>
      <c r="N510" s="128">
        <f t="shared" si="84"/>
        <v>0.410707079765054</v>
      </c>
      <c r="O510" s="124" t="e">
        <f t="shared" si="74"/>
        <v>#DIV/0!</v>
      </c>
      <c r="P510" s="124">
        <f t="shared" si="74"/>
        <v>-5.0600000000000023</v>
      </c>
      <c r="Q510" s="124">
        <f t="shared" si="74"/>
        <v>-0.85999999999999943</v>
      </c>
      <c r="R510" s="124"/>
      <c r="S510" s="124"/>
      <c r="T510" s="124"/>
      <c r="U510" s="119">
        <v>13.8</v>
      </c>
      <c r="V510" s="129" t="e">
        <f t="shared" si="80"/>
        <v>#DIV/0!</v>
      </c>
      <c r="W510" s="134" t="e">
        <f t="shared" si="76"/>
        <v>#DIV/0!</v>
      </c>
      <c r="X510" s="135" t="e">
        <f t="shared" si="77"/>
        <v>#DIV/0!</v>
      </c>
      <c r="Y510" s="134"/>
      <c r="Z510" s="135">
        <v>62.947499999999998</v>
      </c>
      <c r="AA510" s="136">
        <f t="shared" si="81"/>
        <v>1.3554999999999993</v>
      </c>
      <c r="AB510" s="131">
        <v>61.591999999999999</v>
      </c>
      <c r="AC510" s="131">
        <f t="shared" si="82"/>
        <v>6.6319999999999979</v>
      </c>
      <c r="AD510" s="131">
        <v>58.6205</v>
      </c>
      <c r="AE510" s="131">
        <f t="shared" si="79"/>
        <v>5.4589999999999961</v>
      </c>
      <c r="AF510" s="131">
        <v>64.079499999999996</v>
      </c>
      <c r="AG510" s="130">
        <f>'[6]Monthly Palm Oil'!$D137</f>
        <v>3324.95</v>
      </c>
      <c r="AH510" s="131">
        <f>'[6]Monthly Palm Oil'!$X137</f>
        <v>50.098340768655952</v>
      </c>
      <c r="AI510" s="131">
        <f t="shared" si="85"/>
        <v>-0.29834076865595449</v>
      </c>
    </row>
    <row r="511" spans="1:35">
      <c r="A511" s="99">
        <v>41030</v>
      </c>
      <c r="B511" s="119" t="e">
        <f>'[4]Monthly Prices'!$CF151</f>
        <v>#DIV/0!</v>
      </c>
      <c r="C511" s="119">
        <v>415.39</v>
      </c>
      <c r="D511" s="119">
        <v>51.57</v>
      </c>
      <c r="E511" s="122" t="e">
        <f t="shared" si="78"/>
        <v>#DIV/0!</v>
      </c>
      <c r="F511" s="128" t="e">
        <f t="shared" si="73"/>
        <v>#DIV/0!</v>
      </c>
      <c r="G511" s="127" t="e">
        <f t="shared" si="75"/>
        <v>#DIV/0!</v>
      </c>
      <c r="J511" s="119">
        <v>14.29</v>
      </c>
      <c r="K511" s="119">
        <v>415.17</v>
      </c>
      <c r="L511" s="119">
        <v>50.69</v>
      </c>
      <c r="M511" s="119">
        <f t="shared" si="83"/>
        <v>0.41964000000000112</v>
      </c>
      <c r="N511" s="128">
        <f t="shared" si="84"/>
        <v>0.37906434147946516</v>
      </c>
      <c r="O511" s="124" t="e">
        <f t="shared" si="74"/>
        <v>#DIV/0!</v>
      </c>
      <c r="P511" s="124">
        <f t="shared" si="74"/>
        <v>-0.21999999999997044</v>
      </c>
      <c r="Q511" s="124">
        <f t="shared" si="74"/>
        <v>-0.88000000000000256</v>
      </c>
      <c r="R511" s="124"/>
      <c r="S511" s="124"/>
      <c r="T511" s="124"/>
      <c r="U511" s="119">
        <v>14</v>
      </c>
      <c r="V511" s="129" t="e">
        <f t="shared" si="80"/>
        <v>#DIV/0!</v>
      </c>
      <c r="W511" s="134" t="e">
        <f t="shared" si="76"/>
        <v>#DIV/0!</v>
      </c>
      <c r="X511" s="135" t="e">
        <f t="shared" si="77"/>
        <v>#DIV/0!</v>
      </c>
      <c r="Y511" s="134"/>
      <c r="Z511" s="135">
        <v>60.384999999999998</v>
      </c>
      <c r="AA511" s="136">
        <f t="shared" si="81"/>
        <v>2.6135999999999981</v>
      </c>
      <c r="AB511" s="131">
        <v>57.7714</v>
      </c>
      <c r="AC511" s="131">
        <f t="shared" si="82"/>
        <v>7.0814000000000021</v>
      </c>
      <c r="AD511" s="131">
        <v>54.136800000000001</v>
      </c>
      <c r="AE511" s="131">
        <f t="shared" si="79"/>
        <v>6.43</v>
      </c>
      <c r="AF511" s="131">
        <v>60.566800000000001</v>
      </c>
      <c r="AG511" s="130">
        <f>'[6]Monthly Palm Oil'!$D138</f>
        <v>3311.8421052631579</v>
      </c>
      <c r="AH511" s="131">
        <f>'[6]Monthly Palm Oil'!$X138</f>
        <v>49.840385049155714</v>
      </c>
      <c r="AI511" s="131">
        <f t="shared" si="85"/>
        <v>3.4796149508442866</v>
      </c>
    </row>
    <row r="512" spans="1:35">
      <c r="A512" s="99">
        <v>41061</v>
      </c>
      <c r="B512" s="119" t="e">
        <f>'[4]Monthly Prices'!$CF152</f>
        <v>#DIV/0!</v>
      </c>
      <c r="C512" s="119">
        <v>420.95</v>
      </c>
      <c r="D512" s="119">
        <v>49.8</v>
      </c>
      <c r="E512" s="122" t="e">
        <f t="shared" si="78"/>
        <v>#DIV/0!</v>
      </c>
      <c r="F512" s="128" t="e">
        <f t="shared" si="73"/>
        <v>#DIV/0!</v>
      </c>
      <c r="G512" s="127" t="e">
        <f t="shared" si="75"/>
        <v>#DIV/0!</v>
      </c>
      <c r="J512" s="119">
        <v>14.45</v>
      </c>
      <c r="K512" s="119">
        <v>422.59</v>
      </c>
      <c r="L512" s="119">
        <v>48.65</v>
      </c>
      <c r="M512" s="119">
        <f t="shared" si="83"/>
        <v>0.19847999999999999</v>
      </c>
      <c r="N512" s="128">
        <f t="shared" si="84"/>
        <v>0.36532800672834315</v>
      </c>
      <c r="O512" s="124" t="e">
        <f t="shared" si="74"/>
        <v>#DIV/0!</v>
      </c>
      <c r="P512" s="124">
        <f t="shared" si="74"/>
        <v>1.6399999999999864</v>
      </c>
      <c r="Q512" s="124">
        <f t="shared" si="74"/>
        <v>-1.1499999999999986</v>
      </c>
      <c r="R512" s="124">
        <f>AVERAGE(J510:J512)</f>
        <v>14.403333333333331</v>
      </c>
      <c r="S512" s="124">
        <f>AVERAGE(K510:K512)</f>
        <v>410.68333333333334</v>
      </c>
      <c r="T512" s="124">
        <f>AVERAGE(L510:L512)</f>
        <v>51.433333333333337</v>
      </c>
      <c r="U512" s="119">
        <v>13.9</v>
      </c>
      <c r="V512" s="129" t="e">
        <f t="shared" si="80"/>
        <v>#DIV/0!</v>
      </c>
      <c r="W512" s="134" t="e">
        <f t="shared" si="76"/>
        <v>#DIV/0!</v>
      </c>
      <c r="X512" s="135" t="e">
        <f t="shared" si="77"/>
        <v>#DIV/0!</v>
      </c>
      <c r="Y512" s="134"/>
      <c r="Z512" s="135">
        <v>60.366700000000002</v>
      </c>
      <c r="AA512" s="136">
        <f t="shared" si="81"/>
        <v>4.5715000000000003</v>
      </c>
      <c r="AB512" s="131">
        <v>55.795200000000001</v>
      </c>
      <c r="AC512" s="131">
        <f t="shared" si="82"/>
        <v>7.1452000000000027</v>
      </c>
      <c r="AD512" s="131">
        <v>49.618099999999998</v>
      </c>
      <c r="AE512" s="131">
        <f t="shared" si="79"/>
        <v>9.1771000000000029</v>
      </c>
      <c r="AF512" s="131">
        <v>58.795200000000001</v>
      </c>
      <c r="AG512" s="130">
        <f>'[6]Monthly Palm Oil'!$D139</f>
        <v>3230.318181818182</v>
      </c>
      <c r="AH512" s="131">
        <f>'[6]Monthly Palm Oil'!$X139</f>
        <v>48.415166989060985</v>
      </c>
      <c r="AI512" s="131">
        <f t="shared" si="85"/>
        <v>5.5765721413737168</v>
      </c>
    </row>
    <row r="513" spans="1:35">
      <c r="A513" s="99">
        <v>41091</v>
      </c>
      <c r="B513" s="119" t="e">
        <f>'[4]Monthly Prices'!$CF153</f>
        <v>#DIV/0!</v>
      </c>
      <c r="C513" s="119">
        <v>490.95</v>
      </c>
      <c r="D513" s="119">
        <v>53.32</v>
      </c>
      <c r="E513" s="122" t="e">
        <f t="shared" si="78"/>
        <v>#DIV/0!</v>
      </c>
      <c r="F513" s="128" t="e">
        <f t="shared" si="73"/>
        <v>#DIV/0!</v>
      </c>
      <c r="G513" s="127" t="e">
        <f t="shared" si="75"/>
        <v>#DIV/0!</v>
      </c>
      <c r="J513" s="119">
        <v>16.86</v>
      </c>
      <c r="K513" s="119">
        <v>515.82000000000005</v>
      </c>
      <c r="L513" s="119">
        <v>51.96</v>
      </c>
      <c r="M513" s="119">
        <f t="shared" si="83"/>
        <v>0.20364000000000004</v>
      </c>
      <c r="N513" s="128">
        <f t="shared" si="84"/>
        <v>0.33495784017946933</v>
      </c>
      <c r="O513" s="124" t="e">
        <f t="shared" si="74"/>
        <v>#DIV/0!</v>
      </c>
      <c r="P513" s="124">
        <f t="shared" si="74"/>
        <v>24.870000000000061</v>
      </c>
      <c r="Q513" s="124">
        <f t="shared" si="74"/>
        <v>-1.3599999999999994</v>
      </c>
      <c r="R513" s="124"/>
      <c r="S513" s="124"/>
      <c r="T513" s="124"/>
      <c r="U513" s="119">
        <v>15.4</v>
      </c>
      <c r="V513" s="129" t="e">
        <f t="shared" si="80"/>
        <v>#DIV/0!</v>
      </c>
      <c r="W513" s="134" t="e">
        <f t="shared" si="76"/>
        <v>#DIV/0!</v>
      </c>
      <c r="X513" s="135" t="e">
        <f t="shared" si="77"/>
        <v>#DIV/0!</v>
      </c>
      <c r="Y513" s="134"/>
      <c r="Z513" s="135">
        <v>64.307599999999994</v>
      </c>
      <c r="AA513" s="136">
        <f t="shared" si="81"/>
        <v>5.188299999999991</v>
      </c>
      <c r="AB513" s="131">
        <v>59.119300000000003</v>
      </c>
      <c r="AC513" s="131">
        <f t="shared" si="82"/>
        <v>7.1593000000000018</v>
      </c>
      <c r="AD513" s="131">
        <v>50.695700000000002</v>
      </c>
      <c r="AE513" s="131">
        <f t="shared" si="79"/>
        <v>11.567599999999999</v>
      </c>
      <c r="AF513" s="131">
        <v>62.263300000000001</v>
      </c>
      <c r="AG513" s="130">
        <f>'[6]Monthly Palm Oil'!$D140</f>
        <v>3092.7</v>
      </c>
      <c r="AH513" s="131">
        <f>'[6]Monthly Palm Oil'!$X140</f>
        <v>46.886173486433627</v>
      </c>
      <c r="AI513" s="131">
        <f t="shared" si="85"/>
        <v>8.2364580925136721</v>
      </c>
    </row>
    <row r="514" spans="1:35">
      <c r="A514" s="99">
        <v>41122</v>
      </c>
      <c r="B514" s="119" t="e">
        <f>'[4]Monthly Prices'!$CF154</f>
        <v>#DIV/0!</v>
      </c>
      <c r="C514" s="119">
        <v>522.01</v>
      </c>
      <c r="D514" s="119">
        <v>53.991739130434702</v>
      </c>
      <c r="E514" s="122" t="e">
        <f t="shared" si="78"/>
        <v>#DIV/0!</v>
      </c>
      <c r="F514" s="128" t="e">
        <f t="shared" si="73"/>
        <v>#DIV/0!</v>
      </c>
      <c r="G514" s="127" t="e">
        <f t="shared" si="75"/>
        <v>#DIV/0!</v>
      </c>
      <c r="J514" s="119">
        <v>17.350000000000001</v>
      </c>
      <c r="K514" s="119">
        <v>564.69000000000005</v>
      </c>
      <c r="L514" s="119">
        <v>52.65</v>
      </c>
      <c r="M514" s="119">
        <f t="shared" si="83"/>
        <v>0.86467999999999989</v>
      </c>
      <c r="N514" s="128">
        <f t="shared" si="84"/>
        <v>0.31795782303065434</v>
      </c>
      <c r="O514" s="124" t="e">
        <f t="shared" si="74"/>
        <v>#DIV/0!</v>
      </c>
      <c r="P514" s="124">
        <f t="shared" si="74"/>
        <v>42.680000000000064</v>
      </c>
      <c r="Q514" s="124">
        <f t="shared" si="74"/>
        <v>-1.3417391304347035</v>
      </c>
      <c r="R514" s="124"/>
      <c r="S514" s="124"/>
      <c r="T514" s="124"/>
      <c r="U514" s="119">
        <v>16.2</v>
      </c>
      <c r="V514" s="129" t="e">
        <f t="shared" si="80"/>
        <v>#DIV/0!</v>
      </c>
      <c r="W514" s="134" t="e">
        <f t="shared" si="76"/>
        <v>#DIV/0!</v>
      </c>
      <c r="X514" s="135" t="e">
        <f t="shared" si="77"/>
        <v>#DIV/0!</v>
      </c>
      <c r="Y514" s="134"/>
      <c r="Z514" s="135">
        <v>63.730899999999998</v>
      </c>
      <c r="AA514" s="136">
        <f t="shared" si="81"/>
        <v>5.4996000000000009</v>
      </c>
      <c r="AB514" s="131">
        <v>58.231299999999997</v>
      </c>
      <c r="AC514" s="131">
        <f t="shared" si="82"/>
        <v>5.5812999999999988</v>
      </c>
      <c r="AD514" s="131">
        <v>49.599600000000002</v>
      </c>
      <c r="AE514" s="131">
        <f t="shared" si="79"/>
        <v>12.694699999999997</v>
      </c>
      <c r="AF514" s="131">
        <v>62.2943</v>
      </c>
      <c r="AG514" s="130">
        <f>'[6]Monthly Palm Oil'!$D141</f>
        <v>3030</v>
      </c>
      <c r="AH514" s="131">
        <f>'[6]Monthly Palm Oil'!$X141</f>
        <v>46.086766682985555</v>
      </c>
      <c r="AI514" s="131">
        <f t="shared" si="85"/>
        <v>4.9175811431013443</v>
      </c>
    </row>
    <row r="515" spans="1:35">
      <c r="A515" s="99">
        <v>41153</v>
      </c>
      <c r="B515" s="119" t="e">
        <f>'[4]Monthly Prices'!$CF155</f>
        <v>#DIV/0!</v>
      </c>
      <c r="C515" s="119">
        <v>505.32</v>
      </c>
      <c r="D515" s="119">
        <v>55.122631578947299</v>
      </c>
      <c r="E515" s="122" t="e">
        <f t="shared" si="78"/>
        <v>#DIV/0!</v>
      </c>
      <c r="F515" s="128" t="e">
        <f t="shared" ref="F515:F578" si="86">D515/100*11/(B515+E515)</f>
        <v>#DIV/0!</v>
      </c>
      <c r="G515" s="127" t="e">
        <f t="shared" si="75"/>
        <v>#DIV/0!</v>
      </c>
      <c r="J515" s="119">
        <v>16.95</v>
      </c>
      <c r="K515" s="119">
        <v>529.37</v>
      </c>
      <c r="L515" s="119">
        <v>53.81</v>
      </c>
      <c r="M515" s="119">
        <f t="shared" si="83"/>
        <v>0.61524000000000356</v>
      </c>
      <c r="N515" s="128">
        <f t="shared" si="84"/>
        <v>0.3369780316124345</v>
      </c>
      <c r="O515" s="124" t="e">
        <f t="shared" ref="O515:Q578" si="87">J515-B515</f>
        <v>#DIV/0!</v>
      </c>
      <c r="P515" s="124">
        <f t="shared" si="87"/>
        <v>24.050000000000011</v>
      </c>
      <c r="Q515" s="124">
        <f t="shared" si="87"/>
        <v>-1.3126315789472969</v>
      </c>
      <c r="R515" s="124">
        <f>AVERAGE(J513:J515)</f>
        <v>17.053333333333331</v>
      </c>
      <c r="S515" s="124">
        <f>AVERAGE(K513:K515)</f>
        <v>536.62666666666667</v>
      </c>
      <c r="T515" s="124">
        <f>AVERAGE(L513:L515)</f>
        <v>52.806666666666672</v>
      </c>
      <c r="U515" s="119">
        <v>14.3</v>
      </c>
      <c r="V515" s="129" t="e">
        <f t="shared" si="80"/>
        <v>#DIV/0!</v>
      </c>
      <c r="W515" s="134" t="e">
        <f t="shared" si="76"/>
        <v>#DIV/0!</v>
      </c>
      <c r="X515" s="135" t="e">
        <f t="shared" si="77"/>
        <v>#DIV/0!</v>
      </c>
      <c r="Y515" s="134"/>
      <c r="Z515" s="135">
        <v>64.228399999999993</v>
      </c>
      <c r="AA515" s="136">
        <f t="shared" si="81"/>
        <v>5.5715999999999966</v>
      </c>
      <c r="AB515" s="131">
        <v>58.656799999999997</v>
      </c>
      <c r="AC515" s="131">
        <f t="shared" si="82"/>
        <v>4.8467999999999947</v>
      </c>
      <c r="AD515" s="131">
        <v>47.950499999999998</v>
      </c>
      <c r="AE515" s="131">
        <f t="shared" si="79"/>
        <v>14.895800000000001</v>
      </c>
      <c r="AF515" s="131">
        <v>62.846299999999999</v>
      </c>
      <c r="AG515" s="130">
        <f>'[6]Monthly Palm Oil'!$D142</f>
        <v>3006.4736842105262</v>
      </c>
      <c r="AH515" s="131">
        <f>'[6]Monthly Palm Oil'!$X142</f>
        <v>44.194906015756608</v>
      </c>
      <c r="AI515" s="131">
        <f t="shared" si="85"/>
        <v>4.4193796985290916</v>
      </c>
    </row>
    <row r="516" spans="1:35">
      <c r="A516" s="99">
        <v>41183</v>
      </c>
      <c r="B516" s="119" t="e">
        <f>'[4]Monthly Prices'!$CF156</f>
        <v>#DIV/0!</v>
      </c>
      <c r="C516" s="119">
        <v>469.6</v>
      </c>
      <c r="D516" s="119">
        <v>51.004347826086899</v>
      </c>
      <c r="E516" s="122" t="e">
        <f>(C516/2000*44)+(D516/100*11)-B516</f>
        <v>#DIV/0!</v>
      </c>
      <c r="F516" s="128" t="e">
        <f t="shared" si="86"/>
        <v>#DIV/0!</v>
      </c>
      <c r="G516" s="127" t="e">
        <f t="shared" ref="G516:G579" si="88">F516-F515</f>
        <v>#DIV/0!</v>
      </c>
      <c r="J516" s="119">
        <v>15.49</v>
      </c>
      <c r="K516" s="119">
        <v>488.46</v>
      </c>
      <c r="L516" s="119">
        <v>49.31</v>
      </c>
      <c r="M516" s="119">
        <f t="shared" si="83"/>
        <v>0.68022000000000027</v>
      </c>
      <c r="N516" s="128">
        <f t="shared" si="84"/>
        <v>0.3354376130936994</v>
      </c>
      <c r="O516" s="124" t="e">
        <f t="shared" si="87"/>
        <v>#DIV/0!</v>
      </c>
      <c r="P516" s="124">
        <f t="shared" si="87"/>
        <v>18.859999999999957</v>
      </c>
      <c r="Q516" s="124">
        <f t="shared" si="87"/>
        <v>-1.6943478260868972</v>
      </c>
      <c r="U516" s="119">
        <v>14.2</v>
      </c>
      <c r="V516" s="129" t="e">
        <f t="shared" si="80"/>
        <v>#DIV/0!</v>
      </c>
      <c r="W516" s="134" t="e">
        <f t="shared" si="76"/>
        <v>#DIV/0!</v>
      </c>
      <c r="X516" s="135" t="e">
        <f t="shared" si="77"/>
        <v>#DIV/0!</v>
      </c>
      <c r="Y516" s="134"/>
      <c r="Z516" s="135">
        <v>62.069600000000001</v>
      </c>
      <c r="AA516" s="136">
        <f t="shared" si="81"/>
        <v>7.6696000000000026</v>
      </c>
      <c r="AB516" s="131">
        <v>54.4</v>
      </c>
      <c r="AC516" s="131">
        <f t="shared" si="82"/>
        <v>5.0899999999999963</v>
      </c>
      <c r="AD516" s="131">
        <v>42.253</v>
      </c>
      <c r="AE516" s="131">
        <f t="shared" si="79"/>
        <v>15.670900000000003</v>
      </c>
      <c r="AF516" s="131">
        <v>57.923900000000003</v>
      </c>
      <c r="AG516" s="130">
        <f>'[6]Monthly Palm Oil'!$D143</f>
        <v>2865.55</v>
      </c>
      <c r="AH516" s="131">
        <f>'[6]Monthly Palm Oil'!$X143</f>
        <v>41.494094351538834</v>
      </c>
      <c r="AI516" s="131">
        <f t="shared" si="85"/>
        <v>8.0859056484611642</v>
      </c>
    </row>
    <row r="517" spans="1:35">
      <c r="A517" s="99">
        <v>41214</v>
      </c>
      <c r="B517" s="119" t="e">
        <f>'[4]Monthly Prices'!$CF157</f>
        <v>#DIV/0!</v>
      </c>
      <c r="C517" s="119">
        <v>445.06</v>
      </c>
      <c r="D517" s="119">
        <v>48.6142857142857</v>
      </c>
      <c r="E517" s="122" t="e">
        <f>(C517/2000*44)+(D517/100*11)-B517</f>
        <v>#DIV/0!</v>
      </c>
      <c r="F517" s="128" t="e">
        <f t="shared" si="86"/>
        <v>#DIV/0!</v>
      </c>
      <c r="G517" s="127" t="e">
        <f t="shared" si="88"/>
        <v>#DIV/0!</v>
      </c>
      <c r="J517" s="119">
        <v>14.64</v>
      </c>
      <c r="K517" s="119">
        <v>465.64</v>
      </c>
      <c r="L517" s="119">
        <v>46.27</v>
      </c>
      <c r="M517" s="119">
        <f t="shared" si="83"/>
        <v>0.69378000000000029</v>
      </c>
      <c r="N517" s="128">
        <f t="shared" si="84"/>
        <v>0.33192728733554283</v>
      </c>
      <c r="O517" s="124" t="e">
        <f t="shared" si="87"/>
        <v>#DIV/0!</v>
      </c>
      <c r="P517" s="124">
        <f t="shared" si="87"/>
        <v>20.579999999999984</v>
      </c>
      <c r="Q517" s="124">
        <f t="shared" si="87"/>
        <v>-2.3442857142856965</v>
      </c>
      <c r="U517" s="119">
        <v>14.3</v>
      </c>
      <c r="V517" s="129" t="e">
        <f t="shared" si="80"/>
        <v>#DIV/0!</v>
      </c>
      <c r="W517" s="134" t="e">
        <f t="shared" si="76"/>
        <v>#DIV/0!</v>
      </c>
      <c r="X517" s="135" t="e">
        <f t="shared" si="77"/>
        <v>#DIV/0!</v>
      </c>
      <c r="Y517" s="134"/>
      <c r="Z517" s="135">
        <v>59.417299999999997</v>
      </c>
      <c r="AA517" s="136">
        <f t="shared" si="81"/>
        <v>8.1204999999999998</v>
      </c>
      <c r="AB517" s="131">
        <v>51.296799999999998</v>
      </c>
      <c r="AC517" s="131">
        <f t="shared" si="82"/>
        <v>5.0267999999999944</v>
      </c>
      <c r="AD517" s="131">
        <v>41.3795</v>
      </c>
      <c r="AE517" s="131">
        <f t="shared" si="79"/>
        <v>14.189999999999998</v>
      </c>
      <c r="AF517" s="131">
        <v>55.569499999999998</v>
      </c>
      <c r="AG517" s="130">
        <f>'[6]Monthly Palm Oil'!$D144</f>
        <v>3102.7368421052633</v>
      </c>
      <c r="AH517" s="131">
        <f>'[6]Monthly Palm Oil'!$X144</f>
        <v>44.661501970380364</v>
      </c>
      <c r="AI517" s="131">
        <f t="shared" si="85"/>
        <v>6.4114980296196364</v>
      </c>
    </row>
    <row r="518" spans="1:35">
      <c r="A518" s="99">
        <v>41244</v>
      </c>
      <c r="B518" s="119" t="e">
        <f>'[4]Monthly Prices'!$CF158</f>
        <v>#DIV/0!</v>
      </c>
      <c r="C518" s="119">
        <v>440.61</v>
      </c>
      <c r="D518" s="119">
        <v>49.58</v>
      </c>
      <c r="E518" s="122" t="e">
        <f>(C518/2000*44)+(D518/100*11)-B518</f>
        <v>#DIV/0!</v>
      </c>
      <c r="F518" s="128" t="e">
        <f t="shared" si="86"/>
        <v>#DIV/0!</v>
      </c>
      <c r="G518" s="127" t="e">
        <f t="shared" si="88"/>
        <v>#DIV/0!</v>
      </c>
      <c r="J518" s="119">
        <v>14.74</v>
      </c>
      <c r="K518" s="119">
        <v>459.4</v>
      </c>
      <c r="L518" s="119">
        <v>47.16</v>
      </c>
      <c r="M518" s="119">
        <f t="shared" si="83"/>
        <v>0.55439999999999934</v>
      </c>
      <c r="N518" s="128">
        <f t="shared" si="84"/>
        <v>0.33918296892980437</v>
      </c>
      <c r="O518" s="124" t="e">
        <f t="shared" si="87"/>
        <v>#DIV/0!</v>
      </c>
      <c r="P518" s="124">
        <f t="shared" si="87"/>
        <v>18.789999999999964</v>
      </c>
      <c r="Q518" s="124">
        <f t="shared" si="87"/>
        <v>-2.4200000000000017</v>
      </c>
      <c r="R518" s="124">
        <f>AVERAGE(J516:J518)</f>
        <v>14.956666666666669</v>
      </c>
      <c r="S518" s="124">
        <f>AVERAGE(K516:K518)</f>
        <v>471.16666666666669</v>
      </c>
      <c r="T518" s="124">
        <f>AVERAGE(L516:L518)</f>
        <v>47.580000000000005</v>
      </c>
      <c r="U518" s="119">
        <v>14.3</v>
      </c>
      <c r="V518" s="129" t="e">
        <f t="shared" si="80"/>
        <v>#DIV/0!</v>
      </c>
      <c r="W518" s="134" t="e">
        <f t="shared" si="76"/>
        <v>#DIV/0!</v>
      </c>
      <c r="X518" s="135" t="e">
        <f t="shared" si="77"/>
        <v>#DIV/0!</v>
      </c>
      <c r="Y518" s="134"/>
      <c r="Z518" s="135">
        <v>58.735500000000002</v>
      </c>
      <c r="AA518" s="136">
        <f t="shared" si="81"/>
        <v>6.1185000000000045</v>
      </c>
      <c r="AB518" s="131">
        <v>52.616999999999997</v>
      </c>
      <c r="AC518" s="131">
        <f t="shared" si="82"/>
        <v>5.4570000000000007</v>
      </c>
      <c r="AD518" s="131">
        <v>40.145499999999998</v>
      </c>
      <c r="AE518" s="131">
        <f t="shared" si="79"/>
        <v>17.046500000000002</v>
      </c>
      <c r="AF518" s="131">
        <v>57.192</v>
      </c>
      <c r="AG518" s="130">
        <f>'[6]Monthly Palm Oil'!$D145</f>
        <v>3079.9523809523807</v>
      </c>
      <c r="AH518" s="131">
        <f>'[6]Monthly Palm Oil'!$X145</f>
        <v>44.22714021797416</v>
      </c>
      <c r="AI518" s="131">
        <f t="shared" si="85"/>
        <v>7.1323597820258371</v>
      </c>
    </row>
    <row r="519" spans="1:35">
      <c r="A519" s="99">
        <v>41275</v>
      </c>
      <c r="B519" s="119" t="e">
        <f>'[4]Monthly Prices'!$CF159</f>
        <v>#DIV/0!</v>
      </c>
      <c r="C519" s="119">
        <v>414.17270000000002</v>
      </c>
      <c r="D519" s="119">
        <v>51.073</v>
      </c>
      <c r="E519" s="122" t="e">
        <f t="shared" ref="E519:E582" si="89">(C519/2000*44)+(D519/100*11)-B519</f>
        <v>#DIV/0!</v>
      </c>
      <c r="F519" s="128" t="e">
        <f t="shared" si="86"/>
        <v>#DIV/0!</v>
      </c>
      <c r="G519" s="127" t="e">
        <f t="shared" si="88"/>
        <v>#DIV/0!</v>
      </c>
      <c r="J519" s="119">
        <v>14.54</v>
      </c>
      <c r="K519" s="119">
        <v>431.39</v>
      </c>
      <c r="L519" s="119">
        <v>48.85</v>
      </c>
      <c r="M519" s="119">
        <f t="shared" si="83"/>
        <v>0.32408000000000037</v>
      </c>
      <c r="N519" s="128">
        <f t="shared" si="84"/>
        <v>0.36150908767982948</v>
      </c>
      <c r="O519" s="124" t="e">
        <f t="shared" si="87"/>
        <v>#DIV/0!</v>
      </c>
      <c r="P519" s="124">
        <f t="shared" si="87"/>
        <v>17.217299999999966</v>
      </c>
      <c r="Q519" s="124">
        <f t="shared" si="87"/>
        <v>-2.222999999999999</v>
      </c>
      <c r="U519" s="119">
        <v>14.3</v>
      </c>
      <c r="V519" s="129" t="e">
        <f t="shared" si="80"/>
        <v>#DIV/0!</v>
      </c>
      <c r="W519" s="134" t="e">
        <f t="shared" si="76"/>
        <v>#DIV/0!</v>
      </c>
      <c r="X519" s="135" t="e">
        <f t="shared" si="77"/>
        <v>#DIV/0!</v>
      </c>
      <c r="Y519" s="134"/>
      <c r="Z519" s="135">
        <v>60.016199999999998</v>
      </c>
      <c r="AA519" s="136">
        <f t="shared" si="81"/>
        <v>5.4590999999999994</v>
      </c>
      <c r="AB519" s="131">
        <v>54.557099999999998</v>
      </c>
      <c r="AC519" s="131">
        <f t="shared" si="82"/>
        <v>5.707099999999997</v>
      </c>
      <c r="AD519" s="131">
        <v>41.924799999999998</v>
      </c>
      <c r="AE519" s="131">
        <f t="shared" si="79"/>
        <v>16.346600000000002</v>
      </c>
      <c r="AF519" s="131">
        <v>58.2714</v>
      </c>
      <c r="AG519" s="130">
        <f>'[6]Monthly Palm Oil'!$D146</f>
        <v>3175.1176470588234</v>
      </c>
      <c r="AH519" s="131">
        <f>'[6]Monthly Palm Oil'!$X146</f>
        <v>46.336216995589062</v>
      </c>
      <c r="AI519" s="131">
        <f t="shared" si="85"/>
        <v>3.7880830044109359</v>
      </c>
    </row>
    <row r="520" spans="1:35">
      <c r="A520" s="99">
        <v>41306</v>
      </c>
      <c r="B520" s="119" t="e">
        <f>'[4]Monthly Prices'!$CF160</f>
        <v>#DIV/0!</v>
      </c>
      <c r="C520" s="119">
        <v>424.8</v>
      </c>
      <c r="D520" s="119">
        <v>51.359499999999997</v>
      </c>
      <c r="E520" s="122" t="e">
        <f t="shared" si="89"/>
        <v>#DIV/0!</v>
      </c>
      <c r="F520" s="128" t="e">
        <f t="shared" si="86"/>
        <v>#DIV/0!</v>
      </c>
      <c r="G520" s="127" t="e">
        <f t="shared" si="88"/>
        <v>#DIV/0!</v>
      </c>
      <c r="J520" s="119">
        <v>14.91</v>
      </c>
      <c r="K520" s="119">
        <v>440.66</v>
      </c>
      <c r="L520" s="119">
        <v>49.33</v>
      </c>
      <c r="M520" s="119">
        <f t="shared" si="83"/>
        <v>0.21082000000000001</v>
      </c>
      <c r="N520" s="128">
        <f t="shared" si="84"/>
        <v>0.35886281299559147</v>
      </c>
      <c r="O520" s="124" t="e">
        <f t="shared" si="87"/>
        <v>#DIV/0!</v>
      </c>
      <c r="P520" s="124">
        <f t="shared" si="87"/>
        <v>15.860000000000014</v>
      </c>
      <c r="Q520" s="124">
        <f t="shared" si="87"/>
        <v>-2.0294999999999987</v>
      </c>
      <c r="U520" s="119">
        <v>14.6</v>
      </c>
      <c r="V520" s="129" t="e">
        <f t="shared" si="80"/>
        <v>#DIV/0!</v>
      </c>
      <c r="W520" s="134" t="e">
        <f t="shared" si="76"/>
        <v>#DIV/0!</v>
      </c>
      <c r="X520" s="135" t="e">
        <f>V520-W520</f>
        <v>#DIV/0!</v>
      </c>
      <c r="Y520" s="134"/>
      <c r="Z520" s="135">
        <v>60.952599999999997</v>
      </c>
      <c r="AA520" s="136">
        <f t="shared" si="81"/>
        <v>5.7083999999999975</v>
      </c>
      <c r="AB520" s="131">
        <v>55.244199999999999</v>
      </c>
      <c r="AC520" s="131">
        <f t="shared" si="82"/>
        <v>5.914200000000001</v>
      </c>
      <c r="AD520" s="131">
        <v>43.186799999999998</v>
      </c>
      <c r="AE520" s="131">
        <f t="shared" si="79"/>
        <v>15.399500000000003</v>
      </c>
      <c r="AF520" s="131">
        <v>58.586300000000001</v>
      </c>
      <c r="AG520" s="130">
        <f>'[6]Monthly Palm Oil'!$D147</f>
        <v>3205.4117647058824</v>
      </c>
      <c r="AH520" s="131">
        <f>'[6]Monthly Palm Oil'!$X147</f>
        <v>48.13147757131425</v>
      </c>
      <c r="AI520" s="131">
        <f t="shared" si="85"/>
        <v>1.1626224286857507</v>
      </c>
    </row>
    <row r="521" spans="1:35">
      <c r="A521" s="99">
        <v>41334</v>
      </c>
      <c r="B521" s="119" t="e">
        <f>'[4]Monthly Prices'!$CF161</f>
        <v>#DIV/0!</v>
      </c>
      <c r="C521" s="119">
        <v>423.98099999999999</v>
      </c>
      <c r="D521" s="119">
        <v>50.124299999999998</v>
      </c>
      <c r="E521" s="122" t="e">
        <f t="shared" si="89"/>
        <v>#DIV/0!</v>
      </c>
      <c r="F521" s="128" t="e">
        <f t="shared" si="86"/>
        <v>#DIV/0!</v>
      </c>
      <c r="G521" s="127" t="e">
        <f t="shared" si="88"/>
        <v>#DIV/0!</v>
      </c>
      <c r="J521" s="119">
        <v>14.88</v>
      </c>
      <c r="K521" s="119">
        <v>437.33</v>
      </c>
      <c r="L521" s="119">
        <v>48.62</v>
      </c>
      <c r="M521" s="119">
        <f t="shared" si="83"/>
        <v>8.9459999999997208E-2</v>
      </c>
      <c r="N521" s="128">
        <f t="shared" si="84"/>
        <v>0.357274076686801</v>
      </c>
      <c r="O521" s="124" t="e">
        <f t="shared" si="87"/>
        <v>#DIV/0!</v>
      </c>
      <c r="P521" s="124">
        <f t="shared" si="87"/>
        <v>13.34899999999999</v>
      </c>
      <c r="Q521" s="124">
        <f t="shared" si="87"/>
        <v>-1.5043000000000006</v>
      </c>
      <c r="R521" s="124">
        <f>AVERAGE(J519:J521)</f>
        <v>14.776666666666666</v>
      </c>
      <c r="S521" s="124">
        <f>AVERAGE(K519:K521)</f>
        <v>436.46</v>
      </c>
      <c r="T521" s="124">
        <f>AVERAGE(L519:L521)</f>
        <v>48.933333333333337</v>
      </c>
      <c r="U521" s="119">
        <v>14.6</v>
      </c>
      <c r="V521" s="129" t="e">
        <f t="shared" si="80"/>
        <v>#DIV/0!</v>
      </c>
      <c r="W521" s="134" t="e">
        <f t="shared" si="76"/>
        <v>#DIV/0!</v>
      </c>
      <c r="X521" s="135" t="e">
        <f>V521-W521</f>
        <v>#DIV/0!</v>
      </c>
      <c r="Y521" s="134"/>
      <c r="Z521" s="135">
        <v>60.4</v>
      </c>
      <c r="AA521" s="136">
        <f t="shared" si="81"/>
        <v>6.1499999999999986</v>
      </c>
      <c r="AB521" s="131">
        <v>54.25</v>
      </c>
      <c r="AC521" s="131">
        <f t="shared" si="82"/>
        <v>5.6300000000000026</v>
      </c>
      <c r="AD521" s="131">
        <v>42.082500000000003</v>
      </c>
      <c r="AE521" s="131">
        <f t="shared" si="79"/>
        <v>15.914999999999999</v>
      </c>
      <c r="AF521" s="131">
        <v>57.997500000000002</v>
      </c>
      <c r="AG521" s="130">
        <f>'[6]Monthly Palm Oil'!$D148</f>
        <v>3363.681818181818</v>
      </c>
      <c r="AH521" s="131">
        <f>'[6]Monthly Palm Oil'!$X148</f>
        <v>50.118373133730444</v>
      </c>
      <c r="AI521" s="131">
        <f t="shared" si="85"/>
        <v>-0.9415731337304436</v>
      </c>
    </row>
    <row r="522" spans="1:35">
      <c r="A522" s="99">
        <v>41365</v>
      </c>
      <c r="B522" s="119" t="e">
        <f>'[4]Monthly Prices'!$CF162</f>
        <v>#DIV/0!</v>
      </c>
      <c r="C522" s="119">
        <v>404.93180000000001</v>
      </c>
      <c r="D522" s="119">
        <v>49.2941</v>
      </c>
      <c r="E522" s="122" t="e">
        <f t="shared" si="89"/>
        <v>#DIV/0!</v>
      </c>
      <c r="F522" s="128" t="e">
        <f t="shared" si="86"/>
        <v>#DIV/0!</v>
      </c>
      <c r="G522" s="127" t="e">
        <f t="shared" si="88"/>
        <v>#DIV/0!</v>
      </c>
      <c r="J522" s="119">
        <v>14.58</v>
      </c>
      <c r="K522" s="119">
        <v>422.07</v>
      </c>
      <c r="L522" s="119">
        <v>49.28</v>
      </c>
      <c r="M522" s="119">
        <f t="shared" si="83"/>
        <v>0.12633999999999901</v>
      </c>
      <c r="N522" s="128">
        <f t="shared" si="84"/>
        <v>0.36860292907684716</v>
      </c>
      <c r="O522" s="124" t="e">
        <f t="shared" si="87"/>
        <v>#DIV/0!</v>
      </c>
      <c r="P522" s="124">
        <f t="shared" si="87"/>
        <v>17.138199999999983</v>
      </c>
      <c r="Q522" s="124">
        <f t="shared" si="87"/>
        <v>-1.4099999999999113E-2</v>
      </c>
      <c r="U522" s="119">
        <v>14.4</v>
      </c>
      <c r="V522" s="129" t="e">
        <f t="shared" si="80"/>
        <v>#DIV/0!</v>
      </c>
      <c r="W522" s="134" t="e">
        <f t="shared" si="76"/>
        <v>#DIV/0!</v>
      </c>
      <c r="X522" s="135" t="e">
        <f t="shared" ref="X522:X538" si="90">V522-W522</f>
        <v>#DIV/0!</v>
      </c>
      <c r="Y522" s="134"/>
      <c r="Z522" s="135">
        <v>64.556799999999996</v>
      </c>
      <c r="AA522" s="136">
        <f t="shared" si="81"/>
        <v>9.9312999999999931</v>
      </c>
      <c r="AB522" s="131">
        <v>54.625500000000002</v>
      </c>
      <c r="AC522" s="131">
        <f t="shared" si="82"/>
        <v>5.3455000000000013</v>
      </c>
      <c r="AD522" s="131">
        <v>41.327300000000001</v>
      </c>
      <c r="AE522" s="131">
        <f t="shared" si="79"/>
        <v>16.9572</v>
      </c>
      <c r="AF522" s="131">
        <v>58.284500000000001</v>
      </c>
      <c r="AG522" s="130">
        <f>'[6]Monthly Palm Oil'!$D149</f>
        <v>3516.5789473684213</v>
      </c>
      <c r="AH522" s="131">
        <f>'[6]Monthly Palm Oil'!$X149</f>
        <v>52.163981858691386</v>
      </c>
      <c r="AI522" s="131">
        <f t="shared" si="85"/>
        <v>-4.1469818586913831</v>
      </c>
    </row>
    <row r="523" spans="1:35">
      <c r="A523" s="99">
        <v>41395</v>
      </c>
      <c r="B523" s="119" t="e">
        <f>'[4]Monthly Prices'!$CF163</f>
        <v>#DIV/0!</v>
      </c>
      <c r="C523" s="119">
        <v>421.86360000000002</v>
      </c>
      <c r="D523" s="119">
        <v>49.1768</v>
      </c>
      <c r="E523" s="122" t="e">
        <f t="shared" si="89"/>
        <v>#DIV/0!</v>
      </c>
      <c r="F523" s="128" t="e">
        <f t="shared" si="86"/>
        <v>#DIV/0!</v>
      </c>
      <c r="G523" s="127" t="e">
        <f t="shared" si="88"/>
        <v>#DIV/0!</v>
      </c>
      <c r="J523" s="119">
        <v>15.38</v>
      </c>
      <c r="K523" s="119">
        <v>465.72</v>
      </c>
      <c r="L523" s="119">
        <v>49.31</v>
      </c>
      <c r="M523" s="119">
        <f t="shared" si="83"/>
        <v>0.28993999999999964</v>
      </c>
      <c r="N523" s="128">
        <f t="shared" si="84"/>
        <v>0.34614682634394262</v>
      </c>
      <c r="O523" s="124" t="e">
        <f t="shared" si="87"/>
        <v>#DIV/0!</v>
      </c>
      <c r="P523" s="124">
        <f t="shared" si="87"/>
        <v>43.856400000000008</v>
      </c>
      <c r="Q523" s="124">
        <f t="shared" si="87"/>
        <v>0.13320000000000221</v>
      </c>
      <c r="U523" s="119">
        <v>14.9</v>
      </c>
      <c r="V523" s="129" t="e">
        <f t="shared" si="80"/>
        <v>#DIV/0!</v>
      </c>
      <c r="W523" s="134" t="e">
        <f t="shared" si="76"/>
        <v>#DIV/0!</v>
      </c>
      <c r="X523" s="135" t="e">
        <f t="shared" si="90"/>
        <v>#DIV/0!</v>
      </c>
      <c r="Y523" s="134"/>
      <c r="Z523" s="135">
        <v>64.290499999999994</v>
      </c>
      <c r="AA523" s="136">
        <f t="shared" si="81"/>
        <v>8.7499999999999929</v>
      </c>
      <c r="AB523" s="131">
        <v>55.540500000000002</v>
      </c>
      <c r="AC523" s="131">
        <f t="shared" si="82"/>
        <v>6.2304999999999993</v>
      </c>
      <c r="AD523" s="131">
        <v>41.317300000000003</v>
      </c>
      <c r="AE523" s="131">
        <f t="shared" si="79"/>
        <v>17.336799999999997</v>
      </c>
      <c r="AF523" s="131">
        <v>58.6541</v>
      </c>
      <c r="AG523" s="130">
        <f>'[6]Monthly Palm Oil'!$D150</f>
        <v>3205.6190476190477</v>
      </c>
      <c r="AH523" s="131">
        <f>'[6]Monthly Palm Oil'!$X150</f>
        <v>46.943402835539231</v>
      </c>
      <c r="AI523" s="131">
        <f t="shared" si="85"/>
        <v>-1.5561028355392281</v>
      </c>
    </row>
    <row r="524" spans="1:35">
      <c r="A524" s="99">
        <v>41426</v>
      </c>
      <c r="B524" s="119" t="e">
        <f>'[4]Monthly Prices'!$CF164</f>
        <v>#DIV/0!</v>
      </c>
      <c r="C524" s="119">
        <v>456.82499999999999</v>
      </c>
      <c r="D524" s="119">
        <v>48.017000000000003</v>
      </c>
      <c r="E524" s="122" t="e">
        <f t="shared" si="89"/>
        <v>#DIV/0!</v>
      </c>
      <c r="F524" s="128" t="e">
        <f t="shared" si="86"/>
        <v>#DIV/0!</v>
      </c>
      <c r="G524" s="127" t="e">
        <f t="shared" si="88"/>
        <v>#DIV/0!</v>
      </c>
      <c r="J524" s="119">
        <v>15.76</v>
      </c>
      <c r="K524" s="119">
        <v>496.78</v>
      </c>
      <c r="L524" s="119">
        <v>47.84</v>
      </c>
      <c r="M524" s="119">
        <f t="shared" si="83"/>
        <v>0.43155999999999928</v>
      </c>
      <c r="N524" s="128">
        <f t="shared" si="84"/>
        <v>0.32500883176173267</v>
      </c>
      <c r="O524" s="124" t="e">
        <f t="shared" si="87"/>
        <v>#DIV/0!</v>
      </c>
      <c r="P524" s="124">
        <f t="shared" si="87"/>
        <v>39.954999999999984</v>
      </c>
      <c r="Q524" s="124">
        <f t="shared" si="87"/>
        <v>-0.1769999999999996</v>
      </c>
      <c r="R524" s="124">
        <f>AVERAGE(J522:J524)</f>
        <v>15.24</v>
      </c>
      <c r="S524" s="124">
        <f>AVERAGE(K522:K524)</f>
        <v>461.52333333333331</v>
      </c>
      <c r="T524" s="124">
        <f>AVERAGE(L522:L524)</f>
        <v>48.81</v>
      </c>
      <c r="U524" s="119">
        <v>15.1</v>
      </c>
      <c r="V524" s="129" t="e">
        <f t="shared" si="80"/>
        <v>#DIV/0!</v>
      </c>
      <c r="W524" s="134" t="e">
        <f t="shared" ref="W524:W551" si="91">(SUM(V512,V500,V488,V476,V464)-MAX(V512,V500,V488,V476,V464)-MIN(V512,V500,V488,V476,V464))/3</f>
        <v>#DIV/0!</v>
      </c>
      <c r="X524" s="135" t="e">
        <f t="shared" si="90"/>
        <v>#DIV/0!</v>
      </c>
      <c r="Y524" s="134"/>
      <c r="Z524" s="135">
        <v>61.517000000000003</v>
      </c>
      <c r="AA524" s="136">
        <f t="shared" si="81"/>
        <v>7.1875</v>
      </c>
      <c r="AB524" s="131">
        <v>54.329500000000003</v>
      </c>
      <c r="AC524" s="131">
        <f t="shared" si="82"/>
        <v>6.4894999999999996</v>
      </c>
      <c r="AD524" s="131">
        <v>42.111499999999999</v>
      </c>
      <c r="AE524" s="131">
        <f t="shared" si="79"/>
        <v>14.330500000000001</v>
      </c>
      <c r="AF524" s="131">
        <v>56.442</v>
      </c>
      <c r="AG524" s="130">
        <f>'[6]Monthly Palm Oil'!$D151</f>
        <v>2972.2857142857142</v>
      </c>
      <c r="AH524" s="131">
        <f>'[6]Monthly Palm Oil'!$X151</f>
        <v>42.418803511555048</v>
      </c>
      <c r="AI524" s="131">
        <f t="shared" si="85"/>
        <v>0.44849648844495249</v>
      </c>
    </row>
    <row r="525" spans="1:35">
      <c r="A525" s="99">
        <v>41456</v>
      </c>
      <c r="B525" s="119" t="e">
        <f>'[4]Monthly Prices'!$CF165</f>
        <v>#DIV/0!</v>
      </c>
      <c r="C525" s="119">
        <v>452.18639999999999</v>
      </c>
      <c r="D525" s="119">
        <v>45.387300000000003</v>
      </c>
      <c r="E525" s="122" t="e">
        <f t="shared" si="89"/>
        <v>#DIV/0!</v>
      </c>
      <c r="F525" s="128" t="e">
        <f t="shared" si="86"/>
        <v>#DIV/0!</v>
      </c>
      <c r="G525" s="127" t="e">
        <f t="shared" si="88"/>
        <v>#DIV/0!</v>
      </c>
      <c r="J525" s="119">
        <v>15.39</v>
      </c>
      <c r="K525" s="119">
        <v>544.59</v>
      </c>
      <c r="L525" s="119">
        <v>45.19</v>
      </c>
      <c r="M525" s="119">
        <f t="shared" si="83"/>
        <v>1.5618799999999986</v>
      </c>
      <c r="N525" s="128">
        <f t="shared" si="84"/>
        <v>0.29323591247696418</v>
      </c>
      <c r="O525" s="124" t="e">
        <f t="shared" si="87"/>
        <v>#DIV/0!</v>
      </c>
      <c r="P525" s="124">
        <f t="shared" si="87"/>
        <v>92.40360000000004</v>
      </c>
      <c r="Q525" s="124">
        <f t="shared" si="87"/>
        <v>-0.19730000000000558</v>
      </c>
      <c r="U525" s="119">
        <v>15.3</v>
      </c>
      <c r="V525" s="129" t="e">
        <f t="shared" si="80"/>
        <v>#DIV/0!</v>
      </c>
      <c r="W525" s="134" t="e">
        <f t="shared" si="91"/>
        <v>#DIV/0!</v>
      </c>
      <c r="X525" s="135" t="e">
        <f t="shared" si="90"/>
        <v>#DIV/0!</v>
      </c>
      <c r="Y525" s="134"/>
      <c r="Z525" s="135">
        <v>57.3996</v>
      </c>
      <c r="AA525" s="136">
        <f t="shared" si="81"/>
        <v>6.0225999999999971</v>
      </c>
      <c r="AB525" s="131">
        <v>51.377000000000002</v>
      </c>
      <c r="AC525" s="131">
        <f t="shared" si="82"/>
        <v>6.1870000000000047</v>
      </c>
      <c r="AD525" s="131">
        <v>40.242199999999997</v>
      </c>
      <c r="AE525" s="131">
        <f t="shared" si="79"/>
        <v>13.089100000000002</v>
      </c>
      <c r="AF525" s="131">
        <v>53.331299999999999</v>
      </c>
      <c r="AG525" s="130">
        <f>'[6]Monthly Palm Oil'!$D152</f>
        <v>3041.6190476190477</v>
      </c>
      <c r="AH525" s="131">
        <f>'[6]Monthly Palm Oil'!$X152</f>
        <v>43.589306933637104</v>
      </c>
      <c r="AI525" s="131">
        <f t="shared" si="85"/>
        <v>-1.1438069336371015</v>
      </c>
    </row>
    <row r="526" spans="1:35">
      <c r="A526" s="99">
        <v>41487</v>
      </c>
      <c r="B526" s="119" t="e">
        <f>'[4]Monthly Prices'!$CF166</f>
        <v>#DIV/0!</v>
      </c>
      <c r="C526" s="119">
        <v>415.37729999999999</v>
      </c>
      <c r="D526" s="119">
        <v>42.8673</v>
      </c>
      <c r="E526" s="122" t="e">
        <f t="shared" si="89"/>
        <v>#DIV/0!</v>
      </c>
      <c r="F526" s="128" t="e">
        <f t="shared" si="86"/>
        <v>#DIV/0!</v>
      </c>
      <c r="G526" s="127" t="e">
        <f t="shared" si="88"/>
        <v>#DIV/0!</v>
      </c>
      <c r="J526" s="119">
        <v>14.25</v>
      </c>
      <c r="K526" s="119">
        <v>464.9</v>
      </c>
      <c r="L526" s="119">
        <v>42.33</v>
      </c>
      <c r="M526" s="119">
        <f t="shared" si="83"/>
        <v>0.63410000000000011</v>
      </c>
      <c r="N526" s="128">
        <f t="shared" si="84"/>
        <v>0.31283718867785087</v>
      </c>
      <c r="O526" s="124" t="e">
        <f t="shared" si="87"/>
        <v>#DIV/0!</v>
      </c>
      <c r="P526" s="124">
        <f t="shared" si="87"/>
        <v>49.522699999999986</v>
      </c>
      <c r="Q526" s="124">
        <f t="shared" si="87"/>
        <v>-0.53730000000000189</v>
      </c>
      <c r="U526" s="119">
        <v>14.1</v>
      </c>
      <c r="V526" s="129" t="e">
        <f t="shared" si="80"/>
        <v>#DIV/0!</v>
      </c>
      <c r="W526" s="134" t="e">
        <f t="shared" si="91"/>
        <v>#DIV/0!</v>
      </c>
      <c r="X526" s="135" t="e">
        <f t="shared" si="90"/>
        <v>#DIV/0!</v>
      </c>
      <c r="Y526" s="134"/>
      <c r="Z526" s="135">
        <v>52.412700000000001</v>
      </c>
      <c r="AA526" s="136">
        <f t="shared" si="81"/>
        <v>4.3068000000000026</v>
      </c>
      <c r="AB526" s="131">
        <v>48.105899999999998</v>
      </c>
      <c r="AC526" s="131">
        <f t="shared" si="82"/>
        <v>5.7759</v>
      </c>
      <c r="AD526" s="131">
        <v>39.874499999999998</v>
      </c>
      <c r="AE526" s="131">
        <f t="shared" si="79"/>
        <v>10.411000000000001</v>
      </c>
      <c r="AF526" s="131">
        <v>50.285499999999999</v>
      </c>
      <c r="AG526" s="130">
        <f>'[6]Monthly Palm Oil'!$D153</f>
        <v>2954.35</v>
      </c>
      <c r="AH526" s="131">
        <f>'[6]Monthly Palm Oil'!$X153</f>
        <v>43.030172667177148</v>
      </c>
      <c r="AI526" s="131">
        <f t="shared" si="85"/>
        <v>-2.2179726671771505</v>
      </c>
    </row>
    <row r="527" spans="1:35">
      <c r="A527" s="99">
        <v>41518</v>
      </c>
      <c r="B527" s="119" t="e">
        <f>'[4]Monthly Prices'!$CF167</f>
        <v>#DIV/0!</v>
      </c>
      <c r="C527" s="119">
        <v>426.74</v>
      </c>
      <c r="D527" s="119">
        <v>42.445500000000003</v>
      </c>
      <c r="E527" s="122" t="e">
        <f t="shared" si="89"/>
        <v>#DIV/0!</v>
      </c>
      <c r="F527" s="128" t="e">
        <f t="shared" si="86"/>
        <v>#DIV/0!</v>
      </c>
      <c r="G527" s="127" t="e">
        <f t="shared" si="88"/>
        <v>#DIV/0!</v>
      </c>
      <c r="J527" s="119">
        <v>13.91</v>
      </c>
      <c r="K527" s="119">
        <v>500.39</v>
      </c>
      <c r="L527" s="119">
        <v>42.12</v>
      </c>
      <c r="M527" s="119">
        <f t="shared" si="83"/>
        <v>1.7317800000000005</v>
      </c>
      <c r="N527" s="128">
        <f t="shared" si="84"/>
        <v>0.29620669770320252</v>
      </c>
      <c r="O527" s="124" t="e">
        <f t="shared" si="87"/>
        <v>#DIV/0!</v>
      </c>
      <c r="P527" s="124">
        <f t="shared" si="87"/>
        <v>73.649999999999977</v>
      </c>
      <c r="Q527" s="124">
        <f t="shared" si="87"/>
        <v>-0.32550000000000523</v>
      </c>
      <c r="R527" s="124">
        <f>AVERAGE(J525:J527)</f>
        <v>14.516666666666666</v>
      </c>
      <c r="S527" s="124">
        <f>AVERAGE(K525:K527)</f>
        <v>503.29333333333335</v>
      </c>
      <c r="T527" s="124">
        <f>AVERAGE(L525:L527)</f>
        <v>43.213333333333331</v>
      </c>
      <c r="U527" s="119">
        <v>13.3</v>
      </c>
      <c r="V527" s="129" t="e">
        <f t="shared" si="80"/>
        <v>#DIV/0!</v>
      </c>
      <c r="W527" s="134" t="e">
        <f t="shared" si="91"/>
        <v>#DIV/0!</v>
      </c>
      <c r="X527" s="135" t="e">
        <f t="shared" si="90"/>
        <v>#DIV/0!</v>
      </c>
      <c r="Y527" s="134"/>
      <c r="Z527" s="135">
        <v>51.182000000000002</v>
      </c>
      <c r="AA527" s="136">
        <f t="shared" si="81"/>
        <v>2.544000000000004</v>
      </c>
      <c r="AB527" s="131">
        <v>48.637999999999998</v>
      </c>
      <c r="AC527" s="131">
        <f t="shared" si="82"/>
        <v>6.5180000000000007</v>
      </c>
      <c r="AD527" s="131">
        <v>40.278500000000001</v>
      </c>
      <c r="AE527" s="131">
        <f t="shared" si="79"/>
        <v>9.9095000000000013</v>
      </c>
      <c r="AF527" s="131">
        <v>50.188000000000002</v>
      </c>
      <c r="AG527" s="130">
        <f>'[6]Monthly Palm Oil'!$D154</f>
        <v>2830.5</v>
      </c>
      <c r="AH527" s="131">
        <f>'[6]Monthly Palm Oil'!$X154</f>
        <v>41.710605090172173</v>
      </c>
      <c r="AI527" s="131">
        <f t="shared" si="85"/>
        <v>-1.0091050901721701</v>
      </c>
    </row>
    <row r="528" spans="1:35">
      <c r="A528" s="99">
        <v>41548</v>
      </c>
      <c r="B528" s="119" t="e">
        <f>'[4]Monthly Prices'!$CF168</f>
        <v>#DIV/0!</v>
      </c>
      <c r="C528" s="119">
        <v>412.57830000000001</v>
      </c>
      <c r="D528" s="119">
        <v>40.812199999999997</v>
      </c>
      <c r="E528" s="122" t="e">
        <f t="shared" si="89"/>
        <v>#DIV/0!</v>
      </c>
      <c r="F528" s="128" t="e">
        <f t="shared" si="86"/>
        <v>#DIV/0!</v>
      </c>
      <c r="G528" s="127" t="e">
        <f t="shared" si="88"/>
        <v>#DIV/0!</v>
      </c>
      <c r="J528" s="119">
        <v>12.94</v>
      </c>
      <c r="K528" s="119">
        <v>443.63</v>
      </c>
      <c r="L528" s="119">
        <v>39.659999999999997</v>
      </c>
      <c r="M528" s="119">
        <f t="shared" si="83"/>
        <v>1.1824600000000007</v>
      </c>
      <c r="N528" s="128">
        <f t="shared" si="84"/>
        <v>0.30891218668702192</v>
      </c>
      <c r="O528" s="124" t="e">
        <f t="shared" si="87"/>
        <v>#DIV/0!</v>
      </c>
      <c r="P528" s="124">
        <f t="shared" si="87"/>
        <v>31.051699999999983</v>
      </c>
      <c r="Q528" s="124">
        <f t="shared" si="87"/>
        <v>-1.1522000000000006</v>
      </c>
      <c r="U528" s="119">
        <v>12.5</v>
      </c>
      <c r="V528" s="129" t="e">
        <f t="shared" si="80"/>
        <v>#DIV/0!</v>
      </c>
      <c r="W528" s="134" t="e">
        <f t="shared" si="91"/>
        <v>#DIV/0!</v>
      </c>
      <c r="X528" s="135" t="e">
        <f t="shared" si="90"/>
        <v>#DIV/0!</v>
      </c>
      <c r="Y528" s="134"/>
      <c r="Z528" s="135">
        <v>48.380400000000002</v>
      </c>
      <c r="AA528" s="136">
        <f t="shared" si="81"/>
        <v>1.2195000000000036</v>
      </c>
      <c r="AB528" s="131">
        <v>47.160899999999998</v>
      </c>
      <c r="AC528" s="131">
        <f t="shared" si="82"/>
        <v>7.5009000000000015</v>
      </c>
      <c r="AD528" s="131">
        <v>40.794800000000002</v>
      </c>
      <c r="AE528" s="131">
        <f t="shared" si="79"/>
        <v>7.7922000000000011</v>
      </c>
      <c r="AF528" s="131">
        <v>48.587000000000003</v>
      </c>
      <c r="AG528" s="130">
        <f>'[6]Monthly Palm Oil'!$D155</f>
        <v>2469.318181818182</v>
      </c>
      <c r="AH528" s="131">
        <f>'[6]Monthly Palm Oil'!$X155</f>
        <v>36.683024872075066</v>
      </c>
      <c r="AI528" s="131">
        <f t="shared" si="85"/>
        <v>2.9983751279249304</v>
      </c>
    </row>
    <row r="529" spans="1:35">
      <c r="A529" s="99">
        <v>41579</v>
      </c>
      <c r="B529" s="119" t="e">
        <f>'[4]Monthly Prices'!$CF169</f>
        <v>#DIV/0!</v>
      </c>
      <c r="C529" s="119">
        <v>418.80500000000001</v>
      </c>
      <c r="D529" s="119">
        <v>40.701500000000003</v>
      </c>
      <c r="E529" s="122" t="e">
        <f t="shared" si="89"/>
        <v>#DIV/0!</v>
      </c>
      <c r="F529" s="128" t="e">
        <f t="shared" si="86"/>
        <v>#DIV/0!</v>
      </c>
      <c r="G529" s="127" t="e">
        <f t="shared" si="88"/>
        <v>#DIV/0!</v>
      </c>
      <c r="J529" s="119">
        <v>13.07</v>
      </c>
      <c r="K529" s="119">
        <v>451.13</v>
      </c>
      <c r="L529" s="119">
        <v>39.58</v>
      </c>
      <c r="M529" s="119">
        <f t="shared" si="83"/>
        <v>1.2086599999999983</v>
      </c>
      <c r="N529" s="128">
        <f t="shared" si="84"/>
        <v>0.3049165678011802</v>
      </c>
      <c r="O529" s="124" t="e">
        <f t="shared" si="87"/>
        <v>#DIV/0!</v>
      </c>
      <c r="P529" s="124">
        <f t="shared" si="87"/>
        <v>32.324999999999989</v>
      </c>
      <c r="Q529" s="124">
        <f t="shared" si="87"/>
        <v>-1.1215000000000046</v>
      </c>
      <c r="U529" s="119">
        <v>12.7</v>
      </c>
      <c r="V529" s="129" t="e">
        <f t="shared" si="80"/>
        <v>#DIV/0!</v>
      </c>
      <c r="W529" s="134" t="e">
        <f t="shared" si="91"/>
        <v>#DIV/0!</v>
      </c>
      <c r="X529" s="135" t="e">
        <f t="shared" si="90"/>
        <v>#DIV/0!</v>
      </c>
      <c r="Y529" s="134"/>
      <c r="Z529" s="135">
        <v>47.5015</v>
      </c>
      <c r="AA529" s="136">
        <f t="shared" si="81"/>
        <v>3.5200000000000031</v>
      </c>
      <c r="AB529" s="131">
        <v>43.981499999999997</v>
      </c>
      <c r="AC529" s="131">
        <f t="shared" si="82"/>
        <v>4.4014999999999986</v>
      </c>
      <c r="AD529" s="131">
        <v>43.146999999999998</v>
      </c>
      <c r="AE529" s="131">
        <f t="shared" si="79"/>
        <v>5.724499999999999</v>
      </c>
      <c r="AF529" s="131">
        <v>48.871499999999997</v>
      </c>
      <c r="AG529" s="130">
        <f>'[6]Monthly Palm Oil'!$D156</f>
        <v>2409.5263157894738</v>
      </c>
      <c r="AH529" s="131">
        <f>'[6]Monthly Palm Oil'!$X156</f>
        <v>35.769666722035197</v>
      </c>
      <c r="AI529" s="131">
        <f t="shared" si="85"/>
        <v>2.054633277964804</v>
      </c>
    </row>
    <row r="530" spans="1:35">
      <c r="A530" s="99">
        <v>41609</v>
      </c>
      <c r="B530" s="119" t="e">
        <f>'[4]Monthly Prices'!$CF170</f>
        <v>#DIV/0!</v>
      </c>
      <c r="C530" s="119">
        <v>438.34289999999999</v>
      </c>
      <c r="D530" s="119">
        <v>39.681399999999996</v>
      </c>
      <c r="E530" s="122" t="e">
        <f t="shared" si="89"/>
        <v>#DIV/0!</v>
      </c>
      <c r="F530" s="128" t="e">
        <f t="shared" si="86"/>
        <v>#DIV/0!</v>
      </c>
      <c r="G530" s="127" t="e">
        <f t="shared" si="88"/>
        <v>#DIV/0!</v>
      </c>
      <c r="J530" s="119">
        <v>13.4</v>
      </c>
      <c r="K530" s="119">
        <v>498.1</v>
      </c>
      <c r="L530" s="119">
        <v>37.630000000000003</v>
      </c>
      <c r="M530" s="119">
        <f t="shared" si="83"/>
        <v>1.6975000000000016</v>
      </c>
      <c r="N530" s="128">
        <f t="shared" si="84"/>
        <v>0.27417122040072861</v>
      </c>
      <c r="O530" s="124" t="e">
        <f t="shared" si="87"/>
        <v>#DIV/0!</v>
      </c>
      <c r="P530" s="124">
        <f t="shared" si="87"/>
        <v>59.757100000000037</v>
      </c>
      <c r="Q530" s="124">
        <f t="shared" si="87"/>
        <v>-2.0513999999999939</v>
      </c>
      <c r="R530" s="124">
        <f>AVERAGE(J528:J530)</f>
        <v>13.136666666666665</v>
      </c>
      <c r="S530" s="124">
        <f>AVERAGE(K528:K530)</f>
        <v>464.28666666666669</v>
      </c>
      <c r="T530" s="124">
        <f>AVERAGE(L528:L530)</f>
        <v>38.956666666666671</v>
      </c>
      <c r="U530" s="119">
        <v>13</v>
      </c>
      <c r="V530" s="129" t="e">
        <f t="shared" si="80"/>
        <v>#DIV/0!</v>
      </c>
      <c r="W530" s="134" t="e">
        <f t="shared" si="91"/>
        <v>#DIV/0!</v>
      </c>
      <c r="X530" s="135" t="e">
        <f t="shared" si="90"/>
        <v>#DIV/0!</v>
      </c>
      <c r="Y530" s="134"/>
      <c r="Z530" s="135">
        <v>45.551900000000003</v>
      </c>
      <c r="AA530" s="136">
        <f t="shared" si="81"/>
        <v>2.8214000000000041</v>
      </c>
      <c r="AB530" s="131">
        <v>42.730499999999999</v>
      </c>
      <c r="AC530" s="131">
        <f t="shared" si="82"/>
        <v>5.1004999999999967</v>
      </c>
      <c r="AD530" s="131">
        <v>42.688600000000001</v>
      </c>
      <c r="AE530" s="131">
        <f t="shared" si="79"/>
        <v>4.9966000000000008</v>
      </c>
      <c r="AF530" s="131">
        <v>47.685200000000002</v>
      </c>
      <c r="AG530" s="130">
        <f>'[6]Monthly Palm Oil'!$D157</f>
        <v>2342.9</v>
      </c>
      <c r="AH530" s="131">
        <f>'[6]Monthly Palm Oil'!$X157</f>
        <v>34.797750572740334</v>
      </c>
      <c r="AI530" s="131">
        <f t="shared" si="85"/>
        <v>4.8306494272596652</v>
      </c>
    </row>
    <row r="531" spans="1:35">
      <c r="A531" s="99">
        <v>41640</v>
      </c>
      <c r="B531" s="119" t="e">
        <f>'[4]Monthly Prices'!$CF171</f>
        <v>#DIV/0!</v>
      </c>
      <c r="C531" s="119">
        <v>421.4667</v>
      </c>
      <c r="D531" s="119">
        <v>37.824300000000001</v>
      </c>
      <c r="E531" s="122" t="e">
        <f t="shared" si="89"/>
        <v>#DIV/0!</v>
      </c>
      <c r="F531" s="128" t="e">
        <f t="shared" si="86"/>
        <v>#DIV/0!</v>
      </c>
      <c r="G531" s="127" t="e">
        <f t="shared" si="88"/>
        <v>#DIV/0!</v>
      </c>
      <c r="J531" s="119">
        <v>13.03</v>
      </c>
      <c r="K531" s="119">
        <v>479.54</v>
      </c>
      <c r="L531" s="119">
        <v>34.950000000000003</v>
      </c>
      <c r="M531" s="119">
        <f t="shared" si="83"/>
        <v>1.3643800000000006</v>
      </c>
      <c r="N531" s="128">
        <f t="shared" si="84"/>
        <v>0.26708340338382064</v>
      </c>
      <c r="O531" s="124" t="e">
        <f t="shared" si="87"/>
        <v>#DIV/0!</v>
      </c>
      <c r="P531" s="124">
        <f t="shared" si="87"/>
        <v>58.073300000000017</v>
      </c>
      <c r="Q531" s="124">
        <f t="shared" si="87"/>
        <v>-2.8742999999999981</v>
      </c>
      <c r="U531" s="119">
        <v>12.9</v>
      </c>
      <c r="V531" s="129" t="e">
        <f t="shared" si="80"/>
        <v>#DIV/0!</v>
      </c>
      <c r="W531" s="134" t="e">
        <f t="shared" si="91"/>
        <v>#DIV/0!</v>
      </c>
      <c r="X531" s="135" t="e">
        <f t="shared" si="90"/>
        <v>#DIV/0!</v>
      </c>
      <c r="Y531" s="134"/>
      <c r="Z531" s="135">
        <v>43.264800000000001</v>
      </c>
      <c r="AA531" s="136">
        <f t="shared" si="81"/>
        <v>2.4405000000000001</v>
      </c>
      <c r="AB531" s="131">
        <v>40.824300000000001</v>
      </c>
      <c r="AC531" s="131">
        <f t="shared" si="82"/>
        <v>5.8742999999999981</v>
      </c>
      <c r="AD531" s="131">
        <v>41.411900000000003</v>
      </c>
      <c r="AE531" s="131">
        <f t="shared" si="79"/>
        <v>3.298099999999998</v>
      </c>
      <c r="AF531" s="131">
        <v>44.71</v>
      </c>
      <c r="AG531" s="130">
        <f>'[6]Monthly Palm Oil'!$D158</f>
        <v>2438.0526315789475</v>
      </c>
      <c r="AH531" s="131">
        <f>'[6]Monthly Palm Oil'!$X158</f>
        <v>36.394590933278572</v>
      </c>
      <c r="AI531" s="131">
        <f t="shared" si="85"/>
        <v>5.8359090667214275</v>
      </c>
    </row>
    <row r="532" spans="1:35">
      <c r="A532" s="99">
        <v>41671</v>
      </c>
      <c r="B532" s="119" t="e">
        <f>'[4]Monthly Prices'!$CF172</f>
        <v>#DIV/0!</v>
      </c>
      <c r="C532" s="119">
        <v>453.01049999999998</v>
      </c>
      <c r="D532" s="119">
        <v>39.628399999999999</v>
      </c>
      <c r="E532" s="122" t="e">
        <f t="shared" si="89"/>
        <v>#DIV/0!</v>
      </c>
      <c r="F532" s="128" t="e">
        <f t="shared" si="86"/>
        <v>#DIV/0!</v>
      </c>
      <c r="G532" s="127" t="e">
        <f t="shared" si="88"/>
        <v>#DIV/0!</v>
      </c>
      <c r="J532" s="119">
        <v>13.672599999999999</v>
      </c>
      <c r="K532" s="119">
        <v>509.25</v>
      </c>
      <c r="L532" s="119">
        <v>37.11</v>
      </c>
      <c r="M532" s="119">
        <f t="shared" si="83"/>
        <v>1.6129999999999995</v>
      </c>
      <c r="N532" s="128">
        <f t="shared" si="84"/>
        <v>0.26705526770293608</v>
      </c>
      <c r="O532" s="124" t="e">
        <f t="shared" si="87"/>
        <v>#DIV/0!</v>
      </c>
      <c r="P532" s="124">
        <f t="shared" si="87"/>
        <v>56.239500000000021</v>
      </c>
      <c r="Q532" s="124">
        <f t="shared" si="87"/>
        <v>-2.5183999999999997</v>
      </c>
      <c r="U532" s="119">
        <v>13.2</v>
      </c>
      <c r="V532" s="129" t="e">
        <f t="shared" si="80"/>
        <v>#DIV/0!</v>
      </c>
      <c r="W532" s="134" t="e">
        <f t="shared" si="91"/>
        <v>#DIV/0!</v>
      </c>
      <c r="X532" s="135" t="e">
        <f t="shared" si="90"/>
        <v>#DIV/0!</v>
      </c>
      <c r="Y532" s="134"/>
      <c r="Z532" s="135">
        <v>46.6295</v>
      </c>
      <c r="AA532" s="136">
        <f t="shared" si="81"/>
        <v>3.9868999999999986</v>
      </c>
      <c r="AB532" s="131">
        <v>42.642600000000002</v>
      </c>
      <c r="AC532" s="131">
        <f t="shared" si="82"/>
        <v>5.5326000000000022</v>
      </c>
      <c r="AD532" s="131">
        <v>42.088900000000002</v>
      </c>
      <c r="AE532" s="131">
        <f t="shared" si="79"/>
        <v>5.6194999999999951</v>
      </c>
      <c r="AF532" s="131">
        <v>47.708399999999997</v>
      </c>
      <c r="AG532" s="130">
        <f>'[6]Monthly Palm Oil'!$D159</f>
        <v>2508.875</v>
      </c>
      <c r="AH532" s="131">
        <f>'[6]Monthly Palm Oil'!$X159</f>
        <v>36.762316220370153</v>
      </c>
      <c r="AI532" s="131">
        <f t="shared" si="85"/>
        <v>5.6076837796298449</v>
      </c>
    </row>
    <row r="533" spans="1:35">
      <c r="A533" s="99">
        <v>41699</v>
      </c>
      <c r="B533" s="119" t="e">
        <f>'[4]Monthly Prices'!$CF173</f>
        <v>#DIV/0!</v>
      </c>
      <c r="C533" s="119">
        <v>455.6952</v>
      </c>
      <c r="D533" s="119">
        <v>42.230499999999999</v>
      </c>
      <c r="E533" s="122" t="e">
        <f t="shared" si="89"/>
        <v>#DIV/0!</v>
      </c>
      <c r="F533" s="128" t="e">
        <f t="shared" si="86"/>
        <v>#DIV/0!</v>
      </c>
      <c r="G533" s="127" t="e">
        <f t="shared" si="88"/>
        <v>#DIV/0!</v>
      </c>
      <c r="J533" s="119">
        <v>14.407400000000001</v>
      </c>
      <c r="K533" s="119">
        <v>495.71</v>
      </c>
      <c r="L533" s="119">
        <v>40.82</v>
      </c>
      <c r="M533" s="119">
        <f t="shared" si="83"/>
        <v>0.98841999999999786</v>
      </c>
      <c r="N533" s="128">
        <f t="shared" si="84"/>
        <v>0.29165059087466599</v>
      </c>
      <c r="O533" s="124" t="e">
        <f t="shared" si="87"/>
        <v>#DIV/0!</v>
      </c>
      <c r="P533" s="124">
        <f t="shared" si="87"/>
        <v>40.01479999999998</v>
      </c>
      <c r="Q533" s="124">
        <f t="shared" si="87"/>
        <v>-1.410499999999999</v>
      </c>
      <c r="R533" s="124">
        <f>AVERAGE(J531:J533)</f>
        <v>13.703333333333333</v>
      </c>
      <c r="S533" s="124">
        <f>AVERAGE(K531:K533)</f>
        <v>494.83333333333331</v>
      </c>
      <c r="T533" s="124">
        <f>AVERAGE(L531:L533)</f>
        <v>37.626666666666665</v>
      </c>
      <c r="U533" s="119">
        <v>13.7</v>
      </c>
      <c r="V533" s="129" t="e">
        <f t="shared" si="80"/>
        <v>#DIV/0!</v>
      </c>
      <c r="W533" s="134" t="e">
        <f t="shared" si="91"/>
        <v>#DIV/0!</v>
      </c>
      <c r="X533" s="135" t="e">
        <f t="shared" si="90"/>
        <v>#DIV/0!</v>
      </c>
      <c r="Y533" s="134"/>
      <c r="Z533" s="135">
        <v>50.0762</v>
      </c>
      <c r="AA533" s="136">
        <f t="shared" si="81"/>
        <v>5.9290999999999983</v>
      </c>
      <c r="AB533" s="131">
        <v>44.147100000000002</v>
      </c>
      <c r="AC533" s="131">
        <f t="shared" si="82"/>
        <v>3.3271000000000015</v>
      </c>
      <c r="AD533" s="131">
        <v>46.697600000000001</v>
      </c>
      <c r="AE533" s="131">
        <f t="shared" si="79"/>
        <v>3.0328999999999979</v>
      </c>
      <c r="AF533" s="131">
        <v>49.730499999999999</v>
      </c>
      <c r="AG533" s="130">
        <f>'[6]Monthly Palm Oil'!$D160</f>
        <v>2422.6</v>
      </c>
      <c r="AH533" s="131">
        <f>'[6]Monthly Palm Oil'!$X160</f>
        <v>35.355492724177246</v>
      </c>
      <c r="AI533" s="131">
        <f t="shared" si="85"/>
        <v>5.2693072758227544</v>
      </c>
    </row>
    <row r="534" spans="1:35">
      <c r="A534" s="99">
        <v>41730</v>
      </c>
      <c r="B534" s="119" t="e">
        <f>'[4]Monthly Prices'!$CF174</f>
        <v>#DIV/0!</v>
      </c>
      <c r="C534" s="119">
        <v>484.10480000000001</v>
      </c>
      <c r="D534" s="119">
        <v>42.37</v>
      </c>
      <c r="E534" s="122" t="e">
        <f t="shared" si="89"/>
        <v>#DIV/0!</v>
      </c>
      <c r="F534" s="128" t="e">
        <f t="shared" si="86"/>
        <v>#DIV/0!</v>
      </c>
      <c r="G534" s="127" t="e">
        <f t="shared" si="88"/>
        <v>#DIV/0!</v>
      </c>
      <c r="J534" s="119">
        <v>15.1296</v>
      </c>
      <c r="K534" s="119">
        <v>514.01</v>
      </c>
      <c r="L534" s="119">
        <v>41.87</v>
      </c>
      <c r="M534" s="119">
        <f t="shared" si="83"/>
        <v>0.78431999999999746</v>
      </c>
      <c r="N534" s="128">
        <f t="shared" si="84"/>
        <v>0.28941329351913297</v>
      </c>
      <c r="O534" s="124" t="e">
        <f t="shared" si="87"/>
        <v>#DIV/0!</v>
      </c>
      <c r="P534" s="124">
        <f t="shared" si="87"/>
        <v>29.905199999999979</v>
      </c>
      <c r="Q534" s="124">
        <f t="shared" si="87"/>
        <v>-0.5</v>
      </c>
      <c r="U534" s="119">
        <v>14.3</v>
      </c>
      <c r="V534" s="129" t="e">
        <f t="shared" si="80"/>
        <v>#DIV/0!</v>
      </c>
      <c r="W534" s="134" t="e">
        <f t="shared" si="91"/>
        <v>#DIV/0!</v>
      </c>
      <c r="X534" s="135" t="e">
        <f t="shared" si="90"/>
        <v>#DIV/0!</v>
      </c>
      <c r="Y534" s="134"/>
      <c r="Z534" s="135">
        <v>51.584299999999999</v>
      </c>
      <c r="AA534" s="136">
        <f t="shared" si="81"/>
        <v>6.821399999999997</v>
      </c>
      <c r="AB534" s="131">
        <v>44.762900000000002</v>
      </c>
      <c r="AC534" s="131">
        <f t="shared" si="82"/>
        <v>2.8929000000000045</v>
      </c>
      <c r="AD534" s="131">
        <v>44.4619</v>
      </c>
      <c r="AE534" s="131">
        <f t="shared" si="79"/>
        <v>5.2175999999999974</v>
      </c>
      <c r="AF534" s="131">
        <v>49.679499999999997</v>
      </c>
      <c r="AG534" s="130">
        <f>'[6]Monthly Palm Oil'!$D161</f>
        <v>2327.5</v>
      </c>
      <c r="AH534" s="131">
        <f>'[6]Monthly Palm Oil'!$X161</f>
        <v>34.636176221306798</v>
      </c>
      <c r="AI534" s="131">
        <f t="shared" si="85"/>
        <v>4.8976237786932018</v>
      </c>
    </row>
    <row r="535" spans="1:35">
      <c r="A535" s="99">
        <v>41760</v>
      </c>
      <c r="B535" s="119" t="e">
        <f>'[4]Monthly Prices'!$CF175</f>
        <v>#DIV/0!</v>
      </c>
      <c r="C535" s="119">
        <v>487.51900000000001</v>
      </c>
      <c r="D535" s="119">
        <v>40.6248</v>
      </c>
      <c r="E535" s="122" t="e">
        <f t="shared" si="89"/>
        <v>#DIV/0!</v>
      </c>
      <c r="F535" s="128" t="e">
        <f t="shared" si="86"/>
        <v>#DIV/0!</v>
      </c>
      <c r="G535" s="127" t="e">
        <f t="shared" si="88"/>
        <v>#DIV/0!</v>
      </c>
      <c r="J535" s="119">
        <v>15.221399999999999</v>
      </c>
      <c r="K535" s="119">
        <v>519.38</v>
      </c>
      <c r="L535" s="119">
        <v>40.68</v>
      </c>
      <c r="M535" s="119">
        <f t="shared" si="83"/>
        <v>0.67975999999999992</v>
      </c>
      <c r="N535" s="128">
        <f t="shared" si="84"/>
        <v>0.28141343147292402</v>
      </c>
      <c r="O535" s="124" t="e">
        <f t="shared" si="87"/>
        <v>#DIV/0!</v>
      </c>
      <c r="P535" s="124">
        <f t="shared" si="87"/>
        <v>31.86099999999999</v>
      </c>
      <c r="Q535" s="124">
        <f t="shared" si="87"/>
        <v>5.519999999999925E-2</v>
      </c>
      <c r="U535" s="119">
        <v>14.4</v>
      </c>
      <c r="V535" s="129" t="e">
        <f t="shared" si="80"/>
        <v>#DIV/0!</v>
      </c>
      <c r="W535" s="134" t="e">
        <f t="shared" si="91"/>
        <v>#DIV/0!</v>
      </c>
      <c r="X535" s="135" t="e">
        <f t="shared" si="90"/>
        <v>#DIV/0!</v>
      </c>
      <c r="Y535" s="134"/>
      <c r="Z535" s="135">
        <v>49.852899999999998</v>
      </c>
      <c r="AA535" s="136">
        <f t="shared" si="81"/>
        <v>5.7380999999999958</v>
      </c>
      <c r="AB535" s="131">
        <v>44.114800000000002</v>
      </c>
      <c r="AC535" s="131">
        <f t="shared" si="82"/>
        <v>3.4348000000000027</v>
      </c>
      <c r="AD535" s="131">
        <v>43.509</v>
      </c>
      <c r="AE535" s="131">
        <f t="shared" si="79"/>
        <v>3.8676999999999992</v>
      </c>
      <c r="AF535" s="131">
        <v>47.3767</v>
      </c>
      <c r="AG535" s="130">
        <f>'[6]Monthly Palm Oil'!$D162</f>
        <v>2321.65</v>
      </c>
      <c r="AH535" s="131">
        <f>'[6]Monthly Palm Oil'!$X162</f>
        <v>34.903135257950865</v>
      </c>
      <c r="AI535" s="131">
        <f t="shared" si="85"/>
        <v>2.0509647420491319</v>
      </c>
    </row>
    <row r="536" spans="1:35">
      <c r="A536" s="99">
        <v>41791</v>
      </c>
      <c r="B536" s="119" t="e">
        <f>'[4]Monthly Prices'!$CF176</f>
        <v>#DIV/0!</v>
      </c>
      <c r="C536" s="119">
        <v>471.07619999999997</v>
      </c>
      <c r="D536" s="119">
        <v>39.533799999999999</v>
      </c>
      <c r="E536" s="122" t="e">
        <f t="shared" si="89"/>
        <v>#DIV/0!</v>
      </c>
      <c r="F536" s="128" t="e">
        <f t="shared" si="86"/>
        <v>#DIV/0!</v>
      </c>
      <c r="G536" s="127" t="e">
        <f t="shared" si="88"/>
        <v>#DIV/0!</v>
      </c>
      <c r="J536" s="119">
        <v>14.674799999999999</v>
      </c>
      <c r="K536" s="119">
        <v>501.72</v>
      </c>
      <c r="L536" s="119">
        <v>39.840000000000003</v>
      </c>
      <c r="M536" s="119">
        <f t="shared" si="83"/>
        <v>0.7454400000000021</v>
      </c>
      <c r="N536" s="128">
        <f t="shared" si="84"/>
        <v>0.28419791131655536</v>
      </c>
      <c r="O536" s="124" t="e">
        <f t="shared" si="87"/>
        <v>#DIV/0!</v>
      </c>
      <c r="P536" s="124">
        <f t="shared" si="87"/>
        <v>30.643800000000056</v>
      </c>
      <c r="Q536" s="124">
        <f t="shared" si="87"/>
        <v>0.30620000000000402</v>
      </c>
      <c r="R536" s="124">
        <f>AVERAGE(J534:J536)</f>
        <v>15.008599999999999</v>
      </c>
      <c r="S536" s="124">
        <f>AVERAGE(K534:K536)</f>
        <v>511.70333333333332</v>
      </c>
      <c r="T536" s="124">
        <f>AVERAGE(L534:L536)</f>
        <v>40.796666666666667</v>
      </c>
      <c r="U536" s="119">
        <v>14.3</v>
      </c>
      <c r="V536" s="129" t="e">
        <f t="shared" si="80"/>
        <v>#DIV/0!</v>
      </c>
      <c r="W536" s="134" t="e">
        <f t="shared" si="91"/>
        <v>#DIV/0!</v>
      </c>
      <c r="X536" s="135" t="e">
        <f t="shared" si="90"/>
        <v>#DIV/0!</v>
      </c>
      <c r="Y536" s="134"/>
      <c r="Z536" s="135">
        <v>48.855200000000004</v>
      </c>
      <c r="AA536" s="136">
        <f t="shared" si="81"/>
        <v>5.2285000000000039</v>
      </c>
      <c r="AB536" s="131">
        <v>43.6267</v>
      </c>
      <c r="AC536" s="131">
        <f t="shared" si="82"/>
        <v>3.7866999999999962</v>
      </c>
      <c r="AD536" s="131">
        <v>41.418999999999997</v>
      </c>
      <c r="AE536" s="131">
        <f t="shared" ref="AE536:AE599" si="92">AF536-AD536</f>
        <v>6.150500000000001</v>
      </c>
      <c r="AF536" s="131">
        <v>47.569499999999998</v>
      </c>
      <c r="AG536" s="130">
        <f>'[6]Monthly Palm Oil'!$D163</f>
        <v>2423.85</v>
      </c>
      <c r="AH536" s="131">
        <f>'[6]Monthly Palm Oil'!$X163</f>
        <v>34.984534186780358</v>
      </c>
      <c r="AI536" s="131">
        <f t="shared" si="85"/>
        <v>-1.1288341867803595</v>
      </c>
    </row>
    <row r="537" spans="1:35">
      <c r="A537" s="99">
        <v>41821</v>
      </c>
      <c r="B537" s="119" t="e">
        <f>'[4]Monthly Prices'!$CF177</f>
        <v>#DIV/0!</v>
      </c>
      <c r="C537" s="119">
        <v>396.12729999999999</v>
      </c>
      <c r="D537" s="119">
        <v>36.954099999999997</v>
      </c>
      <c r="E537" s="122" t="e">
        <f t="shared" si="89"/>
        <v>#DIV/0!</v>
      </c>
      <c r="F537" s="128" t="e">
        <f t="shared" si="86"/>
        <v>#DIV/0!</v>
      </c>
      <c r="G537" s="127" t="e">
        <f t="shared" si="88"/>
        <v>#DIV/0!</v>
      </c>
      <c r="J537" s="119">
        <v>13.146699999999999</v>
      </c>
      <c r="K537" s="119">
        <v>450.79</v>
      </c>
      <c r="L537" s="119">
        <v>37.6</v>
      </c>
      <c r="M537" s="119">
        <f t="shared" si="83"/>
        <v>0.90668000000000148</v>
      </c>
      <c r="N537" s="128">
        <f t="shared" si="84"/>
        <v>0.29430642308113775</v>
      </c>
      <c r="O537" s="124" t="e">
        <f t="shared" si="87"/>
        <v>#DIV/0!</v>
      </c>
      <c r="P537" s="124">
        <f t="shared" si="87"/>
        <v>54.662700000000029</v>
      </c>
      <c r="Q537" s="124">
        <f t="shared" si="87"/>
        <v>0.64590000000000458</v>
      </c>
      <c r="U537" s="119">
        <v>13.1</v>
      </c>
      <c r="V537" s="129" t="e">
        <f t="shared" si="80"/>
        <v>#DIV/0!</v>
      </c>
      <c r="W537" s="134" t="e">
        <f t="shared" si="91"/>
        <v>#DIV/0!</v>
      </c>
      <c r="X537" s="135" t="e">
        <f t="shared" si="90"/>
        <v>#DIV/0!</v>
      </c>
      <c r="Y537" s="134"/>
      <c r="Z537" s="135">
        <v>46.1995</v>
      </c>
      <c r="AA537" s="136">
        <f t="shared" si="81"/>
        <v>4.4431000000000012</v>
      </c>
      <c r="AB537" s="131">
        <v>41.756399999999999</v>
      </c>
      <c r="AC537" s="131">
        <f t="shared" si="82"/>
        <v>4.1563999999999979</v>
      </c>
      <c r="AD537" s="131">
        <v>40.804099999999998</v>
      </c>
      <c r="AE537" s="131">
        <f t="shared" si="92"/>
        <v>5.1908999999999992</v>
      </c>
      <c r="AF537" s="131">
        <v>45.994999999999997</v>
      </c>
      <c r="AG537" s="130">
        <f>'[6]Monthly Palm Oil'!$D164</f>
        <v>2285.681818181818</v>
      </c>
      <c r="AH537" s="131">
        <f>'[6]Monthly Palm Oil'!$X164</f>
        <v>32.490238460357951</v>
      </c>
      <c r="AI537" s="131">
        <f t="shared" si="85"/>
        <v>-0.19073846035794872</v>
      </c>
    </row>
    <row r="538" spans="1:35">
      <c r="A538" s="99">
        <v>41852</v>
      </c>
      <c r="B538" s="119" t="e">
        <f>'[4]Monthly Prices'!$CF178</f>
        <v>#DIV/0!</v>
      </c>
      <c r="C538" s="119">
        <v>388.71429999999998</v>
      </c>
      <c r="D538" s="119">
        <v>33.855699999999999</v>
      </c>
      <c r="E538" s="122" t="e">
        <f t="shared" si="89"/>
        <v>#DIV/0!</v>
      </c>
      <c r="F538" s="128" t="e">
        <f t="shared" si="86"/>
        <v>#DIV/0!</v>
      </c>
      <c r="G538" s="127" t="e">
        <f t="shared" si="88"/>
        <v>#DIV/0!</v>
      </c>
      <c r="J538" s="119">
        <v>12.868</v>
      </c>
      <c r="K538" s="119">
        <v>490.32</v>
      </c>
      <c r="L538" s="119">
        <v>35.04</v>
      </c>
      <c r="M538" s="119">
        <f t="shared" si="83"/>
        <v>1.773439999999999</v>
      </c>
      <c r="N538" s="128">
        <f t="shared" si="84"/>
        <v>0.26325279480706815</v>
      </c>
      <c r="O538" s="124" t="e">
        <f t="shared" si="87"/>
        <v>#DIV/0!</v>
      </c>
      <c r="P538" s="124">
        <f t="shared" si="87"/>
        <v>101.60570000000001</v>
      </c>
      <c r="Q538" s="124">
        <f t="shared" si="87"/>
        <v>1.1843000000000004</v>
      </c>
      <c r="U538" s="119">
        <v>12.4</v>
      </c>
      <c r="V538" s="129" t="e">
        <f t="shared" si="80"/>
        <v>#DIV/0!</v>
      </c>
      <c r="W538" s="134" t="e">
        <f t="shared" si="91"/>
        <v>#DIV/0!</v>
      </c>
      <c r="X538" s="135" t="e">
        <f t="shared" si="90"/>
        <v>#DIV/0!</v>
      </c>
      <c r="Y538" s="134"/>
      <c r="Z538" s="135">
        <v>43.285699999999999</v>
      </c>
      <c r="AA538" s="136">
        <f t="shared" si="81"/>
        <v>4.1471000000000018</v>
      </c>
      <c r="AB538" s="131">
        <v>39.138599999999997</v>
      </c>
      <c r="AC538" s="131">
        <f t="shared" si="82"/>
        <v>4.0985999999999976</v>
      </c>
      <c r="AD538" s="131">
        <v>38.264299999999999</v>
      </c>
      <c r="AE538" s="131">
        <f t="shared" si="92"/>
        <v>6.0071000000000012</v>
      </c>
      <c r="AF538" s="131">
        <v>44.2714</v>
      </c>
      <c r="AG538" s="130">
        <f>'[6]Monthly Palm Oil'!$D165</f>
        <v>2330.1</v>
      </c>
      <c r="AH538" s="131">
        <f>'[6]Monthly Palm Oil'!$X165</f>
        <v>32.22401527365939</v>
      </c>
      <c r="AI538" s="131">
        <f t="shared" si="85"/>
        <v>0.57078472634061228</v>
      </c>
    </row>
    <row r="539" spans="1:35">
      <c r="A539" s="99">
        <v>41883</v>
      </c>
      <c r="B539" s="119" t="e">
        <f>'[4]Monthly Prices'!$CF179</f>
        <v>#DIV/0!</v>
      </c>
      <c r="C539" s="119">
        <v>334.64760000000001</v>
      </c>
      <c r="D539" s="119">
        <v>32.299500000000002</v>
      </c>
      <c r="E539" s="122" t="e">
        <f t="shared" si="89"/>
        <v>#DIV/0!</v>
      </c>
      <c r="F539" s="128" t="e">
        <f t="shared" si="86"/>
        <v>#DIV/0!</v>
      </c>
      <c r="G539" s="127" t="e">
        <f t="shared" si="88"/>
        <v>#DIV/0!</v>
      </c>
      <c r="J539" s="119">
        <v>11.0825</v>
      </c>
      <c r="K539" s="119">
        <v>525.72</v>
      </c>
      <c r="L539" s="119">
        <v>33.99</v>
      </c>
      <c r="M539" s="119">
        <f t="shared" si="83"/>
        <v>4.2222400000000029</v>
      </c>
      <c r="N539" s="128">
        <f t="shared" si="84"/>
        <v>0.24429686489283711</v>
      </c>
      <c r="O539" s="124" t="e">
        <f t="shared" si="87"/>
        <v>#DIV/0!</v>
      </c>
      <c r="P539" s="124">
        <f t="shared" si="87"/>
        <v>191.07240000000002</v>
      </c>
      <c r="Q539" s="124">
        <f t="shared" si="87"/>
        <v>1.6905000000000001</v>
      </c>
      <c r="R539" s="124">
        <f>AVERAGE(J537:J539)</f>
        <v>12.365733333333333</v>
      </c>
      <c r="S539" s="124">
        <f>AVERAGE(K537:K539)</f>
        <v>488.94333333333333</v>
      </c>
      <c r="T539" s="124">
        <f>AVERAGE(L537:L539)</f>
        <v>35.543333333333329</v>
      </c>
      <c r="U539" s="119">
        <v>10.9</v>
      </c>
      <c r="V539" s="129" t="e">
        <f t="shared" ref="V539:V602" si="93">U539-B539</f>
        <v>#DIV/0!</v>
      </c>
      <c r="W539" s="134" t="e">
        <f t="shared" si="91"/>
        <v>#DIV/0!</v>
      </c>
      <c r="X539" s="135" t="e">
        <f>V539-W539</f>
        <v>#DIV/0!</v>
      </c>
      <c r="Y539" s="134"/>
      <c r="Z539" s="135">
        <v>42.217100000000002</v>
      </c>
      <c r="AA539" s="136">
        <f t="shared" si="81"/>
        <v>4.380900000000004</v>
      </c>
      <c r="AB539" s="131">
        <v>37.836199999999998</v>
      </c>
      <c r="AC539" s="131">
        <f t="shared" si="82"/>
        <v>3.8461999999999961</v>
      </c>
      <c r="AD539" s="131">
        <v>36.4129</v>
      </c>
      <c r="AE539" s="131">
        <f t="shared" si="92"/>
        <v>6.1257000000000019</v>
      </c>
      <c r="AF539" s="131">
        <v>42.538600000000002</v>
      </c>
      <c r="AG539" s="130">
        <f>'[6]Monthly Palm Oil'!$D166</f>
        <v>2344.5263157894738</v>
      </c>
      <c r="AH539" s="131">
        <f>'[6]Monthly Palm Oil'!$X166</f>
        <v>32.746094590266338</v>
      </c>
      <c r="AI539" s="131">
        <f t="shared" si="85"/>
        <v>-2.3994590266340765E-2</v>
      </c>
    </row>
    <row r="540" spans="1:35">
      <c r="A540" s="99">
        <v>41913</v>
      </c>
      <c r="B540" s="119" t="e">
        <f>'[4]Monthly Prices'!$CF180</f>
        <v>#DIV/0!</v>
      </c>
      <c r="C540" s="119">
        <v>335.64350000000002</v>
      </c>
      <c r="D540" s="119">
        <v>32.794800000000002</v>
      </c>
      <c r="E540" s="122" t="e">
        <f t="shared" si="89"/>
        <v>#DIV/0!</v>
      </c>
      <c r="F540" s="128" t="e">
        <f t="shared" si="86"/>
        <v>#DIV/0!</v>
      </c>
      <c r="G540" s="127" t="e">
        <f t="shared" si="88"/>
        <v>#DIV/0!</v>
      </c>
      <c r="J540" s="119">
        <v>9.6265000000000001</v>
      </c>
      <c r="K540" s="119">
        <v>381.5</v>
      </c>
      <c r="L540" s="119">
        <v>34.1</v>
      </c>
      <c r="M540" s="119">
        <f t="shared" si="83"/>
        <v>2.5175000000000018</v>
      </c>
      <c r="N540" s="128">
        <f t="shared" si="84"/>
        <v>0.30887681159420288</v>
      </c>
      <c r="O540" s="124" t="e">
        <f t="shared" si="87"/>
        <v>#DIV/0!</v>
      </c>
      <c r="P540" s="124">
        <f t="shared" si="87"/>
        <v>45.856499999999983</v>
      </c>
      <c r="Q540" s="124">
        <f t="shared" si="87"/>
        <v>1.3051999999999992</v>
      </c>
      <c r="U540" s="119">
        <v>9.9700000000000006</v>
      </c>
      <c r="V540" s="129" t="e">
        <f t="shared" si="93"/>
        <v>#DIV/0!</v>
      </c>
      <c r="W540" s="134" t="e">
        <f t="shared" si="91"/>
        <v>#DIV/0!</v>
      </c>
      <c r="X540" s="135" t="e">
        <f>V540-W540</f>
        <v>#DIV/0!</v>
      </c>
      <c r="Y540" s="134"/>
      <c r="Z540" s="135">
        <v>43.631700000000002</v>
      </c>
      <c r="AA540" s="136">
        <f t="shared" si="81"/>
        <v>5.3152000000000044</v>
      </c>
      <c r="AB540" s="131">
        <v>38.316499999999998</v>
      </c>
      <c r="AC540" s="131">
        <f t="shared" si="82"/>
        <v>4.2164999999999964</v>
      </c>
      <c r="AD540" s="131">
        <v>35.131399999999999</v>
      </c>
      <c r="AE540" s="131">
        <f t="shared" si="92"/>
        <v>7.9134000000000029</v>
      </c>
      <c r="AF540" s="131">
        <v>43.044800000000002</v>
      </c>
      <c r="AG540" s="130">
        <f>'[6]Monthly Palm Oil'!$D167</f>
        <v>2409.9545454545455</v>
      </c>
      <c r="AH540" s="131">
        <f>'[6]Monthly Palm Oil'!$X167</f>
        <v>34.454903115186703</v>
      </c>
      <c r="AI540" s="131">
        <f t="shared" si="85"/>
        <v>-2.3958031151867019</v>
      </c>
    </row>
    <row r="541" spans="1:35">
      <c r="A541" s="99">
        <v>41944</v>
      </c>
      <c r="B541" s="119" t="e">
        <f>'[4]Monthly Prices'!$CF181</f>
        <v>#DIV/0!</v>
      </c>
      <c r="C541" s="119">
        <v>383.96839999999997</v>
      </c>
      <c r="D541" s="119">
        <v>32.722099999999998</v>
      </c>
      <c r="E541" s="122" t="e">
        <f t="shared" si="89"/>
        <v>#DIV/0!</v>
      </c>
      <c r="F541" s="128" t="e">
        <f t="shared" si="86"/>
        <v>#DIV/0!</v>
      </c>
      <c r="G541" s="127" t="e">
        <f t="shared" si="88"/>
        <v>#DIV/0!</v>
      </c>
      <c r="J541" s="119">
        <v>10.310600000000001</v>
      </c>
      <c r="K541" s="119">
        <v>441.39</v>
      </c>
      <c r="L541" s="119">
        <v>33.450000000000003</v>
      </c>
      <c r="M541" s="119">
        <f t="shared" si="83"/>
        <v>3.0794800000000002</v>
      </c>
      <c r="N541" s="128">
        <f t="shared" si="84"/>
        <v>0.27479298107255518</v>
      </c>
      <c r="O541" s="124" t="e">
        <f t="shared" si="87"/>
        <v>#DIV/0!</v>
      </c>
      <c r="P541" s="124">
        <f t="shared" si="87"/>
        <v>57.421600000000012</v>
      </c>
      <c r="Q541" s="124">
        <f t="shared" si="87"/>
        <v>0.72790000000000532</v>
      </c>
      <c r="U541" s="119">
        <v>10.199999999999999</v>
      </c>
      <c r="V541" s="129" t="e">
        <f t="shared" si="93"/>
        <v>#DIV/0!</v>
      </c>
      <c r="W541" s="134" t="e">
        <f t="shared" si="91"/>
        <v>#DIV/0!</v>
      </c>
      <c r="X541" s="135" t="e">
        <f>V541-W541</f>
        <v>#DIV/0!</v>
      </c>
      <c r="Y541" s="134"/>
      <c r="Z541" s="135">
        <v>42.472099999999998</v>
      </c>
      <c r="AA541" s="136">
        <f t="shared" si="81"/>
        <v>5.0788999999999973</v>
      </c>
      <c r="AB541" s="131">
        <v>37.3932</v>
      </c>
      <c r="AC541" s="131">
        <f t="shared" si="82"/>
        <v>3.9431999999999974</v>
      </c>
      <c r="AD541" s="131">
        <v>35.7318</v>
      </c>
      <c r="AE541" s="131">
        <f t="shared" si="92"/>
        <v>7.2402999999999977</v>
      </c>
      <c r="AF541" s="131">
        <v>42.972099999999998</v>
      </c>
      <c r="AG541" s="130">
        <f>'[6]Monthly Palm Oil'!$D168</f>
        <v>2594</v>
      </c>
      <c r="AH541" s="131">
        <f>'[6]Monthly Palm Oil'!$X168</f>
        <v>36.801260517321133</v>
      </c>
      <c r="AI541" s="131">
        <f t="shared" si="85"/>
        <v>-4.6152605173211327</v>
      </c>
    </row>
    <row r="542" spans="1:35">
      <c r="A542" s="99">
        <v>41974</v>
      </c>
      <c r="B542" s="119" t="e">
        <f>'[4]Monthly Prices'!$CF182</f>
        <v>#DIV/0!</v>
      </c>
      <c r="C542" s="119">
        <v>366.5136</v>
      </c>
      <c r="D542" s="119">
        <v>32.059100000000001</v>
      </c>
      <c r="E542" s="122" t="e">
        <f t="shared" si="89"/>
        <v>#DIV/0!</v>
      </c>
      <c r="F542" s="128" t="e">
        <f t="shared" si="86"/>
        <v>#DIV/0!</v>
      </c>
      <c r="G542" s="127" t="e">
        <f t="shared" si="88"/>
        <v>#DIV/0!</v>
      </c>
      <c r="J542" s="119">
        <v>10.363099999999999</v>
      </c>
      <c r="K542" s="119">
        <v>431.73</v>
      </c>
      <c r="L542" s="119">
        <v>32.56</v>
      </c>
      <c r="M542" s="119">
        <f t="shared" si="83"/>
        <v>2.7165600000000012</v>
      </c>
      <c r="N542" s="128">
        <f t="shared" si="84"/>
        <v>0.27382974786806386</v>
      </c>
      <c r="O542" s="124" t="e">
        <f t="shared" si="87"/>
        <v>#DIV/0!</v>
      </c>
      <c r="P542" s="124">
        <f t="shared" si="87"/>
        <v>65.216400000000021</v>
      </c>
      <c r="Q542" s="124">
        <f t="shared" si="87"/>
        <v>0.50090000000000146</v>
      </c>
      <c r="R542" s="124">
        <f>AVERAGE(J540:J542)</f>
        <v>10.100066666666667</v>
      </c>
      <c r="S542" s="124">
        <f>AVERAGE(K540:K542)</f>
        <v>418.20666666666665</v>
      </c>
      <c r="T542" s="124">
        <f>AVERAGE(L540:L542)</f>
        <v>33.370000000000005</v>
      </c>
      <c r="U542" s="119">
        <v>10.3</v>
      </c>
      <c r="V542" s="129" t="e">
        <f t="shared" si="93"/>
        <v>#DIV/0!</v>
      </c>
      <c r="W542" s="134" t="e">
        <f t="shared" si="91"/>
        <v>#DIV/0!</v>
      </c>
      <c r="X542" s="135" t="e">
        <f>V542-W542</f>
        <v>#DIV/0!</v>
      </c>
      <c r="Y542" s="134"/>
      <c r="Z542" s="135">
        <v>41.307099999999998</v>
      </c>
      <c r="AA542" s="136">
        <f t="shared" si="81"/>
        <v>5.9165999999999954</v>
      </c>
      <c r="AB542" s="131">
        <v>35.390500000000003</v>
      </c>
      <c r="AC542" s="131">
        <f t="shared" si="82"/>
        <v>2.8305000000000007</v>
      </c>
      <c r="AD542" s="131">
        <v>33.56</v>
      </c>
      <c r="AE542" s="131">
        <f t="shared" si="92"/>
        <v>8.2232999999999947</v>
      </c>
      <c r="AF542" s="131">
        <v>41.783299999999997</v>
      </c>
      <c r="AG542" s="130">
        <f>'[6]Monthly Palm Oil'!$D169</f>
        <v>2617.7619047619046</v>
      </c>
      <c r="AH542" s="131">
        <f>'[6]Monthly Palm Oil'!$X169</f>
        <v>36.547431840635241</v>
      </c>
      <c r="AI542" s="131">
        <f t="shared" si="85"/>
        <v>-4.8895318406352395</v>
      </c>
    </row>
    <row r="543" spans="1:35">
      <c r="A543" s="99">
        <v>42005</v>
      </c>
      <c r="B543" s="119" t="e">
        <f>'[4]Monthly Prices'!$CF183</f>
        <v>#DIV/0!</v>
      </c>
      <c r="C543" s="119">
        <v>338.11500000000001</v>
      </c>
      <c r="D543" s="119">
        <v>32.186</v>
      </c>
      <c r="E543" s="122" t="e">
        <f t="shared" si="89"/>
        <v>#DIV/0!</v>
      </c>
      <c r="F543" s="128" t="e">
        <f t="shared" si="86"/>
        <v>#DIV/0!</v>
      </c>
      <c r="G543" s="127" t="e">
        <f t="shared" si="88"/>
        <v>#DIV/0!</v>
      </c>
      <c r="J543" s="119">
        <v>10.081300000000001</v>
      </c>
      <c r="K543" s="119">
        <v>380.02</v>
      </c>
      <c r="L543" s="119">
        <v>32.33</v>
      </c>
      <c r="M543" s="119">
        <f t="shared" si="83"/>
        <v>1.8354399999999984</v>
      </c>
      <c r="N543" s="128">
        <f t="shared" si="84"/>
        <v>0.2984289327450293</v>
      </c>
      <c r="O543" s="124" t="e">
        <f t="shared" si="87"/>
        <v>#DIV/0!</v>
      </c>
      <c r="P543" s="124">
        <f t="shared" si="87"/>
        <v>41.904999999999973</v>
      </c>
      <c r="Q543" s="124">
        <f t="shared" si="87"/>
        <v>0.14399999999999835</v>
      </c>
      <c r="U543" s="119">
        <v>10.3</v>
      </c>
      <c r="V543" s="129" t="e">
        <f t="shared" si="93"/>
        <v>#DIV/0!</v>
      </c>
      <c r="W543" s="134" t="e">
        <f t="shared" si="91"/>
        <v>#DIV/0!</v>
      </c>
      <c r="X543" s="135" t="e">
        <f>V543-W543</f>
        <v>#DIV/0!</v>
      </c>
      <c r="Y543" s="134"/>
      <c r="Z543" s="135">
        <v>41.877499999999998</v>
      </c>
      <c r="AA543" s="136">
        <f t="shared" si="81"/>
        <v>6.7999999999999972</v>
      </c>
      <c r="AB543" s="131">
        <v>35.077500000000001</v>
      </c>
      <c r="AC543" s="131">
        <f t="shared" si="82"/>
        <v>2.7475000000000023</v>
      </c>
      <c r="AD543" s="131">
        <v>35.340000000000003</v>
      </c>
      <c r="AE543" s="131">
        <f t="shared" si="92"/>
        <v>6.8874999999999957</v>
      </c>
      <c r="AF543" s="131">
        <v>42.227499999999999</v>
      </c>
      <c r="AG543" s="130">
        <f>'[6]Monthly Palm Oil'!$D170</f>
        <v>2565.2222222222222</v>
      </c>
      <c r="AH543" s="131">
        <f>'[6]Monthly Palm Oil'!$X170</f>
        <v>35.22669592176949</v>
      </c>
      <c r="AI543" s="131">
        <f t="shared" si="85"/>
        <v>-4.1543959217694919</v>
      </c>
    </row>
    <row r="544" spans="1:35">
      <c r="A544" s="99">
        <v>42036</v>
      </c>
      <c r="B544" s="119" t="e">
        <f>'[4]Monthly Prices'!$CF184</f>
        <v>#DIV/0!</v>
      </c>
      <c r="C544" s="119">
        <v>339.51580000000001</v>
      </c>
      <c r="D544" s="119">
        <v>31.657900000000001</v>
      </c>
      <c r="E544" s="122" t="e">
        <f t="shared" si="89"/>
        <v>#DIV/0!</v>
      </c>
      <c r="F544" s="128" t="e">
        <f t="shared" si="86"/>
        <v>#DIV/0!</v>
      </c>
      <c r="G544" s="127" t="e">
        <f t="shared" si="88"/>
        <v>#DIV/0!</v>
      </c>
      <c r="J544" s="119">
        <v>10.0418</v>
      </c>
      <c r="K544" s="119">
        <v>370.38</v>
      </c>
      <c r="L544" s="119">
        <v>31.57</v>
      </c>
      <c r="M544" s="119">
        <f t="shared" si="83"/>
        <v>1.5792599999999997</v>
      </c>
      <c r="N544" s="128">
        <f t="shared" si="84"/>
        <v>0.29882816197489726</v>
      </c>
      <c r="O544" s="124" t="e">
        <f t="shared" si="87"/>
        <v>#DIV/0!</v>
      </c>
      <c r="P544" s="124">
        <f t="shared" si="87"/>
        <v>30.864199999999983</v>
      </c>
      <c r="Q544" s="124">
        <f t="shared" si="87"/>
        <v>-8.7900000000001199E-2</v>
      </c>
      <c r="U544" s="119">
        <v>9.91</v>
      </c>
      <c r="V544" s="129" t="e">
        <f t="shared" si="93"/>
        <v>#DIV/0!</v>
      </c>
      <c r="W544" s="134" t="e">
        <f t="shared" si="91"/>
        <v>#DIV/0!</v>
      </c>
      <c r="X544" s="135" t="e">
        <f t="shared" ref="X544:X551" si="94">V544-W544</f>
        <v>#DIV/0!</v>
      </c>
      <c r="Y544" s="134"/>
      <c r="Z544" s="135">
        <v>40.723700000000001</v>
      </c>
      <c r="AA544" s="136">
        <f t="shared" ref="AA544:AA607" si="95">Z544-AB544</f>
        <v>6.9342000000000041</v>
      </c>
      <c r="AB544" s="131">
        <v>33.789499999999997</v>
      </c>
      <c r="AC544" s="131">
        <f t="shared" ref="AC544:AC607" si="96">AB544-L544</f>
        <v>2.2194999999999965</v>
      </c>
      <c r="AD544" s="131">
        <v>34.954500000000003</v>
      </c>
      <c r="AE544" s="131">
        <f t="shared" si="92"/>
        <v>6.229699999999994</v>
      </c>
      <c r="AF544" s="131">
        <v>41.184199999999997</v>
      </c>
      <c r="AG544" s="130">
        <f>'[6]Monthly Palm Oil'!$D171</f>
        <v>2677.6111111111113</v>
      </c>
      <c r="AH544" s="131">
        <f>'[6]Monthly Palm Oil'!$X171</f>
        <v>36.760353315367936</v>
      </c>
      <c r="AI544" s="131">
        <f t="shared" si="85"/>
        <v>-5.3865533153679372</v>
      </c>
    </row>
    <row r="545" spans="1:35">
      <c r="A545" s="99">
        <v>42064</v>
      </c>
      <c r="B545" s="119" t="e">
        <f>'[4]Monthly Prices'!$CF185</f>
        <v>#DIV/0!</v>
      </c>
      <c r="C545" s="119">
        <v>326.38639999999998</v>
      </c>
      <c r="D545" s="119">
        <v>31.072299999999998</v>
      </c>
      <c r="E545" s="122" t="e">
        <f t="shared" si="89"/>
        <v>#DIV/0!</v>
      </c>
      <c r="F545" s="128" t="e">
        <f t="shared" si="86"/>
        <v>#DIV/0!</v>
      </c>
      <c r="G545" s="127" t="e">
        <f t="shared" si="88"/>
        <v>#DIV/0!</v>
      </c>
      <c r="J545" s="119">
        <v>9.9026999999999994</v>
      </c>
      <c r="K545" s="119">
        <v>357.83</v>
      </c>
      <c r="L545" s="119">
        <v>30.89</v>
      </c>
      <c r="M545" s="119">
        <f t="shared" si="83"/>
        <v>1.3674600000000012</v>
      </c>
      <c r="N545" s="128">
        <f t="shared" si="84"/>
        <v>0.30149527602092602</v>
      </c>
      <c r="O545" s="124" t="e">
        <f t="shared" si="87"/>
        <v>#DIV/0!</v>
      </c>
      <c r="P545" s="124">
        <f t="shared" si="87"/>
        <v>31.443600000000004</v>
      </c>
      <c r="Q545" s="124">
        <f t="shared" si="87"/>
        <v>-0.18229999999999791</v>
      </c>
      <c r="R545" s="124">
        <f>AVERAGE(J543:J545)</f>
        <v>10.008599999999999</v>
      </c>
      <c r="S545" s="124">
        <f>AVERAGE(K543:K545)</f>
        <v>369.41</v>
      </c>
      <c r="T545" s="124">
        <f>AVERAGE(L543:L545)</f>
        <v>31.596666666666664</v>
      </c>
      <c r="U545" s="119">
        <v>9.85</v>
      </c>
      <c r="V545" s="129" t="e">
        <f t="shared" si="93"/>
        <v>#DIV/0!</v>
      </c>
      <c r="W545" s="134" t="e">
        <f t="shared" si="91"/>
        <v>#DIV/0!</v>
      </c>
      <c r="X545" s="135" t="e">
        <f t="shared" si="94"/>
        <v>#DIV/0!</v>
      </c>
      <c r="Y545" s="134"/>
      <c r="Z545" s="135">
        <v>39.461399999999998</v>
      </c>
      <c r="AA545" s="136">
        <f t="shared" si="95"/>
        <v>6.2142999999999944</v>
      </c>
      <c r="AB545" s="131">
        <v>33.247100000000003</v>
      </c>
      <c r="AC545" s="131">
        <f t="shared" si="96"/>
        <v>2.3571000000000026</v>
      </c>
      <c r="AD545" s="131">
        <v>33.570500000000003</v>
      </c>
      <c r="AE545" s="131">
        <f t="shared" si="92"/>
        <v>6.410899999999998</v>
      </c>
      <c r="AF545" s="131">
        <v>39.981400000000001</v>
      </c>
      <c r="AG545" s="130">
        <f>'[6]Monthly Palm Oil'!$D172</f>
        <v>2771.6666666666665</v>
      </c>
      <c r="AH545" s="131">
        <f>'[6]Monthly Palm Oil'!$X172</f>
        <v>38.330638999833816</v>
      </c>
      <c r="AI545" s="131">
        <f t="shared" si="85"/>
        <v>-5.7431389998338176</v>
      </c>
    </row>
    <row r="546" spans="1:35">
      <c r="A546" s="99">
        <v>42095</v>
      </c>
      <c r="B546" s="119" t="e">
        <f>'[4]Monthly Prices'!$CF186</f>
        <v>#DIV/0!</v>
      </c>
      <c r="C546" s="119">
        <v>317.25240000000002</v>
      </c>
      <c r="D546" s="119">
        <v>31.373799999999999</v>
      </c>
      <c r="E546" s="122" t="e">
        <f t="shared" si="89"/>
        <v>#DIV/0!</v>
      </c>
      <c r="F546" s="128" t="e">
        <f t="shared" si="86"/>
        <v>#DIV/0!</v>
      </c>
      <c r="G546" s="127" t="e">
        <f t="shared" si="88"/>
        <v>#DIV/0!</v>
      </c>
      <c r="J546" s="119">
        <v>9.8794000000000004</v>
      </c>
      <c r="K546" s="119">
        <v>336.61</v>
      </c>
      <c r="L546" s="119">
        <v>31.13</v>
      </c>
      <c r="M546" s="119">
        <f t="shared" si="83"/>
        <v>0.95031999999999961</v>
      </c>
      <c r="N546" s="128">
        <f t="shared" si="84"/>
        <v>0.31619469386096777</v>
      </c>
      <c r="O546" s="124" t="e">
        <f t="shared" si="87"/>
        <v>#DIV/0!</v>
      </c>
      <c r="P546" s="124">
        <f t="shared" si="87"/>
        <v>19.357599999999991</v>
      </c>
      <c r="Q546" s="124">
        <f t="shared" si="87"/>
        <v>-0.24380000000000024</v>
      </c>
      <c r="U546" s="119">
        <v>9.69</v>
      </c>
      <c r="V546" s="129" t="e">
        <f t="shared" si="93"/>
        <v>#DIV/0!</v>
      </c>
      <c r="W546" s="134" t="e">
        <f t="shared" si="91"/>
        <v>#DIV/0!</v>
      </c>
      <c r="X546" s="135" t="e">
        <f t="shared" si="94"/>
        <v>#DIV/0!</v>
      </c>
      <c r="Y546" s="134"/>
      <c r="Z546" s="135">
        <v>36.270000000000003</v>
      </c>
      <c r="AA546" s="136">
        <f t="shared" si="95"/>
        <v>0.88889999999999958</v>
      </c>
      <c r="AB546" s="131">
        <v>35.381100000000004</v>
      </c>
      <c r="AC546" s="131">
        <f t="shared" si="96"/>
        <v>4.2511000000000045</v>
      </c>
      <c r="AD546" s="131">
        <v>32.746699999999997</v>
      </c>
      <c r="AE546" s="131">
        <f t="shared" si="92"/>
        <v>6.5676000000000059</v>
      </c>
      <c r="AF546" s="131">
        <v>39.314300000000003</v>
      </c>
      <c r="AG546" s="130">
        <f>'[6]Monthly Palm Oil'!$D173</f>
        <v>2639.2857142857142</v>
      </c>
      <c r="AH546" s="131">
        <f>'[6]Monthly Palm Oil'!$X173</f>
        <v>36.783395398128945</v>
      </c>
      <c r="AI546" s="131">
        <f t="shared" si="85"/>
        <v>-3.3065953981289482</v>
      </c>
    </row>
    <row r="547" spans="1:35">
      <c r="A547" s="99">
        <v>42125</v>
      </c>
      <c r="B547" s="119" t="e">
        <f>'[4]Monthly Prices'!$CF187</f>
        <v>#DIV/0!</v>
      </c>
      <c r="C547" s="119">
        <v>307.60000000000002</v>
      </c>
      <c r="D547" s="119">
        <v>32.587499999999999</v>
      </c>
      <c r="E547" s="122" t="e">
        <f t="shared" si="89"/>
        <v>#DIV/0!</v>
      </c>
      <c r="F547" s="128" t="e">
        <f t="shared" si="86"/>
        <v>#DIV/0!</v>
      </c>
      <c r="G547" s="127" t="e">
        <f t="shared" si="88"/>
        <v>#DIV/0!</v>
      </c>
      <c r="J547" s="119">
        <v>9.7929999999999993</v>
      </c>
      <c r="K547" s="119">
        <v>320.23</v>
      </c>
      <c r="L547" s="119">
        <v>32.65</v>
      </c>
      <c r="M547" s="119">
        <f t="shared" si="83"/>
        <v>0.84356000000000009</v>
      </c>
      <c r="N547" s="128">
        <f t="shared" si="84"/>
        <v>0.3376561595102176</v>
      </c>
      <c r="O547" s="124" t="e">
        <f t="shared" si="87"/>
        <v>#DIV/0!</v>
      </c>
      <c r="P547" s="124">
        <f t="shared" si="87"/>
        <v>12.629999999999995</v>
      </c>
      <c r="Q547" s="124">
        <f t="shared" si="87"/>
        <v>6.25E-2</v>
      </c>
      <c r="U547" s="119">
        <v>9.58</v>
      </c>
      <c r="V547" s="129" t="e">
        <f t="shared" si="93"/>
        <v>#DIV/0!</v>
      </c>
      <c r="W547" s="134" t="e">
        <f t="shared" si="91"/>
        <v>#DIV/0!</v>
      </c>
      <c r="X547" s="135" t="e">
        <f t="shared" si="94"/>
        <v>#DIV/0!</v>
      </c>
      <c r="Y547" s="134"/>
      <c r="Z547" s="135">
        <v>36.150500000000001</v>
      </c>
      <c r="AA547" s="136">
        <f t="shared" si="95"/>
        <v>0.5</v>
      </c>
      <c r="AB547" s="131">
        <v>35.650500000000001</v>
      </c>
      <c r="AC547" s="131">
        <f t="shared" si="96"/>
        <v>3.0005000000000024</v>
      </c>
      <c r="AD547" s="131">
        <v>33.445700000000002</v>
      </c>
      <c r="AE547" s="131">
        <f t="shared" si="92"/>
        <v>5.0261999999999958</v>
      </c>
      <c r="AF547" s="131">
        <v>38.471899999999998</v>
      </c>
      <c r="AG547" s="130">
        <f>'[6]Monthly Palm Oil'!$D174</f>
        <v>2544.7368421052633</v>
      </c>
      <c r="AH547" s="131">
        <f>'[6]Monthly Palm Oil'!$X174</f>
        <v>35.767871448149151</v>
      </c>
      <c r="AI547" s="131">
        <f t="shared" si="85"/>
        <v>-4.1655714481491515</v>
      </c>
    </row>
    <row r="548" spans="1:35">
      <c r="A548" s="99">
        <v>42156</v>
      </c>
      <c r="B548" s="119" t="e">
        <f>'[4]Monthly Prices'!$CF188</f>
        <v>#DIV/0!</v>
      </c>
      <c r="C548" s="119">
        <v>321.05450000000002</v>
      </c>
      <c r="D548" s="119">
        <v>33.476799999999997</v>
      </c>
      <c r="E548" s="122" t="e">
        <f t="shared" si="89"/>
        <v>#DIV/0!</v>
      </c>
      <c r="F548" s="128" t="e">
        <f t="shared" si="86"/>
        <v>#DIV/0!</v>
      </c>
      <c r="G548" s="127" t="e">
        <f t="shared" si="88"/>
        <v>#DIV/0!</v>
      </c>
      <c r="J548" s="119">
        <v>9.9380000000000006</v>
      </c>
      <c r="K548" s="119">
        <v>335.03</v>
      </c>
      <c r="L548" s="119">
        <v>33.729999999999997</v>
      </c>
      <c r="M548" s="119">
        <f t="shared" si="83"/>
        <v>1.1429599999999986</v>
      </c>
      <c r="N548" s="128">
        <f t="shared" si="84"/>
        <v>0.33483560991105465</v>
      </c>
      <c r="O548" s="124" t="e">
        <f t="shared" si="87"/>
        <v>#DIV/0!</v>
      </c>
      <c r="P548" s="124">
        <f t="shared" si="87"/>
        <v>13.975499999999954</v>
      </c>
      <c r="Q548" s="124">
        <f t="shared" si="87"/>
        <v>0.25319999999999965</v>
      </c>
      <c r="R548" s="124">
        <f>AVERAGE(J546:J548)</f>
        <v>9.8701333333333334</v>
      </c>
      <c r="S548" s="124">
        <f>AVERAGE(K546:K548)</f>
        <v>330.62333333333333</v>
      </c>
      <c r="T548" s="124">
        <f>AVERAGE(L546:L548)</f>
        <v>32.50333333333333</v>
      </c>
      <c r="U548" s="119">
        <v>9.58</v>
      </c>
      <c r="V548" s="129" t="e">
        <f t="shared" si="93"/>
        <v>#DIV/0!</v>
      </c>
      <c r="W548" s="134" t="e">
        <f t="shared" si="91"/>
        <v>#DIV/0!</v>
      </c>
      <c r="X548" s="135" t="e">
        <f t="shared" si="94"/>
        <v>#DIV/0!</v>
      </c>
      <c r="Y548" s="134"/>
      <c r="Z548" s="135">
        <v>37.639499999999998</v>
      </c>
      <c r="AA548" s="136">
        <f t="shared" si="95"/>
        <v>1.1021999999999963</v>
      </c>
      <c r="AB548" s="131">
        <v>36.537300000000002</v>
      </c>
      <c r="AC548" s="131">
        <f t="shared" si="96"/>
        <v>2.807300000000005</v>
      </c>
      <c r="AD548" s="131">
        <v>34.3277</v>
      </c>
      <c r="AE548" s="131">
        <f t="shared" si="92"/>
        <v>5.1300000000000026</v>
      </c>
      <c r="AF548" s="131">
        <v>39.457700000000003</v>
      </c>
      <c r="AG548" s="130">
        <f>'[6]Monthly Palm Oil'!$D175</f>
        <v>2432.0476190476193</v>
      </c>
      <c r="AH548" s="131">
        <f>'[6]Monthly Palm Oil'!$X175</f>
        <v>34.2862726609779</v>
      </c>
      <c r="AI548" s="131">
        <f t="shared" si="85"/>
        <v>-5.7124726609779017</v>
      </c>
    </row>
    <row r="549" spans="1:35">
      <c r="A549" s="99">
        <v>42186</v>
      </c>
      <c r="B549" s="119" t="e">
        <f>'[4]Monthly Prices'!$CF189</f>
        <v>#DIV/0!</v>
      </c>
      <c r="C549" s="119">
        <v>354.12270000000001</v>
      </c>
      <c r="D549" s="119">
        <v>31.6023</v>
      </c>
      <c r="E549" s="122" t="e">
        <f t="shared" si="89"/>
        <v>#DIV/0!</v>
      </c>
      <c r="F549" s="128" t="e">
        <f t="shared" si="86"/>
        <v>#DIV/0!</v>
      </c>
      <c r="G549" s="127" t="e">
        <f t="shared" si="88"/>
        <v>#DIV/0!</v>
      </c>
      <c r="J549" s="119">
        <v>10.465199999999999</v>
      </c>
      <c r="K549" s="119">
        <v>375.71</v>
      </c>
      <c r="L549" s="119">
        <v>31.54</v>
      </c>
      <c r="M549" s="119">
        <f t="shared" si="83"/>
        <v>1.2698200000000011</v>
      </c>
      <c r="N549" s="128">
        <f t="shared" si="84"/>
        <v>0.29564500103110181</v>
      </c>
      <c r="O549" s="124" t="e">
        <f t="shared" si="87"/>
        <v>#DIV/0!</v>
      </c>
      <c r="P549" s="124">
        <f t="shared" si="87"/>
        <v>21.587299999999971</v>
      </c>
      <c r="Q549" s="124">
        <f t="shared" si="87"/>
        <v>-6.2300000000000466E-2</v>
      </c>
      <c r="U549" s="119">
        <v>9.9499999999999993</v>
      </c>
      <c r="V549" s="129" t="e">
        <f t="shared" si="93"/>
        <v>#DIV/0!</v>
      </c>
      <c r="W549" s="134" t="e">
        <f>(SUM(V537,V525,V513,V501,V489)-MAX(V537,V525,V513,V501,V489)-MIN(V537,V525,V513,V501,V489))/3</f>
        <v>#DIV/0!</v>
      </c>
      <c r="X549" s="135" t="e">
        <f t="shared" si="94"/>
        <v>#DIV/0!</v>
      </c>
      <c r="Y549" s="134"/>
      <c r="Z549" s="135">
        <v>36.3523</v>
      </c>
      <c r="AA549" s="136">
        <f t="shared" si="95"/>
        <v>1.7387000000000015</v>
      </c>
      <c r="AB549" s="131">
        <v>34.613599999999998</v>
      </c>
      <c r="AC549" s="131">
        <f t="shared" si="96"/>
        <v>3.073599999999999</v>
      </c>
      <c r="AD549" s="131">
        <v>33.2286</v>
      </c>
      <c r="AE549" s="131">
        <f t="shared" si="92"/>
        <v>3.7372999999999976</v>
      </c>
      <c r="AF549" s="131">
        <v>36.965899999999998</v>
      </c>
      <c r="AG549" s="130">
        <f>'[6]Monthly Palm Oil'!$D176</f>
        <v>2330.3684210526317</v>
      </c>
      <c r="AH549" s="131">
        <f>'[6]Monthly Palm Oil'!$X176</f>
        <v>33.219263433727754</v>
      </c>
      <c r="AI549" s="131">
        <f t="shared" si="85"/>
        <v>-6.4102634337277529</v>
      </c>
    </row>
    <row r="550" spans="1:35">
      <c r="A550" s="99">
        <v>42217</v>
      </c>
      <c r="B550" s="119" t="e">
        <f>'[4]Monthly Prices'!$CF190</f>
        <v>#DIV/0!</v>
      </c>
      <c r="C550" s="119">
        <v>331.02859999999998</v>
      </c>
      <c r="D550" s="119">
        <v>28.573799999999999</v>
      </c>
      <c r="E550" s="122" t="e">
        <f t="shared" si="89"/>
        <v>#DIV/0!</v>
      </c>
      <c r="F550" s="128" t="e">
        <f t="shared" si="86"/>
        <v>#DIV/0!</v>
      </c>
      <c r="G550" s="127" t="e">
        <f t="shared" si="88"/>
        <v>#DIV/0!</v>
      </c>
      <c r="J550" s="119">
        <v>9.7520000000000007</v>
      </c>
      <c r="K550" s="119">
        <v>357.85</v>
      </c>
      <c r="L550" s="119">
        <v>28.87</v>
      </c>
      <c r="M550" s="119">
        <f t="shared" si="83"/>
        <v>1.2964000000000002</v>
      </c>
      <c r="N550" s="128">
        <f t="shared" si="84"/>
        <v>0.28743528474711266</v>
      </c>
      <c r="O550" s="124" t="e">
        <f t="shared" si="87"/>
        <v>#DIV/0!</v>
      </c>
      <c r="P550" s="124">
        <f t="shared" si="87"/>
        <v>26.82140000000004</v>
      </c>
      <c r="Q550" s="124">
        <f t="shared" si="87"/>
        <v>0.29620000000000246</v>
      </c>
      <c r="U550" s="119">
        <v>9.7100000000000009</v>
      </c>
      <c r="V550" s="129" t="e">
        <f t="shared" si="93"/>
        <v>#DIV/0!</v>
      </c>
      <c r="W550" s="134" t="e">
        <f t="shared" si="91"/>
        <v>#DIV/0!</v>
      </c>
      <c r="X550" s="135" t="e">
        <f t="shared" si="94"/>
        <v>#DIV/0!</v>
      </c>
      <c r="Y550" s="134"/>
      <c r="Z550" s="135">
        <v>33.2986</v>
      </c>
      <c r="AA550" s="136">
        <f t="shared" si="95"/>
        <v>1.8215000000000003</v>
      </c>
      <c r="AB550" s="131">
        <v>31.4771</v>
      </c>
      <c r="AC550" s="131">
        <f t="shared" si="96"/>
        <v>2.6070999999999991</v>
      </c>
      <c r="AD550" s="131">
        <v>29.8033</v>
      </c>
      <c r="AE550" s="131">
        <f t="shared" si="92"/>
        <v>4.5191000000000017</v>
      </c>
      <c r="AF550" s="131">
        <v>34.322400000000002</v>
      </c>
      <c r="AG550" s="130">
        <f>'[6]Monthly Palm Oil'!$D177</f>
        <v>2118.7142857142858</v>
      </c>
      <c r="AH550" s="131">
        <f>'[6]Monthly Palm Oil'!$X177</f>
        <v>30.252501476976356</v>
      </c>
      <c r="AI550" s="131">
        <f t="shared" si="85"/>
        <v>-1.874801476976355</v>
      </c>
    </row>
    <row r="551" spans="1:35">
      <c r="A551" s="99">
        <v>42248</v>
      </c>
      <c r="B551" s="119" t="e">
        <f>'[4]Monthly Prices'!$CF191</f>
        <v>#DIV/0!</v>
      </c>
      <c r="C551" s="119">
        <v>309.42380000000003</v>
      </c>
      <c r="D551" s="119">
        <v>26.809000000000001</v>
      </c>
      <c r="E551" s="122" t="e">
        <f t="shared" si="89"/>
        <v>#DIV/0!</v>
      </c>
      <c r="F551" s="128" t="e">
        <f t="shared" si="86"/>
        <v>#DIV/0!</v>
      </c>
      <c r="G551" s="127" t="e">
        <f t="shared" si="88"/>
        <v>#DIV/0!</v>
      </c>
      <c r="J551" s="119">
        <v>8.9094999999999995</v>
      </c>
      <c r="K551" s="119">
        <v>333.62</v>
      </c>
      <c r="L551" s="119">
        <v>26.43</v>
      </c>
      <c r="M551" s="119">
        <f t="shared" si="83"/>
        <v>1.3374400000000009</v>
      </c>
      <c r="N551" s="128">
        <f t="shared" si="84"/>
        <v>0.28372372630268156</v>
      </c>
      <c r="O551" s="124" t="e">
        <f t="shared" si="87"/>
        <v>#DIV/0!</v>
      </c>
      <c r="P551" s="124">
        <f t="shared" si="87"/>
        <v>24.196199999999976</v>
      </c>
      <c r="Q551" s="124">
        <f t="shared" si="87"/>
        <v>-0.37900000000000134</v>
      </c>
      <c r="R551" s="124">
        <f>AVERAGE(J549:J551)</f>
        <v>9.7088999999999999</v>
      </c>
      <c r="S551" s="124">
        <f>AVERAGE(K549:K551)</f>
        <v>355.72666666666663</v>
      </c>
      <c r="T551" s="124">
        <f>AVERAGE(L549:L551)</f>
        <v>28.946666666666669</v>
      </c>
      <c r="U551" s="119">
        <v>9.0500000000000007</v>
      </c>
      <c r="V551" s="129" t="e">
        <f t="shared" si="93"/>
        <v>#DIV/0!</v>
      </c>
      <c r="W551" s="134" t="e">
        <f t="shared" si="91"/>
        <v>#DIV/0!</v>
      </c>
      <c r="X551" s="135" t="e">
        <f t="shared" si="94"/>
        <v>#DIV/0!</v>
      </c>
      <c r="Y551" s="134"/>
      <c r="Z551" s="135">
        <v>31.523299999999999</v>
      </c>
      <c r="AA551" s="136">
        <f t="shared" si="95"/>
        <v>2.9761999999999986</v>
      </c>
      <c r="AB551" s="131">
        <v>28.5471</v>
      </c>
      <c r="AC551" s="131">
        <f t="shared" si="96"/>
        <v>2.1171000000000006</v>
      </c>
      <c r="AD551" s="131">
        <v>28.951899999999998</v>
      </c>
      <c r="AE551" s="131">
        <f t="shared" si="92"/>
        <v>3.6667000000000023</v>
      </c>
      <c r="AF551" s="131">
        <v>32.618600000000001</v>
      </c>
      <c r="AG551" s="130">
        <f>'[6]Monthly Palm Oil'!$D178</f>
        <v>2094.9</v>
      </c>
      <c r="AH551" s="131">
        <f>'[6]Monthly Palm Oil'!$X178</f>
        <v>29.523551405777528</v>
      </c>
      <c r="AI551" s="131">
        <f t="shared" si="85"/>
        <v>-1.639551405777528</v>
      </c>
    </row>
    <row r="552" spans="1:35">
      <c r="A552" s="99">
        <v>42278</v>
      </c>
      <c r="B552" s="119" t="e">
        <f>'[4]Monthly Prices'!$CF192</f>
        <v>#DIV/0!</v>
      </c>
      <c r="C552" s="119">
        <v>307.1182</v>
      </c>
      <c r="D552" s="119">
        <v>28.377700000000001</v>
      </c>
      <c r="E552" s="122" t="e">
        <f t="shared" si="89"/>
        <v>#DIV/0!</v>
      </c>
      <c r="F552" s="128" t="e">
        <f t="shared" si="86"/>
        <v>#DIV/0!</v>
      </c>
      <c r="G552" s="127" t="e">
        <f t="shared" si="88"/>
        <v>#DIV/0!</v>
      </c>
      <c r="J552" s="119">
        <v>8.9295000000000009</v>
      </c>
      <c r="K552" s="119">
        <v>327.97</v>
      </c>
      <c r="L552" s="119">
        <v>27.14</v>
      </c>
      <c r="M552" s="119">
        <f t="shared" si="83"/>
        <v>1.2712400000000006</v>
      </c>
      <c r="N552" s="128">
        <f t="shared" si="84"/>
        <v>0.29266504194793708</v>
      </c>
      <c r="O552" s="124" t="e">
        <f t="shared" si="87"/>
        <v>#DIV/0!</v>
      </c>
      <c r="P552" s="124">
        <f t="shared" si="87"/>
        <v>20.851800000000026</v>
      </c>
      <c r="Q552" s="124">
        <f t="shared" si="87"/>
        <v>-1.2377000000000002</v>
      </c>
      <c r="R552" s="124"/>
      <c r="S552" s="124"/>
      <c r="T552" s="124"/>
      <c r="U552" s="119">
        <v>8.81</v>
      </c>
      <c r="V552" s="129" t="e">
        <f t="shared" si="93"/>
        <v>#DIV/0!</v>
      </c>
      <c r="W552" s="134" t="e">
        <f>(SUM(V540,V528,V516,V504,V492)-MAX(V540,V528,V516,V504,V492)-MIN(V540,V528,V516,V504,V492))/3</f>
        <v>#DIV/0!</v>
      </c>
      <c r="X552" s="135" t="e">
        <f>V552-W552</f>
        <v>#DIV/0!</v>
      </c>
      <c r="Y552" s="134"/>
      <c r="Z552" s="135">
        <v>32.539099999999998</v>
      </c>
      <c r="AA552" s="136">
        <f t="shared" si="95"/>
        <v>2.7385999999999981</v>
      </c>
      <c r="AB552" s="131">
        <v>29.8005</v>
      </c>
      <c r="AC552" s="131">
        <f t="shared" si="96"/>
        <v>2.660499999999999</v>
      </c>
      <c r="AD552" s="131">
        <v>30.82</v>
      </c>
      <c r="AE552" s="131">
        <f t="shared" si="92"/>
        <v>3.8327000000000027</v>
      </c>
      <c r="AF552" s="131">
        <v>34.652700000000003</v>
      </c>
      <c r="AG552" s="130">
        <f>'[6]Monthly Palm Oil'!$D179</f>
        <v>2182.5238095238096</v>
      </c>
      <c r="AH552" s="131">
        <f>'[6]Monthly Palm Oil'!$X179</f>
        <v>30.290146459493592</v>
      </c>
      <c r="AI552" s="131">
        <f t="shared" si="85"/>
        <v>0.53255354050640946</v>
      </c>
    </row>
    <row r="553" spans="1:35">
      <c r="A553" s="99">
        <v>42309</v>
      </c>
      <c r="B553" s="119" t="e">
        <f>'[4]Monthly Prices'!$CF193</f>
        <v>#DIV/0!</v>
      </c>
      <c r="C553" s="119">
        <v>290.61</v>
      </c>
      <c r="D553" s="119">
        <v>27.884</v>
      </c>
      <c r="E553" s="122" t="e">
        <f t="shared" si="89"/>
        <v>#DIV/0!</v>
      </c>
      <c r="F553" s="128" t="e">
        <f t="shared" si="86"/>
        <v>#DIV/0!</v>
      </c>
      <c r="G553" s="127" t="e">
        <f t="shared" si="88"/>
        <v>#DIV/0!</v>
      </c>
      <c r="J553" s="119">
        <v>8.8308</v>
      </c>
      <c r="K553" s="119">
        <v>308.60000000000002</v>
      </c>
      <c r="L553" s="119">
        <v>26.42</v>
      </c>
      <c r="M553" s="119">
        <f t="shared" si="83"/>
        <v>0.86460000000000115</v>
      </c>
      <c r="N553" s="128">
        <f t="shared" si="84"/>
        <v>0.29975039709552981</v>
      </c>
      <c r="O553" s="124" t="e">
        <f t="shared" si="87"/>
        <v>#DIV/0!</v>
      </c>
      <c r="P553" s="124">
        <f t="shared" si="87"/>
        <v>17.990000000000009</v>
      </c>
      <c r="Q553" s="124">
        <f t="shared" si="87"/>
        <v>-1.4639999999999986</v>
      </c>
      <c r="R553" s="124"/>
      <c r="S553" s="124"/>
      <c r="T553" s="124"/>
      <c r="U553" s="119">
        <v>8.68</v>
      </c>
      <c r="V553" s="129" t="e">
        <f t="shared" si="93"/>
        <v>#DIV/0!</v>
      </c>
      <c r="W553" s="134" t="e">
        <f>(SUM(V541,V529,V517,V505,V493)-MAX(V541,V529,V517,V505,V493)-MIN(V541,V529,V517,V505,V493))/3</f>
        <v>#DIV/0!</v>
      </c>
      <c r="X553" s="135" t="e">
        <f>V553-W553</f>
        <v>#DIV/0!</v>
      </c>
      <c r="Y553" s="134"/>
      <c r="Z553" s="135">
        <v>30.634</v>
      </c>
      <c r="AA553" s="136">
        <f t="shared" si="95"/>
        <v>1.5625</v>
      </c>
      <c r="AB553" s="131">
        <v>29.0715</v>
      </c>
      <c r="AC553" s="131">
        <f t="shared" si="96"/>
        <v>2.6514999999999986</v>
      </c>
      <c r="AD553" s="131">
        <v>29.559000000000001</v>
      </c>
      <c r="AE553" s="131">
        <f t="shared" si="92"/>
        <v>5.0749999999999993</v>
      </c>
      <c r="AF553" s="131">
        <v>34.634</v>
      </c>
      <c r="AG553" s="130">
        <f>'[6]Monthly Palm Oil'!$D180</f>
        <v>2238.3157894736842</v>
      </c>
      <c r="AH553" s="131">
        <f>'[6]Monthly Palm Oil'!$X180</f>
        <v>30.350241624613307</v>
      </c>
      <c r="AI553" s="131">
        <f t="shared" si="85"/>
        <v>-0.33764162461330827</v>
      </c>
    </row>
    <row r="554" spans="1:35">
      <c r="A554" s="99">
        <v>42339</v>
      </c>
      <c r="B554" s="119" t="e">
        <f>'[4]Monthly Prices'!$CF194</f>
        <v>#DIV/0!</v>
      </c>
      <c r="C554" s="119">
        <v>275.48180000000002</v>
      </c>
      <c r="D554" s="119">
        <v>30.822700000000001</v>
      </c>
      <c r="E554" s="122" t="e">
        <f t="shared" si="89"/>
        <v>#DIV/0!</v>
      </c>
      <c r="F554" s="128" t="e">
        <f t="shared" si="86"/>
        <v>#DIV/0!</v>
      </c>
      <c r="G554" s="127" t="e">
        <f t="shared" si="88"/>
        <v>#DIV/0!</v>
      </c>
      <c r="J554" s="119">
        <v>8.9018999999999995</v>
      </c>
      <c r="K554" s="119">
        <v>289.77999999999997</v>
      </c>
      <c r="L554" s="119">
        <v>29.72</v>
      </c>
      <c r="M554" s="119">
        <f t="shared" si="83"/>
        <v>0.74245999999999945</v>
      </c>
      <c r="N554" s="128">
        <f t="shared" si="84"/>
        <v>0.33897531821707194</v>
      </c>
      <c r="O554" s="124" t="e">
        <f t="shared" si="87"/>
        <v>#DIV/0!</v>
      </c>
      <c r="P554" s="124">
        <f t="shared" si="87"/>
        <v>14.298199999999952</v>
      </c>
      <c r="Q554" s="124">
        <f t="shared" si="87"/>
        <v>-1.1027000000000022</v>
      </c>
      <c r="R554" s="124">
        <f>AVERAGE(J552:J554)</f>
        <v>8.8873999999999995</v>
      </c>
      <c r="S554" s="124">
        <f>AVERAGE(K552:K554)</f>
        <v>308.78333333333336</v>
      </c>
      <c r="T554" s="124">
        <f>AVERAGE(L552:L554)</f>
        <v>27.76</v>
      </c>
      <c r="U554" s="119">
        <v>8.76</v>
      </c>
      <c r="V554" s="129" t="e">
        <f t="shared" si="93"/>
        <v>#DIV/0!</v>
      </c>
      <c r="W554" s="134" t="e">
        <f>(SUM(V542,V530,V518,V506,V494)-MAX(V542,V530,V518,V506,V494)-MIN(V542,V530,V518,V506,V494))/3</f>
        <v>#DIV/0!</v>
      </c>
      <c r="X554" s="135" t="e">
        <f>V554-W554</f>
        <v>#DIV/0!</v>
      </c>
      <c r="Y554" s="134"/>
      <c r="Z554" s="135">
        <v>33.195500000000003</v>
      </c>
      <c r="AA554" s="136">
        <f t="shared" si="95"/>
        <v>1.1819000000000059</v>
      </c>
      <c r="AB554" s="131">
        <v>32.013599999999997</v>
      </c>
      <c r="AC554" s="131">
        <f t="shared" si="96"/>
        <v>2.2935999999999979</v>
      </c>
      <c r="AD554" s="131">
        <v>29.368200000000002</v>
      </c>
      <c r="AE554" s="131">
        <f t="shared" si="92"/>
        <v>7.0317999999999969</v>
      </c>
      <c r="AF554" s="131">
        <v>36.4</v>
      </c>
      <c r="AG554" s="130">
        <f>'[6]Monthly Palm Oil'!$D181</f>
        <v>2181.4545454545455</v>
      </c>
      <c r="AH554" s="131">
        <f>'[6]Monthly Palm Oil'!$X181</f>
        <v>28.455509325088688</v>
      </c>
      <c r="AI554" s="131">
        <f t="shared" si="85"/>
        <v>2.7019906749113112</v>
      </c>
    </row>
    <row r="555" spans="1:35">
      <c r="A555" s="99">
        <v>42370</v>
      </c>
      <c r="B555" s="119" t="e">
        <f>'[4]Monthly Prices'!$CF195</f>
        <v>#DIV/0!</v>
      </c>
      <c r="C555" s="119">
        <v>270.3895</v>
      </c>
      <c r="D555" s="119">
        <v>30.012599999999999</v>
      </c>
      <c r="E555" s="122" t="e">
        <f t="shared" si="89"/>
        <v>#DIV/0!</v>
      </c>
      <c r="F555" s="128" t="e">
        <f t="shared" si="86"/>
        <v>#DIV/0!</v>
      </c>
      <c r="G555" s="127" t="e">
        <f t="shared" si="88"/>
        <v>#DIV/0!</v>
      </c>
      <c r="J555" s="119">
        <v>8.8101000000000003</v>
      </c>
      <c r="K555" s="119">
        <v>279.56</v>
      </c>
      <c r="L555" s="119">
        <v>28.89</v>
      </c>
      <c r="M555" s="119">
        <f t="shared" si="83"/>
        <v>0.51811999999999969</v>
      </c>
      <c r="N555" s="128">
        <f t="shared" si="84"/>
        <v>0.34067592745454112</v>
      </c>
      <c r="O555" s="124" t="e">
        <f t="shared" si="87"/>
        <v>#DIV/0!</v>
      </c>
      <c r="P555" s="124">
        <f t="shared" si="87"/>
        <v>9.1705000000000041</v>
      </c>
      <c r="Q555" s="124">
        <f t="shared" si="87"/>
        <v>-1.1225999999999985</v>
      </c>
      <c r="R555" s="124"/>
      <c r="S555" s="124"/>
      <c r="T555" s="124"/>
      <c r="U555" s="119">
        <v>8.7100000000000009</v>
      </c>
      <c r="V555" s="129" t="e">
        <f t="shared" si="93"/>
        <v>#DIV/0!</v>
      </c>
      <c r="W555" s="134" t="e">
        <f t="shared" ref="W555:W601" si="97">(SUM(V543,V531,V519,V507,V495)-MAX(V543,V531,V519,V507,V495)-MIN(V543,V531,V519,V507,V495))/3</f>
        <v>#DIV/0!</v>
      </c>
      <c r="X555" s="135" t="e">
        <f t="shared" ref="X555:X618" si="98">V555-W555</f>
        <v>#DIV/0!</v>
      </c>
      <c r="Y555" s="134"/>
      <c r="Z555" s="135">
        <v>32.938899999999997</v>
      </c>
      <c r="AA555" s="136">
        <f t="shared" si="95"/>
        <v>1.6446999999999967</v>
      </c>
      <c r="AB555" s="131">
        <v>31.2942</v>
      </c>
      <c r="AC555" s="131">
        <f t="shared" si="96"/>
        <v>2.4041999999999994</v>
      </c>
      <c r="AD555" s="131">
        <v>29.552600000000002</v>
      </c>
      <c r="AE555" s="131">
        <f t="shared" si="92"/>
        <v>4.5705999999999953</v>
      </c>
      <c r="AF555" s="131">
        <v>34.123199999999997</v>
      </c>
      <c r="AG555" s="130">
        <f>'[6]Monthly Palm Oil'!$D182</f>
        <v>2275.6999999999998</v>
      </c>
      <c r="AH555" s="131">
        <f>'[6]Monthly Palm Oil'!$X182</f>
        <v>28.802518400328797</v>
      </c>
      <c r="AI555" s="131">
        <f t="shared" si="85"/>
        <v>3.6738815996712013</v>
      </c>
    </row>
    <row r="556" spans="1:35">
      <c r="A556" s="99">
        <v>42401</v>
      </c>
      <c r="B556" s="119" t="e">
        <f>'[4]Monthly Prices'!$CF196</f>
        <v>#DIV/0!</v>
      </c>
      <c r="C556" s="119">
        <v>264.32499999999999</v>
      </c>
      <c r="D556" s="119">
        <v>31.157499999999999</v>
      </c>
      <c r="E556" s="122" t="e">
        <f t="shared" si="89"/>
        <v>#DIV/0!</v>
      </c>
      <c r="F556" s="128" t="e">
        <f t="shared" si="86"/>
        <v>#DIV/0!</v>
      </c>
      <c r="G556" s="127" t="e">
        <f t="shared" si="88"/>
        <v>#DIV/0!</v>
      </c>
      <c r="J556" s="119">
        <v>8.8223000000000003</v>
      </c>
      <c r="K556" s="119">
        <v>273.61</v>
      </c>
      <c r="L556" s="119">
        <v>29.79</v>
      </c>
      <c r="M556" s="119">
        <f t="shared" si="83"/>
        <v>0.47401999999999944</v>
      </c>
      <c r="N556" s="128">
        <f t="shared" si="84"/>
        <v>0.3524943203332071</v>
      </c>
      <c r="O556" s="124" t="e">
        <f t="shared" si="87"/>
        <v>#DIV/0!</v>
      </c>
      <c r="P556" s="124">
        <f t="shared" si="87"/>
        <v>9.285000000000025</v>
      </c>
      <c r="Q556" s="124">
        <f t="shared" si="87"/>
        <v>-1.3674999999999997</v>
      </c>
      <c r="R556" s="124"/>
      <c r="S556" s="124"/>
      <c r="T556" s="124"/>
      <c r="U556" s="119">
        <v>8.51</v>
      </c>
      <c r="V556" s="129" t="e">
        <f t="shared" si="93"/>
        <v>#DIV/0!</v>
      </c>
      <c r="W556" s="134" t="e">
        <f t="shared" si="97"/>
        <v>#DIV/0!</v>
      </c>
      <c r="X556" s="135" t="e">
        <f t="shared" si="98"/>
        <v>#DIV/0!</v>
      </c>
      <c r="Y556" s="134"/>
      <c r="Z556" s="135">
        <v>34.8825</v>
      </c>
      <c r="AA556" s="136">
        <f t="shared" si="95"/>
        <v>2.7250000000000014</v>
      </c>
      <c r="AB556" s="131">
        <v>32.157499999999999</v>
      </c>
      <c r="AC556" s="131">
        <f t="shared" si="96"/>
        <v>2.3674999999999997</v>
      </c>
      <c r="AD556" s="131">
        <v>32.807000000000002</v>
      </c>
      <c r="AE556" s="131">
        <f t="shared" si="92"/>
        <v>2.7004999999999981</v>
      </c>
      <c r="AF556" s="131">
        <v>35.5075</v>
      </c>
      <c r="AG556" s="130">
        <f>'[6]Monthly Palm Oil'!$D183</f>
        <v>2283.2666666666669</v>
      </c>
      <c r="AH556" s="131">
        <f>'[6]Monthly Palm Oil'!$X183</f>
        <v>28.850874791233664</v>
      </c>
      <c r="AI556" s="131">
        <f t="shared" si="85"/>
        <v>5.1020252087663351</v>
      </c>
    </row>
    <row r="557" spans="1:35">
      <c r="A557" s="99">
        <v>42430</v>
      </c>
      <c r="B557" s="119" t="e">
        <f>'[4]Monthly Prices'!$CF197</f>
        <v>#DIV/0!</v>
      </c>
      <c r="C557" s="119">
        <v>269.85910000000001</v>
      </c>
      <c r="D557" s="119">
        <v>32.476399999999998</v>
      </c>
      <c r="E557" s="122" t="e">
        <f t="shared" si="89"/>
        <v>#DIV/0!</v>
      </c>
      <c r="F557" s="128" t="e">
        <f t="shared" si="86"/>
        <v>#DIV/0!</v>
      </c>
      <c r="G557" s="127" t="e">
        <f t="shared" si="88"/>
        <v>#DIV/0!</v>
      </c>
      <c r="J557" s="119">
        <v>8.9623000000000008</v>
      </c>
      <c r="K557" s="119">
        <v>276.22000000000003</v>
      </c>
      <c r="L557" s="119">
        <v>30.86</v>
      </c>
      <c r="M557" s="119">
        <f t="shared" si="83"/>
        <v>0.50914000000000037</v>
      </c>
      <c r="N557" s="128">
        <f t="shared" si="84"/>
        <v>0.35840379076465662</v>
      </c>
      <c r="O557" s="124" t="e">
        <f t="shared" si="87"/>
        <v>#DIV/0!</v>
      </c>
      <c r="P557" s="124">
        <f t="shared" si="87"/>
        <v>6.3609000000000151</v>
      </c>
      <c r="Q557" s="124">
        <f t="shared" si="87"/>
        <v>-1.6163999999999987</v>
      </c>
      <c r="R557" s="124">
        <f>AVERAGE(J555:J557)</f>
        <v>8.8649000000000004</v>
      </c>
      <c r="S557" s="124">
        <f>AVERAGE(K555:K557)</f>
        <v>276.46333333333337</v>
      </c>
      <c r="T557" s="124">
        <f>AVERAGE(L555:L557)</f>
        <v>29.846666666666664</v>
      </c>
      <c r="U557" s="119">
        <v>8.56</v>
      </c>
      <c r="V557" s="129" t="e">
        <f t="shared" si="93"/>
        <v>#DIV/0!</v>
      </c>
      <c r="W557" s="134" t="e">
        <f t="shared" si="97"/>
        <v>#DIV/0!</v>
      </c>
      <c r="X557" s="135" t="e">
        <f t="shared" si="98"/>
        <v>#DIV/0!</v>
      </c>
      <c r="Y557" s="134"/>
      <c r="Z557" s="135">
        <v>35.476399999999998</v>
      </c>
      <c r="AA557" s="136">
        <f t="shared" si="95"/>
        <v>2</v>
      </c>
      <c r="AB557" s="131">
        <v>33.476399999999998</v>
      </c>
      <c r="AC557" s="131">
        <f t="shared" si="96"/>
        <v>2.6163999999999987</v>
      </c>
      <c r="AD557" s="131">
        <v>33.665900000000001</v>
      </c>
      <c r="AE557" s="131">
        <f t="shared" si="92"/>
        <v>3.0945999999999998</v>
      </c>
      <c r="AF557" s="131">
        <v>36.7605</v>
      </c>
      <c r="AG557" s="130">
        <f>'[6]Monthly Palm Oil'!$D184</f>
        <v>2232.9545454545455</v>
      </c>
      <c r="AH557" s="131">
        <f>'[6]Monthly Palm Oil'!$X184</f>
        <v>27.534849551483433</v>
      </c>
      <c r="AI557" s="131">
        <f t="shared" si="85"/>
        <v>4.6708504485165676</v>
      </c>
    </row>
    <row r="558" spans="1:35">
      <c r="A558" s="99">
        <v>42461</v>
      </c>
      <c r="B558" s="119" t="e">
        <f>'[4]Monthly Prices'!$CF198</f>
        <v>#DIV/0!</v>
      </c>
      <c r="C558" s="119">
        <v>297.28570000000002</v>
      </c>
      <c r="D558" s="119">
        <v>33.9529</v>
      </c>
      <c r="E558" s="122" t="e">
        <f t="shared" si="89"/>
        <v>#DIV/0!</v>
      </c>
      <c r="F558" s="128" t="e">
        <f t="shared" si="86"/>
        <v>#DIV/0!</v>
      </c>
      <c r="G558" s="127" t="e">
        <f t="shared" si="88"/>
        <v>#DIV/0!</v>
      </c>
      <c r="J558" s="119">
        <v>9.6096000000000004</v>
      </c>
      <c r="K558" s="119">
        <v>303.81</v>
      </c>
      <c r="L558" s="119">
        <v>32.450000000000003</v>
      </c>
      <c r="M558" s="119">
        <f t="shared" si="83"/>
        <v>0.64372000000000007</v>
      </c>
      <c r="N558" s="128">
        <f t="shared" si="84"/>
        <v>0.34813114191305838</v>
      </c>
      <c r="O558" s="124" t="e">
        <f t="shared" si="87"/>
        <v>#DIV/0!</v>
      </c>
      <c r="P558" s="124">
        <f t="shared" si="87"/>
        <v>6.5242999999999824</v>
      </c>
      <c r="Q558" s="124">
        <f t="shared" si="87"/>
        <v>-1.5028999999999968</v>
      </c>
      <c r="R558" s="124"/>
      <c r="S558" s="124"/>
      <c r="T558" s="124"/>
      <c r="U558" s="119">
        <v>9.0399999999999991</v>
      </c>
      <c r="V558" s="129" t="e">
        <f t="shared" si="93"/>
        <v>#DIV/0!</v>
      </c>
      <c r="W558" s="134" t="e">
        <f t="shared" si="97"/>
        <v>#DIV/0!</v>
      </c>
      <c r="X558" s="135" t="e">
        <f t="shared" si="98"/>
        <v>#DIV/0!</v>
      </c>
      <c r="Y558" s="134"/>
      <c r="Z558" s="135">
        <v>36.9529</v>
      </c>
      <c r="AA558" s="136">
        <f t="shared" si="95"/>
        <v>2.0118999999999971</v>
      </c>
      <c r="AB558" s="131">
        <v>34.941000000000003</v>
      </c>
      <c r="AC558" s="131">
        <f t="shared" si="96"/>
        <v>2.4909999999999997</v>
      </c>
      <c r="AD558" s="131">
        <v>37.2057</v>
      </c>
      <c r="AE558" s="131">
        <f t="shared" si="92"/>
        <v>0.99719999999999942</v>
      </c>
      <c r="AF558" s="131">
        <v>38.2029</v>
      </c>
      <c r="AG558" s="130">
        <f>'[6]Monthly Palm Oil'!$D185</f>
        <v>2147.1904761904761</v>
      </c>
      <c r="AH558" s="131">
        <f>'[6]Monthly Palm Oil'!$X185</f>
        <v>26.827558022822352</v>
      </c>
      <c r="AI558" s="131">
        <f t="shared" si="85"/>
        <v>5.0874419771776473</v>
      </c>
    </row>
    <row r="559" spans="1:35">
      <c r="A559" s="99">
        <v>42491</v>
      </c>
      <c r="B559" s="119" t="e">
        <f>'[4]Monthly Prices'!$CF199</f>
        <v>#DIV/0!</v>
      </c>
      <c r="C559" s="119">
        <v>369.94760000000002</v>
      </c>
      <c r="D559" s="119">
        <v>32.2057</v>
      </c>
      <c r="E559" s="122" t="e">
        <f t="shared" si="89"/>
        <v>#DIV/0!</v>
      </c>
      <c r="F559" s="128" t="e">
        <f t="shared" si="86"/>
        <v>#DIV/0!</v>
      </c>
      <c r="G559" s="127" t="e">
        <f t="shared" si="88"/>
        <v>#DIV/0!</v>
      </c>
      <c r="J559" s="119">
        <v>10.490399999999999</v>
      </c>
      <c r="K559" s="119">
        <v>376.35</v>
      </c>
      <c r="L559" s="119">
        <v>30.76</v>
      </c>
      <c r="M559" s="119">
        <f t="shared" si="83"/>
        <v>1.1729000000000003</v>
      </c>
      <c r="N559" s="128">
        <f t="shared" si="84"/>
        <v>0.29010657361124215</v>
      </c>
      <c r="O559" s="124" t="e">
        <f t="shared" si="87"/>
        <v>#DIV/0!</v>
      </c>
      <c r="P559" s="124">
        <f t="shared" si="87"/>
        <v>6.4024000000000001</v>
      </c>
      <c r="Q559" s="124">
        <f t="shared" si="87"/>
        <v>-1.4456999999999987</v>
      </c>
      <c r="R559" s="124"/>
      <c r="S559" s="124"/>
      <c r="T559" s="124"/>
      <c r="U559" s="119">
        <v>9.76</v>
      </c>
      <c r="V559" s="129" t="e">
        <f t="shared" si="93"/>
        <v>#DIV/0!</v>
      </c>
      <c r="W559" s="134" t="e">
        <f t="shared" si="97"/>
        <v>#DIV/0!</v>
      </c>
      <c r="X559" s="135" t="e">
        <f t="shared" si="98"/>
        <v>#DIV/0!</v>
      </c>
      <c r="Y559" s="134"/>
      <c r="Z559" s="135">
        <v>35.268999999999998</v>
      </c>
      <c r="AA559" s="136">
        <f t="shared" si="95"/>
        <v>2.1903999999999968</v>
      </c>
      <c r="AB559" s="131">
        <v>33.078600000000002</v>
      </c>
      <c r="AC559" s="131">
        <f t="shared" si="96"/>
        <v>2.3186</v>
      </c>
      <c r="AD559" s="131">
        <v>36.459000000000003</v>
      </c>
      <c r="AE559" s="131">
        <f t="shared" si="92"/>
        <v>-4.7100000000000364E-2</v>
      </c>
      <c r="AF559" s="131">
        <v>36.411900000000003</v>
      </c>
      <c r="AG559" s="130">
        <f>'[6]Monthly Palm Oil'!$D186</f>
        <v>2180</v>
      </c>
      <c r="AH559" s="131">
        <f>'[6]Monthly Palm Oil'!$X186</f>
        <v>27.453840355113343</v>
      </c>
      <c r="AI559" s="131">
        <f t="shared" si="85"/>
        <v>2.9476596448866559</v>
      </c>
    </row>
    <row r="560" spans="1:35">
      <c r="A560" s="99">
        <v>42522</v>
      </c>
      <c r="B560" s="119" t="e">
        <f>'[4]Monthly Prices'!$CF200</f>
        <v>#DIV/0!</v>
      </c>
      <c r="C560" s="119">
        <v>402.25909999999999</v>
      </c>
      <c r="D560" s="119">
        <v>31.914999999999999</v>
      </c>
      <c r="E560" s="122" t="e">
        <f t="shared" si="89"/>
        <v>#DIV/0!</v>
      </c>
      <c r="F560" s="128" t="e">
        <f t="shared" si="86"/>
        <v>#DIV/0!</v>
      </c>
      <c r="G560" s="127" t="e">
        <f t="shared" si="88"/>
        <v>#DIV/0!</v>
      </c>
      <c r="J560" s="119">
        <v>11.396699999999999</v>
      </c>
      <c r="K560" s="119">
        <v>408.57</v>
      </c>
      <c r="L560" s="119">
        <v>30.35</v>
      </c>
      <c r="M560" s="119">
        <f t="shared" si="83"/>
        <v>0.93034000000000106</v>
      </c>
      <c r="N560" s="128">
        <f t="shared" si="84"/>
        <v>0.27082738435179893</v>
      </c>
      <c r="O560" s="124" t="e">
        <f t="shared" si="87"/>
        <v>#DIV/0!</v>
      </c>
      <c r="P560" s="124">
        <f t="shared" si="87"/>
        <v>6.3109000000000037</v>
      </c>
      <c r="Q560" s="124">
        <f t="shared" si="87"/>
        <v>-1.5649999999999977</v>
      </c>
      <c r="R560" s="124">
        <f>AVERAGE(J558:J560)</f>
        <v>10.498900000000001</v>
      </c>
      <c r="S560" s="124">
        <f>AVERAGE(K558:K560)</f>
        <v>362.91</v>
      </c>
      <c r="T560" s="124">
        <f>AVERAGE(L558:L560)</f>
        <v>31.186666666666667</v>
      </c>
      <c r="U560" s="119">
        <v>10.199999999999999</v>
      </c>
      <c r="V560" s="129" t="e">
        <f t="shared" si="93"/>
        <v>#DIV/0!</v>
      </c>
      <c r="W560" s="134" t="e">
        <f t="shared" si="97"/>
        <v>#DIV/0!</v>
      </c>
      <c r="X560" s="135" t="e">
        <f t="shared" si="98"/>
        <v>#DIV/0!</v>
      </c>
      <c r="Y560" s="134"/>
      <c r="Z560" s="135">
        <v>36.0627</v>
      </c>
      <c r="AA560" s="136">
        <f t="shared" si="95"/>
        <v>3.0454000000000008</v>
      </c>
      <c r="AB560" s="131">
        <v>33.017299999999999</v>
      </c>
      <c r="AC560" s="131">
        <f t="shared" si="96"/>
        <v>2.6672999999999973</v>
      </c>
      <c r="AD560" s="131">
        <v>34.967300000000002</v>
      </c>
      <c r="AE560" s="131">
        <f t="shared" si="92"/>
        <v>1.9249999999999972</v>
      </c>
      <c r="AF560" s="131">
        <v>36.892299999999999</v>
      </c>
      <c r="AG560" s="130">
        <f>'[6]Monthly Palm Oil'!$D187</f>
        <v>2279.090909090909</v>
      </c>
      <c r="AH560" s="131">
        <f>'[6]Monthly Palm Oil'!$X187</f>
        <v>27.66133096586368</v>
      </c>
      <c r="AI560" s="131">
        <f t="shared" si="85"/>
        <v>4.6656690341363181</v>
      </c>
    </row>
    <row r="561" spans="1:35">
      <c r="A561" s="99">
        <v>42552</v>
      </c>
      <c r="B561" s="119" t="e">
        <f>'[4]Monthly Prices'!$CF201</f>
        <v>#DIV/0!</v>
      </c>
      <c r="C561" s="119">
        <v>364.91</v>
      </c>
      <c r="D561" s="119">
        <v>30.401499999999999</v>
      </c>
      <c r="E561" s="122" t="e">
        <f t="shared" si="89"/>
        <v>#DIV/0!</v>
      </c>
      <c r="F561" s="128" t="e">
        <f t="shared" si="86"/>
        <v>#DIV/0!</v>
      </c>
      <c r="G561" s="127" t="e">
        <f t="shared" si="88"/>
        <v>#DIV/0!</v>
      </c>
      <c r="J561" s="119">
        <v>10.5861</v>
      </c>
      <c r="K561" s="119">
        <v>371.49</v>
      </c>
      <c r="L561" s="119">
        <v>28.75</v>
      </c>
      <c r="M561" s="119">
        <f t="shared" si="83"/>
        <v>0.74917999999999907</v>
      </c>
      <c r="N561" s="128">
        <f t="shared" si="84"/>
        <v>0.27899619594751957</v>
      </c>
      <c r="O561" s="124" t="e">
        <f t="shared" si="87"/>
        <v>#DIV/0!</v>
      </c>
      <c r="P561" s="124">
        <f t="shared" si="87"/>
        <v>6.5799999999999841</v>
      </c>
      <c r="Q561" s="124">
        <f t="shared" si="87"/>
        <v>-1.6514999999999986</v>
      </c>
      <c r="U561" s="119">
        <v>10.199999999999999</v>
      </c>
      <c r="V561" s="129" t="e">
        <f t="shared" si="93"/>
        <v>#DIV/0!</v>
      </c>
      <c r="W561" s="134" t="e">
        <f t="shared" si="97"/>
        <v>#DIV/0!</v>
      </c>
      <c r="X561" s="135" t="e">
        <f t="shared" si="98"/>
        <v>#DIV/0!</v>
      </c>
      <c r="Y561" s="134"/>
      <c r="Z561" s="135">
        <v>34.643999999999998</v>
      </c>
      <c r="AA561" s="136">
        <f t="shared" si="95"/>
        <v>3.1439999999999984</v>
      </c>
      <c r="AB561" s="131">
        <v>31.5</v>
      </c>
      <c r="AC561" s="131">
        <f t="shared" si="96"/>
        <v>2.75</v>
      </c>
      <c r="AD561" s="131">
        <v>33.262999999999998</v>
      </c>
      <c r="AE561" s="131">
        <f t="shared" si="92"/>
        <v>2.474499999999999</v>
      </c>
      <c r="AF561" s="131">
        <v>35.737499999999997</v>
      </c>
      <c r="AG561" s="130">
        <f>'[6]Monthly Palm Oil'!$D188</f>
        <v>2185.5238095238096</v>
      </c>
      <c r="AH561" s="131">
        <f>'[6]Monthly Palm Oil'!$X188</f>
        <v>26.078639550389415</v>
      </c>
      <c r="AI561" s="131">
        <f t="shared" si="85"/>
        <v>6.7342604496105842</v>
      </c>
    </row>
    <row r="562" spans="1:35">
      <c r="A562" s="99">
        <v>42583</v>
      </c>
      <c r="B562" s="119" t="e">
        <f>'[4]Monthly Prices'!$CF202</f>
        <v>#DIV/0!</v>
      </c>
      <c r="C562" s="119">
        <v>330.13040000000001</v>
      </c>
      <c r="D562" s="119">
        <v>32.326999999999998</v>
      </c>
      <c r="E562" s="122" t="e">
        <f t="shared" si="89"/>
        <v>#DIV/0!</v>
      </c>
      <c r="F562" s="128" t="e">
        <f t="shared" si="86"/>
        <v>#DIV/0!</v>
      </c>
      <c r="G562" s="127" t="e">
        <f t="shared" si="88"/>
        <v>#DIV/0!</v>
      </c>
      <c r="J562" s="119">
        <v>10.236700000000001</v>
      </c>
      <c r="K562" s="119">
        <v>340.8</v>
      </c>
      <c r="L562" s="119">
        <v>31.21</v>
      </c>
      <c r="M562" s="119">
        <f t="shared" si="83"/>
        <v>0.69399999999999906</v>
      </c>
      <c r="N562" s="128">
        <f t="shared" si="84"/>
        <v>0.31407869578343567</v>
      </c>
      <c r="O562" s="124" t="e">
        <f t="shared" si="87"/>
        <v>#DIV/0!</v>
      </c>
      <c r="P562" s="124">
        <f t="shared" si="87"/>
        <v>10.669600000000003</v>
      </c>
      <c r="Q562" s="124">
        <f t="shared" si="87"/>
        <v>-1.1169999999999973</v>
      </c>
      <c r="U562" s="119">
        <v>9.93</v>
      </c>
      <c r="V562" s="129" t="e">
        <f t="shared" si="93"/>
        <v>#DIV/0!</v>
      </c>
      <c r="W562" s="134" t="e">
        <f t="shared" si="97"/>
        <v>#DIV/0!</v>
      </c>
      <c r="X562" s="135" t="e">
        <f t="shared" si="98"/>
        <v>#DIV/0!</v>
      </c>
      <c r="Y562" s="134"/>
      <c r="Z562" s="135">
        <v>38.0991</v>
      </c>
      <c r="AA562" s="136">
        <f t="shared" si="95"/>
        <v>4.0433999999999983</v>
      </c>
      <c r="AB562" s="131">
        <v>34.055700000000002</v>
      </c>
      <c r="AC562" s="131">
        <f t="shared" si="96"/>
        <v>2.8457000000000008</v>
      </c>
      <c r="AD562" s="131">
        <v>36.800400000000003</v>
      </c>
      <c r="AE562" s="131">
        <f t="shared" si="92"/>
        <v>1.9508999999999972</v>
      </c>
      <c r="AF562" s="131">
        <v>38.751300000000001</v>
      </c>
      <c r="AG562" s="130">
        <f>'[6]Monthly Palm Oil'!$D189</f>
        <v>2003.4</v>
      </c>
      <c r="AH562" s="131">
        <f>'[6]Monthly Palm Oil'!$X189</f>
        <v>22.437240118353987</v>
      </c>
      <c r="AI562" s="131">
        <f t="shared" si="85"/>
        <v>12.007559881646014</v>
      </c>
    </row>
    <row r="563" spans="1:35">
      <c r="A563" s="99">
        <v>42614</v>
      </c>
      <c r="B563" s="119" t="e">
        <f>'[4]Monthly Prices'!$CF203</f>
        <v>#DIV/0!</v>
      </c>
      <c r="C563" s="119">
        <v>308.27140000000003</v>
      </c>
      <c r="D563" s="119">
        <v>32.812899999999999</v>
      </c>
      <c r="E563" s="122" t="e">
        <f>(C563/2000*44)+(D563/100*11)-B563</f>
        <v>#DIV/0!</v>
      </c>
      <c r="F563" s="128" t="e">
        <f t="shared" si="86"/>
        <v>#DIV/0!</v>
      </c>
      <c r="G563" s="127" t="e">
        <f t="shared" si="88"/>
        <v>#DIV/0!</v>
      </c>
      <c r="J563" s="119">
        <v>9.7814999999999994</v>
      </c>
      <c r="K563" s="119">
        <v>337.95</v>
      </c>
      <c r="L563" s="119">
        <v>31.99</v>
      </c>
      <c r="M563" s="119">
        <f t="shared" si="83"/>
        <v>1.1722999999999981</v>
      </c>
      <c r="N563" s="128">
        <f t="shared" si="84"/>
        <v>0.32124924683671424</v>
      </c>
      <c r="O563" s="124" t="e">
        <f t="shared" si="87"/>
        <v>#DIV/0!</v>
      </c>
      <c r="P563" s="124">
        <f t="shared" si="87"/>
        <v>29.67859999999996</v>
      </c>
      <c r="Q563" s="124">
        <f t="shared" si="87"/>
        <v>-0.82290000000000063</v>
      </c>
      <c r="R563" s="124">
        <f>AVERAGE(J561:J563)</f>
        <v>10.201433333333334</v>
      </c>
      <c r="S563" s="124">
        <f>AVERAGE(K561:K563)</f>
        <v>350.08</v>
      </c>
      <c r="T563" s="124">
        <f>AVERAGE(L561:L563)</f>
        <v>30.650000000000002</v>
      </c>
      <c r="U563" s="119">
        <v>9.41</v>
      </c>
      <c r="V563" s="129" t="e">
        <f t="shared" si="93"/>
        <v>#DIV/0!</v>
      </c>
      <c r="W563" s="134" t="e">
        <f t="shared" si="97"/>
        <v>#DIV/0!</v>
      </c>
      <c r="X563" s="135" t="e">
        <f t="shared" si="98"/>
        <v>#DIV/0!</v>
      </c>
      <c r="Y563" s="134"/>
      <c r="Z563" s="135">
        <v>39.0486</v>
      </c>
      <c r="AA563" s="136">
        <f t="shared" si="95"/>
        <v>3.5833999999999975</v>
      </c>
      <c r="AB563" s="131">
        <v>35.465200000000003</v>
      </c>
      <c r="AC563" s="131">
        <f t="shared" si="96"/>
        <v>3.4752000000000045</v>
      </c>
      <c r="AD563" s="131">
        <v>38.454300000000003</v>
      </c>
      <c r="AE563" s="131">
        <f t="shared" si="92"/>
        <v>0.93949999999999534</v>
      </c>
      <c r="AF563" s="131">
        <v>39.393799999999999</v>
      </c>
      <c r="AG563" s="130">
        <f>'[6]Monthly Palm Oil'!$D190</f>
        <v>2171.8947368421054</v>
      </c>
      <c r="AH563" s="131">
        <f>'[6]Monthly Palm Oil'!$X190</f>
        <v>22.865735256734585</v>
      </c>
      <c r="AI563" s="131">
        <f t="shared" si="85"/>
        <v>12.170464743265416</v>
      </c>
    </row>
    <row r="564" spans="1:35">
      <c r="A564" s="99">
        <v>42644</v>
      </c>
      <c r="B564" s="119" t="e">
        <f>'[4]Monthly Prices'!$CF204</f>
        <v>#DIV/0!</v>
      </c>
      <c r="C564" s="119">
        <v>306.73329999999999</v>
      </c>
      <c r="D564" s="119">
        <v>34.444800000000001</v>
      </c>
      <c r="E564" s="122" t="e">
        <f t="shared" si="89"/>
        <v>#DIV/0!</v>
      </c>
      <c r="F564" s="128" t="e">
        <f t="shared" si="86"/>
        <v>#DIV/0!</v>
      </c>
      <c r="G564" s="127" t="e">
        <f t="shared" si="88"/>
        <v>#DIV/0!</v>
      </c>
      <c r="J564" s="119">
        <v>9.5573999999999995</v>
      </c>
      <c r="K564" s="119">
        <v>323.27</v>
      </c>
      <c r="L564" s="119">
        <v>33.86</v>
      </c>
      <c r="M564" s="119">
        <f t="shared" si="83"/>
        <v>1.2791399999999999</v>
      </c>
      <c r="N564" s="128">
        <f t="shared" si="84"/>
        <v>0.34370749335119882</v>
      </c>
      <c r="O564" s="124" t="e">
        <f t="shared" si="87"/>
        <v>#DIV/0!</v>
      </c>
      <c r="P564" s="124">
        <f t="shared" si="87"/>
        <v>16.536699999999996</v>
      </c>
      <c r="Q564" s="124">
        <f t="shared" si="87"/>
        <v>-0.58480000000000132</v>
      </c>
      <c r="U564" s="119">
        <v>9.3000000000000007</v>
      </c>
      <c r="V564" s="129" t="e">
        <f t="shared" si="93"/>
        <v>#DIV/0!</v>
      </c>
      <c r="W564" s="134" t="e">
        <f t="shared" si="97"/>
        <v>#DIV/0!</v>
      </c>
      <c r="X564" s="135" t="e">
        <f t="shared" si="98"/>
        <v>#DIV/0!</v>
      </c>
      <c r="Y564" s="134"/>
      <c r="Z564" s="135">
        <v>40.598599999999998</v>
      </c>
      <c r="AA564" s="136">
        <f t="shared" si="95"/>
        <v>4.4642999999999944</v>
      </c>
      <c r="AB564" s="131">
        <v>36.134300000000003</v>
      </c>
      <c r="AC564" s="131">
        <f t="shared" si="96"/>
        <v>2.2743000000000038</v>
      </c>
      <c r="AD564" s="131">
        <v>34.0929</v>
      </c>
      <c r="AE564" s="131">
        <f t="shared" si="92"/>
        <v>6.8033000000000001</v>
      </c>
      <c r="AF564" s="131">
        <v>40.8962</v>
      </c>
      <c r="AG564" s="130">
        <f>'[6]Monthly Palm Oil'!$D191</f>
        <v>2328.4285714285716</v>
      </c>
      <c r="AH564" s="131">
        <f>'[6]Monthly Palm Oil'!$X191</f>
        <v>24.829771038773607</v>
      </c>
      <c r="AI564" s="131">
        <f t="shared" si="85"/>
        <v>11.56592896122639</v>
      </c>
    </row>
    <row r="565" spans="1:35">
      <c r="A565" s="99">
        <v>42675</v>
      </c>
      <c r="B565" s="119" t="e">
        <f>'[4]Monthly Prices'!$CF205</f>
        <v>#DIV/0!</v>
      </c>
      <c r="C565" s="119">
        <v>313.61430000000001</v>
      </c>
      <c r="D565" s="119">
        <v>35.036200000000001</v>
      </c>
      <c r="E565" s="122" t="e">
        <f t="shared" si="89"/>
        <v>#DIV/0!</v>
      </c>
      <c r="F565" s="128" t="e">
        <f t="shared" si="86"/>
        <v>#DIV/0!</v>
      </c>
      <c r="G565" s="127" t="e">
        <f t="shared" si="88"/>
        <v>#DIV/0!</v>
      </c>
      <c r="J565" s="119">
        <v>9.9392999999999994</v>
      </c>
      <c r="K565" s="119">
        <v>322.41000000000003</v>
      </c>
      <c r="L565" s="119">
        <v>34.520000000000003</v>
      </c>
      <c r="M565" s="119">
        <f t="shared" ref="M565:M624" si="99">(K565/2000*44)+(L565/100*11)-J565</f>
        <v>0.95092000000000176</v>
      </c>
      <c r="N565" s="128">
        <f t="shared" ref="N565:N624" si="100">L565/100*11/(J565+M565)</f>
        <v>0.34867982465000702</v>
      </c>
      <c r="O565" s="124" t="e">
        <f t="shared" si="87"/>
        <v>#DIV/0!</v>
      </c>
      <c r="P565" s="124">
        <f t="shared" si="87"/>
        <v>8.7957000000000107</v>
      </c>
      <c r="Q565" s="124">
        <f t="shared" si="87"/>
        <v>-0.51619999999999777</v>
      </c>
      <c r="U565" s="119">
        <v>9.4700000000000006</v>
      </c>
      <c r="V565" s="129" t="e">
        <f t="shared" si="93"/>
        <v>#DIV/0!</v>
      </c>
      <c r="W565" s="134" t="e">
        <f t="shared" si="97"/>
        <v>#DIV/0!</v>
      </c>
      <c r="X565" s="135" t="e">
        <f t="shared" si="98"/>
        <v>#DIV/0!</v>
      </c>
      <c r="Y565" s="134"/>
      <c r="Z565" s="135">
        <v>41.048099999999998</v>
      </c>
      <c r="AA565" s="136">
        <f t="shared" si="95"/>
        <v>4.2618999999999971</v>
      </c>
      <c r="AB565" s="131">
        <v>36.786200000000001</v>
      </c>
      <c r="AC565" s="131">
        <f t="shared" si="96"/>
        <v>2.2661999999999978</v>
      </c>
      <c r="AD565" s="131">
        <v>36.999000000000002</v>
      </c>
      <c r="AE565" s="131">
        <f t="shared" si="92"/>
        <v>4.5371999999999986</v>
      </c>
      <c r="AF565" s="131">
        <v>41.536200000000001</v>
      </c>
      <c r="AG565" s="130">
        <f>'[6]Monthly Palm Oil'!$D192</f>
        <v>2319.2105263157896</v>
      </c>
      <c r="AH565" s="131">
        <f>'[6]Monthly Palm Oil'!$X192</f>
        <v>24.394625289715524</v>
      </c>
      <c r="AI565" s="131">
        <f t="shared" si="85"/>
        <v>10.716874710284475</v>
      </c>
    </row>
    <row r="566" spans="1:35">
      <c r="A566" s="99">
        <v>42705</v>
      </c>
      <c r="B566" s="119" t="e">
        <f>'[4]Monthly Prices'!$CF206</f>
        <v>#DIV/0!</v>
      </c>
      <c r="C566" s="119">
        <v>314.4905</v>
      </c>
      <c r="D566" s="119">
        <v>36.395699999999998</v>
      </c>
      <c r="E566" s="122" t="e">
        <f t="shared" si="89"/>
        <v>#DIV/0!</v>
      </c>
      <c r="F566" s="128" t="e">
        <f t="shared" si="86"/>
        <v>#DIV/0!</v>
      </c>
      <c r="G566" s="127" t="e">
        <f t="shared" si="88"/>
        <v>#DIV/0!</v>
      </c>
      <c r="J566" s="119">
        <v>10.157500000000001</v>
      </c>
      <c r="K566" s="119">
        <v>321.02</v>
      </c>
      <c r="L566" s="119">
        <v>35.57</v>
      </c>
      <c r="M566" s="119">
        <f t="shared" si="99"/>
        <v>0.81763999999999903</v>
      </c>
      <c r="N566" s="128">
        <f t="shared" si="100"/>
        <v>0.35650570288852806</v>
      </c>
      <c r="O566" s="124" t="e">
        <f t="shared" si="87"/>
        <v>#DIV/0!</v>
      </c>
      <c r="P566" s="124">
        <f t="shared" si="87"/>
        <v>6.5294999999999845</v>
      </c>
      <c r="Q566" s="124">
        <f t="shared" si="87"/>
        <v>-0.82569999999999766</v>
      </c>
      <c r="R566" s="124">
        <f>AVERAGE(J564:J566)</f>
        <v>9.8847333333333314</v>
      </c>
      <c r="S566" s="124">
        <f>AVERAGE(K564:K566)</f>
        <v>322.23333333333335</v>
      </c>
      <c r="T566" s="124">
        <f>AVERAGE(L564:L566)</f>
        <v>34.65</v>
      </c>
      <c r="U566" s="119">
        <v>9.64</v>
      </c>
      <c r="V566" s="129" t="e">
        <f t="shared" si="93"/>
        <v>#DIV/0!</v>
      </c>
      <c r="W566" s="134" t="e">
        <f t="shared" si="97"/>
        <v>#DIV/0!</v>
      </c>
      <c r="X566" s="135" t="e">
        <f t="shared" si="98"/>
        <v>#DIV/0!</v>
      </c>
      <c r="Y566" s="134"/>
      <c r="Z566" s="135">
        <v>41.288600000000002</v>
      </c>
      <c r="AA566" s="136">
        <f t="shared" si="95"/>
        <v>3.4405000000000001</v>
      </c>
      <c r="AB566" s="131">
        <v>37.848100000000002</v>
      </c>
      <c r="AC566" s="131">
        <f t="shared" si="96"/>
        <v>2.278100000000002</v>
      </c>
      <c r="AD566" s="131">
        <v>39.098100000000002</v>
      </c>
      <c r="AE566" s="131">
        <f t="shared" si="92"/>
        <v>3.4405000000000001</v>
      </c>
      <c r="AF566" s="131">
        <v>42.538600000000002</v>
      </c>
      <c r="AG566" s="130">
        <f>'[6]Monthly Palm Oil'!$D193</f>
        <v>2412.2857142857142</v>
      </c>
      <c r="AH566" s="131">
        <f>'[6]Monthly Palm Oil'!$X193</f>
        <v>25.594230509784612</v>
      </c>
      <c r="AI566" s="131">
        <f t="shared" si="85"/>
        <v>8.1041694902153871</v>
      </c>
    </row>
    <row r="567" spans="1:35">
      <c r="A567" s="99">
        <v>42736</v>
      </c>
      <c r="B567" s="119" t="e">
        <f>'[4]Monthly Prices'!$CF207</f>
        <v>#DIV/0!</v>
      </c>
      <c r="C567" s="119">
        <v>332.49</v>
      </c>
      <c r="D567" s="119">
        <v>35.111499999999999</v>
      </c>
      <c r="E567" s="122" t="e">
        <f t="shared" si="89"/>
        <v>#DIV/0!</v>
      </c>
      <c r="F567" s="128" t="e">
        <f t="shared" si="86"/>
        <v>#DIV/0!</v>
      </c>
      <c r="G567" s="127" t="e">
        <f t="shared" si="88"/>
        <v>#DIV/0!</v>
      </c>
      <c r="J567" s="119">
        <v>10.2578</v>
      </c>
      <c r="K567" s="119">
        <v>332.34</v>
      </c>
      <c r="L567" s="119">
        <v>33.58</v>
      </c>
      <c r="M567" s="119">
        <f t="shared" si="99"/>
        <v>0.74747999999999948</v>
      </c>
      <c r="N567" s="128">
        <f t="shared" si="100"/>
        <v>0.33563889333120106</v>
      </c>
      <c r="O567" s="124" t="e">
        <f t="shared" si="87"/>
        <v>#DIV/0!</v>
      </c>
      <c r="P567" s="124">
        <f t="shared" si="87"/>
        <v>-0.15000000000003411</v>
      </c>
      <c r="Q567" s="124">
        <f t="shared" si="87"/>
        <v>-1.5315000000000012</v>
      </c>
      <c r="U567" s="119">
        <v>9.7100000000000009</v>
      </c>
      <c r="V567" s="129" t="e">
        <f t="shared" si="93"/>
        <v>#DIV/0!</v>
      </c>
      <c r="W567" s="134" t="e">
        <f t="shared" si="97"/>
        <v>#DIV/0!</v>
      </c>
      <c r="X567" s="135" t="e">
        <f t="shared" si="98"/>
        <v>#DIV/0!</v>
      </c>
      <c r="Y567" s="134"/>
      <c r="Z567" s="135">
        <v>39.861499999999999</v>
      </c>
      <c r="AA567" s="136">
        <f t="shared" si="95"/>
        <v>3.75</v>
      </c>
      <c r="AB567" s="131">
        <v>36.111499999999999</v>
      </c>
      <c r="AC567" s="131">
        <f t="shared" si="96"/>
        <v>2.5315000000000012</v>
      </c>
      <c r="AD567" s="131">
        <v>39.869500000000002</v>
      </c>
      <c r="AE567" s="131">
        <f t="shared" si="92"/>
        <v>1.5045000000000002</v>
      </c>
      <c r="AF567" s="131">
        <v>41.374000000000002</v>
      </c>
      <c r="AG567" s="130">
        <f>'[6]Monthly Palm Oil'!$D194</f>
        <v>2440.0555555555557</v>
      </c>
      <c r="AH567" s="131">
        <f>'[6]Monthly Palm Oil'!$X194</f>
        <v>25.515883070354185</v>
      </c>
      <c r="AI567" s="131">
        <f t="shared" si="85"/>
        <v>7.4141169296458145</v>
      </c>
    </row>
    <row r="568" spans="1:35">
      <c r="A568" s="99">
        <v>42767</v>
      </c>
      <c r="B568" s="119" t="e">
        <f>'[4]Monthly Prices'!$CF208</f>
        <v>#DIV/0!</v>
      </c>
      <c r="C568" s="119">
        <v>336.90530000000001</v>
      </c>
      <c r="D568" s="119">
        <v>33.698399999999999</v>
      </c>
      <c r="E568" s="122" t="e">
        <f t="shared" si="89"/>
        <v>#DIV/0!</v>
      </c>
      <c r="F568" s="128" t="e">
        <f t="shared" si="86"/>
        <v>#DIV/0!</v>
      </c>
      <c r="G568" s="127" t="e">
        <f t="shared" si="88"/>
        <v>#DIV/0!</v>
      </c>
      <c r="J568" s="119">
        <v>10.225099999999999</v>
      </c>
      <c r="K568" s="119">
        <v>334.42</v>
      </c>
      <c r="L568" s="119">
        <v>32</v>
      </c>
      <c r="M568" s="119">
        <f t="shared" si="99"/>
        <v>0.65214000000000105</v>
      </c>
      <c r="N568" s="128">
        <f t="shared" si="100"/>
        <v>0.32361150438898101</v>
      </c>
      <c r="O568" s="124" t="e">
        <f t="shared" si="87"/>
        <v>#DIV/0!</v>
      </c>
      <c r="P568" s="124">
        <f t="shared" si="87"/>
        <v>-2.4852999999999952</v>
      </c>
      <c r="Q568" s="124">
        <f t="shared" si="87"/>
        <v>-1.6983999999999995</v>
      </c>
      <c r="U568" s="119">
        <v>9.86</v>
      </c>
      <c r="V568" s="129" t="e">
        <f t="shared" si="93"/>
        <v>#DIV/0!</v>
      </c>
      <c r="W568" s="134" t="e">
        <f t="shared" si="97"/>
        <v>#DIV/0!</v>
      </c>
      <c r="X568" s="135" t="e">
        <f t="shared" si="98"/>
        <v>#DIV/0!</v>
      </c>
      <c r="Y568" s="134"/>
      <c r="Z568" s="135">
        <v>38.448399999999999</v>
      </c>
      <c r="AA568" s="136">
        <f t="shared" si="95"/>
        <v>3.6657999999999973</v>
      </c>
      <c r="AB568" s="131">
        <v>34.782600000000002</v>
      </c>
      <c r="AC568" s="131">
        <f t="shared" si="96"/>
        <v>2.7826000000000022</v>
      </c>
      <c r="AD568" s="131">
        <v>39.459499999999998</v>
      </c>
      <c r="AE568" s="131">
        <f t="shared" si="92"/>
        <v>-0.36899999999999977</v>
      </c>
      <c r="AF568" s="131">
        <v>39.090499999999999</v>
      </c>
      <c r="AG568" s="130">
        <f>'[6]Monthly Palm Oil'!$D195</f>
        <v>2565.705882352941</v>
      </c>
      <c r="AH568" s="131">
        <f>'[6]Monthly Palm Oil'!$X195</f>
        <v>27.828883132088936</v>
      </c>
      <c r="AI568" s="131">
        <f t="shared" ref="AI568:AI631" si="101">D570-AH568</f>
        <v>3.7095168679110628</v>
      </c>
    </row>
    <row r="569" spans="1:35">
      <c r="A569" s="99">
        <v>42795</v>
      </c>
      <c r="B569" s="119" t="e">
        <f>'[4]Monthly Prices'!$CF209</f>
        <v>#DIV/0!</v>
      </c>
      <c r="C569" s="119">
        <v>325.60000000000002</v>
      </c>
      <c r="D569" s="119">
        <v>32.93</v>
      </c>
      <c r="E569" s="122" t="e">
        <f t="shared" si="89"/>
        <v>#DIV/0!</v>
      </c>
      <c r="F569" s="128" t="e">
        <f t="shared" si="86"/>
        <v>#DIV/0!</v>
      </c>
      <c r="G569" s="127" t="e">
        <f t="shared" si="88"/>
        <v>#DIV/0!</v>
      </c>
      <c r="J569" s="119">
        <v>9.8597999999999999</v>
      </c>
      <c r="K569" s="119">
        <v>320.33999999999997</v>
      </c>
      <c r="L569" s="119">
        <v>30.86</v>
      </c>
      <c r="M569" s="119">
        <f t="shared" si="99"/>
        <v>0.58227999999999902</v>
      </c>
      <c r="N569" s="128">
        <f t="shared" si="100"/>
        <v>0.32508848811730995</v>
      </c>
      <c r="O569" s="124" t="e">
        <f t="shared" si="87"/>
        <v>#DIV/0!</v>
      </c>
      <c r="P569" s="124">
        <f t="shared" si="87"/>
        <v>-5.2600000000000477</v>
      </c>
      <c r="Q569" s="124">
        <f t="shared" si="87"/>
        <v>-2.0700000000000003</v>
      </c>
      <c r="R569" s="124">
        <f>AVERAGE(J567:J569)</f>
        <v>10.114233333333333</v>
      </c>
      <c r="S569" s="124">
        <f>AVERAGE(K567:K569)</f>
        <v>329.0333333333333</v>
      </c>
      <c r="T569" s="124">
        <f>AVERAGE(L567:L569)</f>
        <v>32.146666666666668</v>
      </c>
      <c r="U569" s="119">
        <v>9.69</v>
      </c>
      <c r="V569" s="129" t="e">
        <f t="shared" si="93"/>
        <v>#DIV/0!</v>
      </c>
      <c r="W569" s="134" t="e">
        <f t="shared" si="97"/>
        <v>#DIV/0!</v>
      </c>
      <c r="X569" s="135" t="e">
        <f t="shared" si="98"/>
        <v>#DIV/0!</v>
      </c>
      <c r="Y569" s="134"/>
      <c r="Z569" s="135">
        <v>37.666499999999999</v>
      </c>
      <c r="AA569" s="136">
        <f t="shared" si="95"/>
        <v>4.3042999999999978</v>
      </c>
      <c r="AB569" s="131">
        <v>33.362200000000001</v>
      </c>
      <c r="AC569" s="131">
        <f t="shared" si="96"/>
        <v>2.502200000000002</v>
      </c>
      <c r="AD569" s="131">
        <v>37.8583</v>
      </c>
      <c r="AE569" s="131">
        <f t="shared" si="92"/>
        <v>1.4699999999997715E-2</v>
      </c>
      <c r="AF569" s="131">
        <v>37.872999999999998</v>
      </c>
      <c r="AG569" s="130">
        <f>'[6]Monthly Palm Oil'!$D196</f>
        <v>2624.409090909091</v>
      </c>
      <c r="AH569" s="131">
        <f>'[6]Monthly Palm Oil'!$X196</f>
        <v>29.301773230634684</v>
      </c>
      <c r="AI569" s="131">
        <f t="shared" si="101"/>
        <v>3.1891267693653198</v>
      </c>
    </row>
    <row r="570" spans="1:35">
      <c r="A570" s="99">
        <v>42826</v>
      </c>
      <c r="B570" s="119" t="e">
        <f>'[4]Monthly Prices'!$CF210</f>
        <v>#DIV/0!</v>
      </c>
      <c r="C570" s="119">
        <v>310.83159999999998</v>
      </c>
      <c r="D570" s="119">
        <v>31.538399999999999</v>
      </c>
      <c r="E570" s="122" t="e">
        <f t="shared" si="89"/>
        <v>#DIV/0!</v>
      </c>
      <c r="F570" s="128" t="e">
        <f t="shared" si="86"/>
        <v>#DIV/0!</v>
      </c>
      <c r="G570" s="127" t="e">
        <f t="shared" si="88"/>
        <v>#DIV/0!</v>
      </c>
      <c r="J570" s="119">
        <v>9.3741000000000003</v>
      </c>
      <c r="K570" s="119">
        <v>305.67</v>
      </c>
      <c r="L570" s="119">
        <v>29.57</v>
      </c>
      <c r="M570" s="119">
        <f t="shared" si="99"/>
        <v>0.60333999999999932</v>
      </c>
      <c r="N570" s="128">
        <f t="shared" si="100"/>
        <v>0.32600546833656735</v>
      </c>
      <c r="O570" s="124" t="e">
        <f t="shared" si="87"/>
        <v>#DIV/0!</v>
      </c>
      <c r="P570" s="124">
        <f t="shared" si="87"/>
        <v>-5.1615999999999644</v>
      </c>
      <c r="Q570" s="124">
        <f t="shared" si="87"/>
        <v>-1.968399999999999</v>
      </c>
      <c r="U570" s="119">
        <v>9.33</v>
      </c>
      <c r="V570" s="129" t="e">
        <f t="shared" si="93"/>
        <v>#DIV/0!</v>
      </c>
      <c r="W570" s="134" t="e">
        <f t="shared" si="97"/>
        <v>#DIV/0!</v>
      </c>
      <c r="X570" s="135" t="e">
        <f t="shared" si="98"/>
        <v>#DIV/0!</v>
      </c>
      <c r="Y570" s="134"/>
      <c r="Z570" s="135">
        <v>36.788400000000003</v>
      </c>
      <c r="AA570" s="136">
        <f t="shared" si="95"/>
        <v>4.6709999999999994</v>
      </c>
      <c r="AB570" s="131">
        <v>32.117400000000004</v>
      </c>
      <c r="AC570" s="131">
        <f t="shared" si="96"/>
        <v>2.5474000000000032</v>
      </c>
      <c r="AD570" s="131">
        <v>36.67</v>
      </c>
      <c r="AE570" s="131">
        <f t="shared" si="92"/>
        <v>0.18419999999999703</v>
      </c>
      <c r="AF570" s="131">
        <v>36.854199999999999</v>
      </c>
      <c r="AG570" s="130">
        <f>'[6]Monthly Palm Oil'!$D197</f>
        <v>2681.0952380952381</v>
      </c>
      <c r="AH570" s="131">
        <f>'[6]Monthly Palm Oil'!$X197</f>
        <v>31.205837758018212</v>
      </c>
      <c r="AI570" s="131">
        <f t="shared" si="101"/>
        <v>0.76466224198178878</v>
      </c>
    </row>
    <row r="571" spans="1:35">
      <c r="A571" s="99">
        <v>42856</v>
      </c>
      <c r="B571" s="119" t="e">
        <f>'[4]Monthly Prices'!$CF211</f>
        <v>#DIV/0!</v>
      </c>
      <c r="C571" s="119">
        <v>311.26819999999998</v>
      </c>
      <c r="D571" s="119">
        <v>32.490900000000003</v>
      </c>
      <c r="E571" s="122" t="e">
        <f t="shared" si="89"/>
        <v>#DIV/0!</v>
      </c>
      <c r="F571" s="128" t="e">
        <f t="shared" si="86"/>
        <v>#DIV/0!</v>
      </c>
      <c r="G571" s="127" t="e">
        <f t="shared" si="88"/>
        <v>#DIV/0!</v>
      </c>
      <c r="J571" s="119">
        <v>9.4849999999999994</v>
      </c>
      <c r="K571" s="119">
        <v>307.63</v>
      </c>
      <c r="L571" s="119">
        <v>30.6</v>
      </c>
      <c r="M571" s="119">
        <f t="shared" si="99"/>
        <v>0.64886000000000088</v>
      </c>
      <c r="N571" s="128">
        <f t="shared" si="100"/>
        <v>0.33215378937542062</v>
      </c>
      <c r="O571" s="124" t="e">
        <f t="shared" si="87"/>
        <v>#DIV/0!</v>
      </c>
      <c r="P571" s="124">
        <f t="shared" si="87"/>
        <v>-3.6381999999999834</v>
      </c>
      <c r="Q571" s="124">
        <f t="shared" si="87"/>
        <v>-1.890900000000002</v>
      </c>
      <c r="U571" s="119">
        <v>9.2899999999999991</v>
      </c>
      <c r="V571" s="129" t="e">
        <f t="shared" si="93"/>
        <v>#DIV/0!</v>
      </c>
      <c r="W571" s="134" t="e">
        <f t="shared" si="97"/>
        <v>#DIV/0!</v>
      </c>
      <c r="X571" s="135" t="e">
        <f t="shared" si="98"/>
        <v>#DIV/0!</v>
      </c>
      <c r="Y571" s="134"/>
      <c r="Z571" s="135">
        <v>37.740900000000003</v>
      </c>
      <c r="AA571" s="136">
        <f t="shared" si="95"/>
        <v>4.5368000000000066</v>
      </c>
      <c r="AB571" s="131">
        <v>33.204099999999997</v>
      </c>
      <c r="AC571" s="131">
        <f t="shared" si="96"/>
        <v>2.6040999999999954</v>
      </c>
      <c r="AD571" s="131">
        <v>36.9559</v>
      </c>
      <c r="AE571" s="131">
        <f t="shared" si="92"/>
        <v>1.0350000000000037</v>
      </c>
      <c r="AF571" s="131">
        <v>37.990900000000003</v>
      </c>
      <c r="AG571" s="130">
        <f>'[6]Monthly Palm Oil'!$D198</f>
        <v>2587.75</v>
      </c>
      <c r="AH571" s="131">
        <f>'[6]Monthly Palm Oil'!$X198</f>
        <v>29.03025135290315</v>
      </c>
      <c r="AI571" s="131">
        <f t="shared" si="101"/>
        <v>4.518248647096847</v>
      </c>
    </row>
    <row r="572" spans="1:35">
      <c r="A572" s="99">
        <v>42887</v>
      </c>
      <c r="B572" s="119" t="e">
        <f>'[4]Monthly Prices'!$CF212</f>
        <v>#DIV/0!</v>
      </c>
      <c r="C572" s="119">
        <v>299.71820000000002</v>
      </c>
      <c r="D572" s="119">
        <v>31.970500000000001</v>
      </c>
      <c r="E572" s="122" t="e">
        <f t="shared" si="89"/>
        <v>#DIV/0!</v>
      </c>
      <c r="F572" s="128" t="e">
        <f t="shared" si="86"/>
        <v>#DIV/0!</v>
      </c>
      <c r="G572" s="127" t="e">
        <f t="shared" si="88"/>
        <v>#DIV/0!</v>
      </c>
      <c r="J572" s="119">
        <v>9.2249999999999996</v>
      </c>
      <c r="K572" s="119">
        <v>300.72000000000003</v>
      </c>
      <c r="L572" s="119">
        <v>30.74</v>
      </c>
      <c r="M572" s="119">
        <f t="shared" si="99"/>
        <v>0.77224000000000181</v>
      </c>
      <c r="N572" s="128">
        <f t="shared" si="100"/>
        <v>0.33823335240526381</v>
      </c>
      <c r="O572" s="124" t="e">
        <f t="shared" si="87"/>
        <v>#DIV/0!</v>
      </c>
      <c r="P572" s="124">
        <f t="shared" si="87"/>
        <v>1.0018000000000029</v>
      </c>
      <c r="Q572" s="124">
        <f t="shared" si="87"/>
        <v>-1.2305000000000028</v>
      </c>
      <c r="R572" s="124">
        <f>AVERAGE(J572:J587)</f>
        <v>9.423931249999999</v>
      </c>
      <c r="S572" s="124">
        <f>AVERAGE(K572:K587)</f>
        <v>335.98624999999998</v>
      </c>
      <c r="T572" s="124">
        <f>AVERAGE(L572:L587)</f>
        <v>30.657500000000002</v>
      </c>
      <c r="U572" s="119">
        <v>9.1</v>
      </c>
      <c r="V572" s="129" t="e">
        <f t="shared" si="93"/>
        <v>#DIV/0!</v>
      </c>
      <c r="W572" s="134" t="e">
        <f t="shared" si="97"/>
        <v>#DIV/0!</v>
      </c>
      <c r="X572" s="135" t="e">
        <f t="shared" si="98"/>
        <v>#DIV/0!</v>
      </c>
      <c r="Y572" s="134"/>
      <c r="Z572" s="135">
        <v>37.220500000000001</v>
      </c>
      <c r="AA572" s="136">
        <f t="shared" si="95"/>
        <v>3.9432000000000045</v>
      </c>
      <c r="AB572" s="131">
        <v>33.277299999999997</v>
      </c>
      <c r="AC572" s="131">
        <f t="shared" si="96"/>
        <v>2.5372999999999983</v>
      </c>
      <c r="AD572" s="131">
        <v>36.340499999999999</v>
      </c>
      <c r="AE572" s="131">
        <f t="shared" si="92"/>
        <v>1.7595000000000027</v>
      </c>
      <c r="AF572" s="131">
        <v>38.1</v>
      </c>
      <c r="AG572" s="130">
        <f>'[6]Monthly Palm Oil'!$D199</f>
        <v>2486.6190476190477</v>
      </c>
      <c r="AH572" s="131">
        <f>'[6]Monthly Palm Oil'!$X199</f>
        <v>27.645923218943135</v>
      </c>
      <c r="AI572" s="131">
        <f t="shared" si="101"/>
        <v>6.224076781056862</v>
      </c>
    </row>
    <row r="573" spans="1:35">
      <c r="A573" s="99">
        <v>42917</v>
      </c>
      <c r="B573" s="119" t="e">
        <f>'[4]Monthly Prices'!$CF213</f>
        <v>#DIV/0!</v>
      </c>
      <c r="C573" s="119">
        <v>324.86500000000001</v>
      </c>
      <c r="D573" s="119">
        <v>33.548499999999997</v>
      </c>
      <c r="E573" s="122" t="e">
        <f t="shared" si="89"/>
        <v>#DIV/0!</v>
      </c>
      <c r="F573" s="128" t="e">
        <f t="shared" si="86"/>
        <v>#DIV/0!</v>
      </c>
      <c r="G573" s="127" t="e">
        <f t="shared" si="88"/>
        <v>#DIV/0!</v>
      </c>
      <c r="J573" s="119">
        <v>9.9064999999999994</v>
      </c>
      <c r="K573" s="119">
        <v>326.04000000000002</v>
      </c>
      <c r="L573" s="119">
        <v>32.82</v>
      </c>
      <c r="M573" s="119">
        <f t="shared" si="99"/>
        <v>0.87658000000000058</v>
      </c>
      <c r="N573" s="128">
        <f t="shared" si="100"/>
        <v>0.33480230138327821</v>
      </c>
      <c r="O573" s="124" t="e">
        <f t="shared" si="87"/>
        <v>#DIV/0!</v>
      </c>
      <c r="P573" s="124">
        <f t="shared" si="87"/>
        <v>1.1750000000000114</v>
      </c>
      <c r="Q573" s="124">
        <f t="shared" si="87"/>
        <v>-0.72849999999999682</v>
      </c>
      <c r="U573" s="119">
        <v>9.42</v>
      </c>
      <c r="V573" s="129" t="e">
        <f t="shared" si="93"/>
        <v>#DIV/0!</v>
      </c>
      <c r="W573" s="134" t="e">
        <f t="shared" si="97"/>
        <v>#DIV/0!</v>
      </c>
      <c r="X573" s="135" t="e">
        <f t="shared" si="98"/>
        <v>#DIV/0!</v>
      </c>
      <c r="Y573" s="134"/>
      <c r="Z573" s="135">
        <v>39.085000000000001</v>
      </c>
      <c r="AA573" s="136">
        <f t="shared" si="95"/>
        <v>3.875</v>
      </c>
      <c r="AB573" s="131">
        <v>35.21</v>
      </c>
      <c r="AC573" s="131">
        <f t="shared" si="96"/>
        <v>2.3900000000000006</v>
      </c>
      <c r="AD573" s="131">
        <v>35.082999999999998</v>
      </c>
      <c r="AE573" s="131">
        <f t="shared" si="92"/>
        <v>4.1144999999999996</v>
      </c>
      <c r="AF573" s="131">
        <v>39.197499999999998</v>
      </c>
      <c r="AG573" s="130">
        <f>'[6]Monthly Palm Oil'!$D200</f>
        <v>2291.3333333333335</v>
      </c>
      <c r="AH573" s="131">
        <f>'[6]Monthly Palm Oil'!$X200</f>
        <v>25.888974055257119</v>
      </c>
      <c r="AI573" s="131">
        <f t="shared" si="101"/>
        <v>8.3910259447428821</v>
      </c>
    </row>
    <row r="574" spans="1:35">
      <c r="A574" s="99">
        <v>42948</v>
      </c>
      <c r="B574" s="119" t="e">
        <f>'[4]Monthly Prices'!$CF214</f>
        <v>#DIV/0!</v>
      </c>
      <c r="C574" s="119">
        <v>299.81299999999999</v>
      </c>
      <c r="D574" s="119">
        <v>33.869999999999997</v>
      </c>
      <c r="E574" s="122" t="e">
        <f t="shared" si="89"/>
        <v>#DIV/0!</v>
      </c>
      <c r="F574" s="128" t="e">
        <f t="shared" si="86"/>
        <v>#DIV/0!</v>
      </c>
      <c r="G574" s="127" t="e">
        <f t="shared" si="88"/>
        <v>#DIV/0!</v>
      </c>
      <c r="J574" s="119">
        <v>9.3912999999999993</v>
      </c>
      <c r="K574" s="119">
        <v>301.05</v>
      </c>
      <c r="L574" s="119">
        <v>33.17</v>
      </c>
      <c r="M574" s="119">
        <f t="shared" si="99"/>
        <v>0.88049999999999962</v>
      </c>
      <c r="N574" s="128">
        <f t="shared" si="100"/>
        <v>0.35521524951809813</v>
      </c>
      <c r="O574" s="124" t="e">
        <f t="shared" si="87"/>
        <v>#DIV/0!</v>
      </c>
      <c r="P574" s="124">
        <f t="shared" si="87"/>
        <v>1.2370000000000232</v>
      </c>
      <c r="Q574" s="124">
        <f t="shared" si="87"/>
        <v>-0.69999999999999574</v>
      </c>
      <c r="U574" s="119">
        <v>9.24</v>
      </c>
      <c r="V574" s="129" t="e">
        <f t="shared" si="93"/>
        <v>#DIV/0!</v>
      </c>
      <c r="W574" s="134" t="e">
        <f t="shared" si="97"/>
        <v>#DIV/0!</v>
      </c>
      <c r="X574" s="135" t="e">
        <f t="shared" si="98"/>
        <v>#DIV/0!</v>
      </c>
      <c r="Y574" s="134"/>
      <c r="Z574" s="135">
        <v>40.159599999999998</v>
      </c>
      <c r="AA574" s="136">
        <f t="shared" si="95"/>
        <v>4.5</v>
      </c>
      <c r="AB574" s="131">
        <v>35.659599999999998</v>
      </c>
      <c r="AC574" s="131">
        <f t="shared" si="96"/>
        <v>2.4895999999999958</v>
      </c>
      <c r="AD574" s="131">
        <v>34.612200000000001</v>
      </c>
      <c r="AE574" s="131">
        <f t="shared" si="92"/>
        <v>4.9603999999999999</v>
      </c>
      <c r="AF574" s="131">
        <v>39.572600000000001</v>
      </c>
      <c r="AG574" s="130">
        <f>'[6]Monthly Palm Oil'!$D201</f>
        <v>2507.681818181818</v>
      </c>
      <c r="AH574" s="131">
        <f>'[6]Monthly Palm Oil'!$X201</f>
        <v>28.292730803611935</v>
      </c>
      <c r="AI574" s="131">
        <f t="shared" si="101"/>
        <v>5.3072691963880665</v>
      </c>
    </row>
    <row r="575" spans="1:35">
      <c r="A575" s="99">
        <v>42979</v>
      </c>
      <c r="B575" s="119" t="e">
        <f>'[4]Monthly Prices'!$CF215</f>
        <v>#DIV/0!</v>
      </c>
      <c r="C575" s="119">
        <v>305.20999999999998</v>
      </c>
      <c r="D575" s="119">
        <v>34.28</v>
      </c>
      <c r="E575" s="122" t="e">
        <f t="shared" si="89"/>
        <v>#DIV/0!</v>
      </c>
      <c r="F575" s="128" t="e">
        <f t="shared" si="86"/>
        <v>#DIV/0!</v>
      </c>
      <c r="G575" s="127" t="e">
        <f t="shared" si="88"/>
        <v>#DIV/0!</v>
      </c>
      <c r="J575" s="119">
        <v>9.5036000000000005</v>
      </c>
      <c r="K575" s="119">
        <v>307.7</v>
      </c>
      <c r="L575" s="119">
        <v>33.28</v>
      </c>
      <c r="M575" s="119">
        <f t="shared" si="99"/>
        <v>0.92659999999999876</v>
      </c>
      <c r="N575" s="128">
        <f t="shared" si="100"/>
        <v>0.35098080573718626</v>
      </c>
      <c r="O575" s="124" t="e">
        <f t="shared" si="87"/>
        <v>#DIV/0!</v>
      </c>
      <c r="P575" s="124">
        <f t="shared" si="87"/>
        <v>2.4900000000000091</v>
      </c>
      <c r="Q575" s="124">
        <f t="shared" si="87"/>
        <v>-1</v>
      </c>
      <c r="R575" s="124">
        <f>AVERAGE(J573:J575)</f>
        <v>9.6004666666666676</v>
      </c>
      <c r="S575" s="124">
        <f>AVERAGE(K573:K575)</f>
        <v>311.59666666666664</v>
      </c>
      <c r="T575" s="124">
        <f>AVERAGE(L573:L575)</f>
        <v>33.090000000000003</v>
      </c>
      <c r="U575" s="119">
        <v>9.35</v>
      </c>
      <c r="V575" s="129" t="e">
        <f t="shared" si="93"/>
        <v>#DIV/0!</v>
      </c>
      <c r="W575" s="134" t="e">
        <f t="shared" si="97"/>
        <v>#DIV/0!</v>
      </c>
      <c r="X575" s="135" t="e">
        <f t="shared" si="98"/>
        <v>#DIV/0!</v>
      </c>
      <c r="Y575" s="134"/>
      <c r="Z575" s="135">
        <v>40.567500000000003</v>
      </c>
      <c r="AA575" s="136">
        <f t="shared" si="95"/>
        <v>4.7750000000000057</v>
      </c>
      <c r="AB575" s="131">
        <v>35.792499999999997</v>
      </c>
      <c r="AC575" s="131">
        <f t="shared" si="96"/>
        <v>2.5124999999999957</v>
      </c>
      <c r="AD575" s="131">
        <v>37.08</v>
      </c>
      <c r="AE575" s="131">
        <f t="shared" si="92"/>
        <v>2.9375</v>
      </c>
      <c r="AF575" s="131">
        <v>40.017499999999998</v>
      </c>
      <c r="AG575" s="130">
        <f>'[6]Monthly Palm Oil'!$D202</f>
        <v>2630.4210526315787</v>
      </c>
      <c r="AH575" s="131">
        <f>'[6]Monthly Palm Oil'!$X202</f>
        <v>29.056542513217426</v>
      </c>
      <c r="AI575" s="131">
        <f t="shared" si="101"/>
        <v>5.3534574867825704</v>
      </c>
    </row>
    <row r="576" spans="1:35">
      <c r="A576" s="99">
        <v>43009</v>
      </c>
      <c r="B576" s="119" t="e">
        <f>'[4]Monthly Prices'!$CF216</f>
        <v>#DIV/0!</v>
      </c>
      <c r="C576" s="119">
        <v>315.17</v>
      </c>
      <c r="D576" s="119">
        <v>33.6</v>
      </c>
      <c r="E576" s="122" t="e">
        <f t="shared" si="89"/>
        <v>#DIV/0!</v>
      </c>
      <c r="F576" s="128" t="e">
        <f t="shared" si="86"/>
        <v>#DIV/0!</v>
      </c>
      <c r="G576" s="127" t="e">
        <f t="shared" si="88"/>
        <v>#DIV/0!</v>
      </c>
      <c r="J576" s="119">
        <v>9.4732000000000003</v>
      </c>
      <c r="K576" s="119">
        <v>315.23</v>
      </c>
      <c r="L576" s="119">
        <v>32.35</v>
      </c>
      <c r="M576" s="119">
        <f t="shared" si="99"/>
        <v>1.0203600000000002</v>
      </c>
      <c r="N576" s="128">
        <f t="shared" si="100"/>
        <v>0.33911275105874461</v>
      </c>
      <c r="O576" s="124" t="e">
        <f t="shared" si="87"/>
        <v>#DIV/0!</v>
      </c>
      <c r="P576" s="124">
        <f t="shared" si="87"/>
        <v>6.0000000000002274E-2</v>
      </c>
      <c r="Q576" s="124">
        <f t="shared" si="87"/>
        <v>-1.25</v>
      </c>
      <c r="R576" s="124"/>
      <c r="S576" s="124"/>
      <c r="T576" s="124"/>
      <c r="U576" s="119">
        <v>9.18</v>
      </c>
      <c r="V576" s="129" t="e">
        <f t="shared" si="93"/>
        <v>#DIV/0!</v>
      </c>
      <c r="W576" s="134" t="e">
        <f t="shared" si="97"/>
        <v>#DIV/0!</v>
      </c>
      <c r="X576" s="135" t="e">
        <f t="shared" si="98"/>
        <v>#DIV/0!</v>
      </c>
      <c r="Y576" s="134"/>
      <c r="Z576" s="135">
        <v>39.887700000000002</v>
      </c>
      <c r="AA576" s="136">
        <f t="shared" si="95"/>
        <v>5.25</v>
      </c>
      <c r="AB576" s="131">
        <v>34.637700000000002</v>
      </c>
      <c r="AC576" s="131">
        <f t="shared" si="96"/>
        <v>2.287700000000001</v>
      </c>
      <c r="AD576" s="131">
        <v>36.0473</v>
      </c>
      <c r="AE576" s="131">
        <f t="shared" si="92"/>
        <v>3.5904000000000025</v>
      </c>
      <c r="AF576" s="131">
        <v>39.637700000000002</v>
      </c>
      <c r="AG576" s="130">
        <f>'[6]Monthly Palm Oil'!$D203</f>
        <v>2688</v>
      </c>
      <c r="AH576" s="131">
        <f>'[6]Monthly Palm Oil'!$X203</f>
        <v>29.19940183291272</v>
      </c>
      <c r="AI576" s="131">
        <f t="shared" si="101"/>
        <v>3.9405981670872805</v>
      </c>
    </row>
    <row r="577" spans="1:39">
      <c r="A577" s="99">
        <v>43040</v>
      </c>
      <c r="B577" s="119" t="e">
        <f>'[4]Monthly Prices'!$CF217</f>
        <v>#DIV/0!</v>
      </c>
      <c r="C577" s="119">
        <v>317.43</v>
      </c>
      <c r="D577" s="119">
        <v>34.409999999999997</v>
      </c>
      <c r="E577" s="122" t="e">
        <f t="shared" si="89"/>
        <v>#DIV/0!</v>
      </c>
      <c r="F577" s="128" t="e">
        <f t="shared" si="86"/>
        <v>#DIV/0!</v>
      </c>
      <c r="G577" s="127" t="e">
        <f t="shared" si="88"/>
        <v>#DIV/0!</v>
      </c>
      <c r="J577" s="119">
        <v>9.7018000000000004</v>
      </c>
      <c r="K577" s="119">
        <v>313.52</v>
      </c>
      <c r="L577" s="119">
        <v>33.43</v>
      </c>
      <c r="M577" s="119">
        <f t="shared" si="99"/>
        <v>0.87293999999999805</v>
      </c>
      <c r="N577" s="128">
        <f t="shared" si="100"/>
        <v>0.34774377431501863</v>
      </c>
      <c r="O577" s="124" t="e">
        <f t="shared" si="87"/>
        <v>#DIV/0!</v>
      </c>
      <c r="P577" s="124">
        <f t="shared" si="87"/>
        <v>-3.910000000000025</v>
      </c>
      <c r="Q577" s="124">
        <f t="shared" si="87"/>
        <v>-0.97999999999999687</v>
      </c>
      <c r="R577" s="124"/>
      <c r="S577" s="124"/>
      <c r="T577" s="124"/>
      <c r="U577" s="119">
        <v>9.2200000000000006</v>
      </c>
      <c r="V577" s="129" t="e">
        <f t="shared" si="93"/>
        <v>#DIV/0!</v>
      </c>
      <c r="W577" s="134" t="e">
        <f t="shared" si="97"/>
        <v>#DIV/0!</v>
      </c>
      <c r="X577" s="135" t="e">
        <f t="shared" si="98"/>
        <v>#DIV/0!</v>
      </c>
      <c r="Y577" s="134"/>
      <c r="Z577" s="135">
        <v>40.660499999999999</v>
      </c>
      <c r="AA577" s="136">
        <f t="shared" si="95"/>
        <v>4.8453000000000017</v>
      </c>
      <c r="AB577" s="131">
        <v>35.815199999999997</v>
      </c>
      <c r="AC577" s="131">
        <f t="shared" si="96"/>
        <v>2.3851999999999975</v>
      </c>
      <c r="AD577" s="131">
        <v>36.072400000000002</v>
      </c>
      <c r="AE577" s="131">
        <f t="shared" si="92"/>
        <v>4.1475999999999971</v>
      </c>
      <c r="AF577" s="131">
        <v>40.22</v>
      </c>
      <c r="AG577" s="130">
        <f>'[6]Monthly Palm Oil'!$D204</f>
        <v>2887.7142857142858</v>
      </c>
      <c r="AH577" s="131">
        <f>'[6]Monthly Palm Oil'!$X204</f>
        <v>30.270559932402783</v>
      </c>
      <c r="AI577" s="131">
        <f t="shared" si="101"/>
        <v>2.6794400675972199</v>
      </c>
    </row>
    <row r="578" spans="1:39">
      <c r="A578" s="99">
        <v>43070</v>
      </c>
      <c r="B578" s="119" t="e">
        <f>'[4]Monthly Prices'!$CF218</f>
        <v>#DIV/0!</v>
      </c>
      <c r="C578" s="119">
        <v>322.74</v>
      </c>
      <c r="D578" s="119">
        <v>33.14</v>
      </c>
      <c r="E578" s="122" t="e">
        <f t="shared" si="89"/>
        <v>#DIV/0!</v>
      </c>
      <c r="F578" s="128" t="e">
        <f t="shared" si="86"/>
        <v>#DIV/0!</v>
      </c>
      <c r="G578" s="127" t="e">
        <f t="shared" si="88"/>
        <v>#DIV/0!</v>
      </c>
      <c r="J578" s="119">
        <v>9.5958000000000006</v>
      </c>
      <c r="K578" s="119">
        <v>319.22000000000003</v>
      </c>
      <c r="L578" s="119">
        <v>32.270000000000003</v>
      </c>
      <c r="M578" s="119">
        <f t="shared" si="99"/>
        <v>0.9767399999999995</v>
      </c>
      <c r="N578" s="128">
        <f t="shared" si="100"/>
        <v>0.33574713361216896</v>
      </c>
      <c r="O578" s="124" t="e">
        <f t="shared" si="87"/>
        <v>#DIV/0!</v>
      </c>
      <c r="P578" s="124">
        <f t="shared" si="87"/>
        <v>-3.5199999999999818</v>
      </c>
      <c r="Q578" s="124">
        <f t="shared" si="87"/>
        <v>-0.86999999999999744</v>
      </c>
      <c r="R578" s="124">
        <f>AVERAGE(J576:J578)</f>
        <v>9.5902666666666665</v>
      </c>
      <c r="S578" s="124">
        <f>AVERAGE(K576:K578)</f>
        <v>315.99</v>
      </c>
      <c r="T578" s="124">
        <f>AVERAGE(L576:L578)</f>
        <v>32.683333333333337</v>
      </c>
      <c r="U578" s="119">
        <v>9.3000000000000007</v>
      </c>
      <c r="V578" s="129" t="e">
        <f t="shared" si="93"/>
        <v>#DIV/0!</v>
      </c>
      <c r="W578" s="134" t="e">
        <f t="shared" si="97"/>
        <v>#DIV/0!</v>
      </c>
      <c r="X578" s="135" t="e">
        <f t="shared" si="98"/>
        <v>#DIV/0!</v>
      </c>
      <c r="Y578" s="134"/>
      <c r="Z578" s="135">
        <v>39.433500000000002</v>
      </c>
      <c r="AA578" s="136">
        <f t="shared" si="95"/>
        <v>4.75</v>
      </c>
      <c r="AB578" s="131">
        <v>34.683500000000002</v>
      </c>
      <c r="AC578" s="131">
        <f t="shared" si="96"/>
        <v>2.4134999999999991</v>
      </c>
      <c r="AD578" s="131">
        <v>33.874499999999998</v>
      </c>
      <c r="AE578" s="131">
        <f t="shared" si="92"/>
        <v>4.7115000000000009</v>
      </c>
      <c r="AF578" s="131">
        <v>38.585999999999999</v>
      </c>
      <c r="AG578" s="130">
        <f>'[6]Monthly Palm Oil'!$D205</f>
        <v>3115.85</v>
      </c>
      <c r="AH578" s="131">
        <f>'[6]Monthly Palm Oil'!$X205</f>
        <v>31.696343388495489</v>
      </c>
      <c r="AI578" s="131">
        <f t="shared" si="101"/>
        <v>0.48365661150451089</v>
      </c>
    </row>
    <row r="579" spans="1:39">
      <c r="A579" s="99">
        <v>43101</v>
      </c>
      <c r="B579" s="119" t="e">
        <f>'[4]Monthly Prices'!$CF219</f>
        <v>#DIV/0!</v>
      </c>
      <c r="C579" s="119">
        <v>326.68</v>
      </c>
      <c r="D579" s="119">
        <v>32.950000000000003</v>
      </c>
      <c r="E579" s="122" t="e">
        <f t="shared" si="89"/>
        <v>#DIV/0!</v>
      </c>
      <c r="F579" s="128" t="e">
        <f t="shared" ref="F579:F642" si="102">D579/100*11/(B579+E579)</f>
        <v>#DIV/0!</v>
      </c>
      <c r="G579" s="127" t="e">
        <f t="shared" si="88"/>
        <v>#DIV/0!</v>
      </c>
      <c r="J579" s="119">
        <v>9.6257000000000001</v>
      </c>
      <c r="K579" s="119">
        <v>322.60000000000002</v>
      </c>
      <c r="L579" s="119">
        <v>31.61</v>
      </c>
      <c r="M579" s="119">
        <f t="shared" si="99"/>
        <v>0.94860000000000078</v>
      </c>
      <c r="N579" s="128">
        <f t="shared" si="100"/>
        <v>0.32882554873608655</v>
      </c>
      <c r="O579" s="124" t="e">
        <f t="shared" ref="O579:Q619" si="103">J579-B579</f>
        <v>#DIV/0!</v>
      </c>
      <c r="P579" s="124">
        <f t="shared" si="103"/>
        <v>-4.0799999999999841</v>
      </c>
      <c r="Q579" s="124">
        <f t="shared" si="103"/>
        <v>-1.3400000000000034</v>
      </c>
      <c r="U579" s="119">
        <v>9.3000000000000007</v>
      </c>
      <c r="V579" s="129" t="e">
        <f t="shared" si="93"/>
        <v>#DIV/0!</v>
      </c>
      <c r="W579" s="134" t="e">
        <f t="shared" si="97"/>
        <v>#DIV/0!</v>
      </c>
      <c r="X579" s="135" t="e">
        <f t="shared" si="98"/>
        <v>#DIV/0!</v>
      </c>
      <c r="Y579" s="134"/>
      <c r="Z579" s="135">
        <v>39.267099999999999</v>
      </c>
      <c r="AA579" s="136">
        <f t="shared" si="95"/>
        <v>4.9403999999999968</v>
      </c>
      <c r="AB579" s="131">
        <v>34.326700000000002</v>
      </c>
      <c r="AC579" s="131">
        <f t="shared" si="96"/>
        <v>2.716700000000003</v>
      </c>
      <c r="AD579" s="131">
        <v>34.719499999999996</v>
      </c>
      <c r="AE579" s="131">
        <f t="shared" si="92"/>
        <v>4.0476000000000028</v>
      </c>
      <c r="AF579" s="131">
        <v>38.767099999999999</v>
      </c>
      <c r="AG579" s="130">
        <f>'[6]Monthly Palm Oil'!$D206</f>
        <v>3112.8947368421054</v>
      </c>
      <c r="AH579" s="131">
        <f>'[6]Monthly Palm Oil'!$X206</f>
        <v>31.689679530267984</v>
      </c>
      <c r="AI579" s="131">
        <f t="shared" si="101"/>
        <v>0.1603204697320173</v>
      </c>
      <c r="AM579" s="108">
        <v>0.3876350221000594</v>
      </c>
    </row>
    <row r="580" spans="1:39">
      <c r="A580" s="99">
        <v>43132</v>
      </c>
      <c r="B580" s="119" t="e">
        <f>'[4]Monthly Prices'!$CF220</f>
        <v>#DIV/0!</v>
      </c>
      <c r="C580" s="119">
        <v>360.51</v>
      </c>
      <c r="D580" s="119">
        <v>32.18</v>
      </c>
      <c r="E580" s="122" t="e">
        <f t="shared" si="89"/>
        <v>#DIV/0!</v>
      </c>
      <c r="F580" s="128" t="e">
        <f t="shared" si="102"/>
        <v>#DIV/0!</v>
      </c>
      <c r="G580" s="127" t="e">
        <f t="shared" ref="G580:G643" si="104">F580-F579</f>
        <v>#DIV/0!</v>
      </c>
      <c r="J580" s="119">
        <v>9.9928000000000008</v>
      </c>
      <c r="K580" s="119">
        <v>362.85</v>
      </c>
      <c r="L580" s="119">
        <v>30.63</v>
      </c>
      <c r="M580" s="119">
        <f t="shared" si="99"/>
        <v>1.3591999999999995</v>
      </c>
      <c r="N580" s="128">
        <f t="shared" si="100"/>
        <v>0.29680232558139535</v>
      </c>
      <c r="O580" s="124" t="e">
        <f t="shared" si="103"/>
        <v>#DIV/0!</v>
      </c>
      <c r="P580" s="124">
        <f t="shared" si="103"/>
        <v>2.3400000000000318</v>
      </c>
      <c r="Q580" s="124">
        <f t="shared" si="103"/>
        <v>-1.5500000000000007</v>
      </c>
      <c r="U580" s="119">
        <v>9.5</v>
      </c>
      <c r="V580" s="129" t="e">
        <f t="shared" si="93"/>
        <v>#DIV/0!</v>
      </c>
      <c r="W580" s="134" t="e">
        <f t="shared" si="97"/>
        <v>#DIV/0!</v>
      </c>
      <c r="X580" s="135" t="e">
        <f t="shared" si="98"/>
        <v>#DIV/0!</v>
      </c>
      <c r="Y580" s="134"/>
      <c r="Z580" s="135">
        <v>38.452100000000002</v>
      </c>
      <c r="AA580" s="136">
        <f t="shared" si="95"/>
        <v>5.3094999999999999</v>
      </c>
      <c r="AB580" s="131">
        <v>33.142600000000002</v>
      </c>
      <c r="AC580" s="131">
        <f t="shared" si="96"/>
        <v>2.5126000000000026</v>
      </c>
      <c r="AD580" s="131">
        <v>34.6858</v>
      </c>
      <c r="AE580" s="131">
        <f t="shared" si="92"/>
        <v>3.4594999999999985</v>
      </c>
      <c r="AF580" s="131">
        <v>38.145299999999999</v>
      </c>
      <c r="AG580" s="130">
        <f>'[6]Monthly Palm Oil'!$D207</f>
        <v>2945.705882352941</v>
      </c>
      <c r="AH580" s="131">
        <f>'[6]Monthly Palm Oil'!$X207</f>
        <v>30.087863949236834</v>
      </c>
      <c r="AI580" s="131">
        <f t="shared" si="101"/>
        <v>1.2621360507631678</v>
      </c>
      <c r="AM580" s="108">
        <v>0.3876350221000594</v>
      </c>
    </row>
    <row r="581" spans="1:39">
      <c r="A581" s="99">
        <v>43160</v>
      </c>
      <c r="B581" s="119" t="e">
        <f>'[4]Monthly Prices'!$CF221</f>
        <v>#DIV/0!</v>
      </c>
      <c r="C581" s="119">
        <v>375.15</v>
      </c>
      <c r="D581" s="119">
        <v>31.85</v>
      </c>
      <c r="E581" s="122" t="e">
        <f t="shared" si="89"/>
        <v>#DIV/0!</v>
      </c>
      <c r="F581" s="128" t="e">
        <f t="shared" si="102"/>
        <v>#DIV/0!</v>
      </c>
      <c r="G581" s="127" t="e">
        <f t="shared" si="104"/>
        <v>#DIV/0!</v>
      </c>
      <c r="J581" s="119">
        <v>10.1708</v>
      </c>
      <c r="K581" s="119">
        <v>379.85</v>
      </c>
      <c r="L581" s="119">
        <v>30.28</v>
      </c>
      <c r="M581" s="119">
        <f t="shared" si="99"/>
        <v>1.5167000000000002</v>
      </c>
      <c r="N581" s="128">
        <f t="shared" si="100"/>
        <v>0.28498823529411765</v>
      </c>
      <c r="O581" s="124" t="e">
        <f t="shared" si="103"/>
        <v>#DIV/0!</v>
      </c>
      <c r="P581" s="124">
        <f t="shared" si="103"/>
        <v>4.7000000000000455</v>
      </c>
      <c r="Q581" s="124">
        <f t="shared" si="103"/>
        <v>-1.5700000000000003</v>
      </c>
      <c r="R581" s="124">
        <f>AVERAGE(J579:J581)</f>
        <v>9.9297666666666675</v>
      </c>
      <c r="S581" s="124">
        <f>AVERAGE(K579:K581)</f>
        <v>355.10000000000008</v>
      </c>
      <c r="T581" s="124">
        <f>AVERAGE(L579:L581)</f>
        <v>30.84</v>
      </c>
      <c r="U581" s="119">
        <v>9.81</v>
      </c>
      <c r="V581" s="129" t="e">
        <f t="shared" si="93"/>
        <v>#DIV/0!</v>
      </c>
      <c r="W581" s="134" t="e">
        <f t="shared" si="97"/>
        <v>#DIV/0!</v>
      </c>
      <c r="X581" s="135" t="e">
        <f t="shared" si="98"/>
        <v>#DIV/0!</v>
      </c>
      <c r="Y581" s="134"/>
      <c r="Z581" s="135">
        <v>38.184800000000003</v>
      </c>
      <c r="AA581" s="136">
        <f t="shared" si="95"/>
        <v>5.4000000000000057</v>
      </c>
      <c r="AB581" s="131">
        <v>32.784799999999997</v>
      </c>
      <c r="AC581" s="131">
        <f t="shared" si="96"/>
        <v>2.5047999999999959</v>
      </c>
      <c r="AD581" s="131">
        <v>34.9024</v>
      </c>
      <c r="AE581" s="131">
        <f t="shared" si="92"/>
        <v>2.589500000000001</v>
      </c>
      <c r="AF581" s="131">
        <v>37.491900000000001</v>
      </c>
      <c r="AG581" s="130">
        <f>'[6]Monthly Palm Oil'!$D208</f>
        <v>2784.1304347826085</v>
      </c>
      <c r="AH581" s="131">
        <f>'[6]Monthly Palm Oil'!$X208</f>
        <v>28.471570985380684</v>
      </c>
      <c r="AI581" s="131">
        <f t="shared" si="101"/>
        <v>2.5284290146193165</v>
      </c>
      <c r="AM581" s="108">
        <v>0.3876350221000594</v>
      </c>
    </row>
    <row r="582" spans="1:39">
      <c r="A582" s="99">
        <v>43191</v>
      </c>
      <c r="B582" s="119" t="e">
        <f>'[4]Monthly Prices'!$CF222</f>
        <v>#DIV/0!</v>
      </c>
      <c r="C582" s="119">
        <v>380.78</v>
      </c>
      <c r="D582" s="119">
        <v>31.35</v>
      </c>
      <c r="E582" s="122" t="e">
        <f t="shared" si="89"/>
        <v>#DIV/0!</v>
      </c>
      <c r="F582" s="128" t="e">
        <f t="shared" si="102"/>
        <v>#DIV/0!</v>
      </c>
      <c r="G582" s="127" t="e">
        <f t="shared" si="104"/>
        <v>#DIV/0!</v>
      </c>
      <c r="J582" s="119">
        <v>10.230700000000001</v>
      </c>
      <c r="K582" s="119">
        <v>385.84</v>
      </c>
      <c r="L582" s="119">
        <v>29.7</v>
      </c>
      <c r="M582" s="119">
        <f t="shared" si="99"/>
        <v>1.524779999999998</v>
      </c>
      <c r="N582" s="128">
        <f t="shared" si="100"/>
        <v>0.27791293932702027</v>
      </c>
      <c r="O582" s="124" t="e">
        <f t="shared" si="103"/>
        <v>#DIV/0!</v>
      </c>
      <c r="P582" s="124">
        <f t="shared" si="103"/>
        <v>5.0600000000000023</v>
      </c>
      <c r="Q582" s="124">
        <f t="shared" si="103"/>
        <v>-1.6500000000000021</v>
      </c>
      <c r="U582" s="119">
        <v>9.85</v>
      </c>
      <c r="V582" s="129" t="e">
        <f t="shared" si="93"/>
        <v>#DIV/0!</v>
      </c>
      <c r="W582" s="134" t="e">
        <f t="shared" si="97"/>
        <v>#DIV/0!</v>
      </c>
      <c r="X582" s="135" t="e">
        <f t="shared" si="98"/>
        <v>#DIV/0!</v>
      </c>
      <c r="Y582" s="134"/>
      <c r="Z582" s="135">
        <v>37.598599999999998</v>
      </c>
      <c r="AA582" s="136">
        <f t="shared" si="95"/>
        <v>5.3999999999999986</v>
      </c>
      <c r="AB582" s="131">
        <v>32.198599999999999</v>
      </c>
      <c r="AC582" s="131">
        <f t="shared" si="96"/>
        <v>2.4985999999999997</v>
      </c>
      <c r="AD582" s="131">
        <v>35.0152</v>
      </c>
      <c r="AE582" s="131">
        <f t="shared" si="92"/>
        <v>2.6428999999999974</v>
      </c>
      <c r="AF582" s="131">
        <v>37.658099999999997</v>
      </c>
      <c r="AG582" s="130">
        <f>'[6]Monthly Palm Oil'!$D209</f>
        <v>2567.1111111111113</v>
      </c>
      <c r="AH582" s="131">
        <f>'[6]Monthly Palm Oil'!$X209</f>
        <v>26.44253692825178</v>
      </c>
      <c r="AI582" s="131">
        <f t="shared" si="101"/>
        <v>3.3774630717482204</v>
      </c>
      <c r="AM582" s="108">
        <v>0.3876350221000594</v>
      </c>
    </row>
    <row r="583" spans="1:39">
      <c r="A583" s="99">
        <v>43221</v>
      </c>
      <c r="B583" s="119" t="e">
        <f>'[4]Monthly Prices'!$CF223</f>
        <v>#DIV/0!</v>
      </c>
      <c r="C583" s="119">
        <v>384.5</v>
      </c>
      <c r="D583" s="119">
        <v>31</v>
      </c>
      <c r="E583" s="122" t="e">
        <f t="shared" ref="E583:E599" si="105">(C583/2000*44)+(D583/100*11)-B583</f>
        <v>#DIV/0!</v>
      </c>
      <c r="F583" s="128" t="e">
        <f t="shared" si="102"/>
        <v>#DIV/0!</v>
      </c>
      <c r="G583" s="127" t="e">
        <f t="shared" si="104"/>
        <v>#DIV/0!</v>
      </c>
      <c r="J583" s="119">
        <v>10.0608</v>
      </c>
      <c r="K583" s="119">
        <v>393.55</v>
      </c>
      <c r="L583" s="119">
        <v>29.4</v>
      </c>
      <c r="M583" s="119">
        <f t="shared" si="99"/>
        <v>1.8313000000000006</v>
      </c>
      <c r="N583" s="128">
        <f t="shared" si="100"/>
        <v>0.27194524095828321</v>
      </c>
      <c r="O583" s="124" t="e">
        <f t="shared" si="103"/>
        <v>#DIV/0!</v>
      </c>
      <c r="P583" s="124">
        <f t="shared" si="103"/>
        <v>9.0500000000000114</v>
      </c>
      <c r="Q583" s="124">
        <f t="shared" si="103"/>
        <v>-1.6000000000000014</v>
      </c>
      <c r="U583" s="119">
        <v>9.84</v>
      </c>
      <c r="V583" s="129" t="e">
        <f t="shared" si="93"/>
        <v>#DIV/0!</v>
      </c>
      <c r="W583" s="134" t="e">
        <f t="shared" si="97"/>
        <v>#DIV/0!</v>
      </c>
      <c r="X583" s="135" t="e">
        <f t="shared" si="98"/>
        <v>#DIV/0!</v>
      </c>
      <c r="Y583" s="134"/>
      <c r="Z583" s="135">
        <v>37.336799999999997</v>
      </c>
      <c r="AA583" s="136">
        <f t="shared" si="95"/>
        <v>5.399999999999995</v>
      </c>
      <c r="AB583" s="131">
        <v>31.936800000000002</v>
      </c>
      <c r="AC583" s="131">
        <f t="shared" si="96"/>
        <v>2.5368000000000031</v>
      </c>
      <c r="AD583" s="131">
        <v>34.336399999999998</v>
      </c>
      <c r="AE583" s="131">
        <f t="shared" si="92"/>
        <v>2.8413000000000039</v>
      </c>
      <c r="AF583" s="131">
        <v>37.177700000000002</v>
      </c>
      <c r="AG583" s="130">
        <f>'[6]Monthly Palm Oil'!$D210</f>
        <v>2597.15</v>
      </c>
      <c r="AH583" s="131">
        <f>'[6]Monthly Palm Oil'!$X210</f>
        <v>27.308116066278735</v>
      </c>
      <c r="AI583" s="131">
        <f t="shared" si="101"/>
        <v>1.051883933721264</v>
      </c>
      <c r="AM583" s="108">
        <v>0.3876350221000594</v>
      </c>
    </row>
    <row r="584" spans="1:39">
      <c r="A584" s="99">
        <v>43252</v>
      </c>
      <c r="B584" s="119" t="e">
        <f>'[4]Monthly Prices'!$CF224</f>
        <v>#DIV/0!</v>
      </c>
      <c r="C584" s="119">
        <v>345.95</v>
      </c>
      <c r="D584" s="119">
        <v>29.82</v>
      </c>
      <c r="E584" s="122" t="e">
        <f t="shared" si="105"/>
        <v>#DIV/0!</v>
      </c>
      <c r="F584" s="128" t="e">
        <f t="shared" si="102"/>
        <v>#DIV/0!</v>
      </c>
      <c r="G584" s="127" t="e">
        <f t="shared" si="104"/>
        <v>#DIV/0!</v>
      </c>
      <c r="J584" s="119">
        <v>9.1473999999999993</v>
      </c>
      <c r="K584" s="119">
        <v>355.71</v>
      </c>
      <c r="L584" s="119">
        <v>28.3</v>
      </c>
      <c r="M584" s="119">
        <f t="shared" si="99"/>
        <v>1.7912200000000009</v>
      </c>
      <c r="N584" s="128">
        <f t="shared" si="100"/>
        <v>0.28458800104583581</v>
      </c>
      <c r="O584" s="124" t="e">
        <f t="shared" si="103"/>
        <v>#DIV/0!</v>
      </c>
      <c r="P584" s="124">
        <f t="shared" si="103"/>
        <v>9.7599999999999909</v>
      </c>
      <c r="Q584" s="124">
        <f t="shared" si="103"/>
        <v>-1.5199999999999996</v>
      </c>
      <c r="R584" s="124">
        <f>AVERAGE(J582:J584)</f>
        <v>9.8129666666666662</v>
      </c>
      <c r="S584" s="124">
        <f>AVERAGE(K582:K584)</f>
        <v>378.36666666666662</v>
      </c>
      <c r="T584" s="124">
        <f>AVERAGE(L582:L584)</f>
        <v>29.133333333333329</v>
      </c>
      <c r="U584" s="119">
        <v>9.5500000000000007</v>
      </c>
      <c r="V584" s="129" t="e">
        <f t="shared" si="93"/>
        <v>#DIV/0!</v>
      </c>
      <c r="W584" s="134" t="e">
        <f t="shared" si="97"/>
        <v>#DIV/0!</v>
      </c>
      <c r="X584" s="135" t="e">
        <f t="shared" si="98"/>
        <v>#DIV/0!</v>
      </c>
      <c r="Y584" s="134"/>
      <c r="Z584" s="135">
        <v>37.142400000000002</v>
      </c>
      <c r="AA584" s="136">
        <f t="shared" si="95"/>
        <v>6.421400000000002</v>
      </c>
      <c r="AB584" s="131">
        <v>30.721</v>
      </c>
      <c r="AC584" s="131">
        <f t="shared" si="96"/>
        <v>2.4209999999999994</v>
      </c>
      <c r="AD584" s="131">
        <v>33.113300000000002</v>
      </c>
      <c r="AE584" s="131">
        <f t="shared" si="92"/>
        <v>2.1004999999999967</v>
      </c>
      <c r="AF584" s="131">
        <v>35.213799999999999</v>
      </c>
      <c r="AG584" s="130">
        <f>'[6]Monthly Palm Oil'!$D211</f>
        <v>2465.5789473684213</v>
      </c>
      <c r="AH584" s="131">
        <f>'[6]Monthly Palm Oil'!$X211</f>
        <v>26.15855460592477</v>
      </c>
      <c r="AI584" s="131">
        <f t="shared" si="101"/>
        <v>2.1714453940752279</v>
      </c>
      <c r="AM584" s="108">
        <v>0.3876350221000594</v>
      </c>
    </row>
    <row r="585" spans="1:39">
      <c r="A585" s="99">
        <v>43282</v>
      </c>
      <c r="B585" s="119" t="e">
        <f>'[4]Monthly Prices'!$CF225</f>
        <v>#DIV/0!</v>
      </c>
      <c r="C585" s="119">
        <v>330.37</v>
      </c>
      <c r="D585" s="119">
        <v>28.36</v>
      </c>
      <c r="E585" s="122" t="e">
        <f t="shared" si="105"/>
        <v>#DIV/0!</v>
      </c>
      <c r="F585" s="128" t="e">
        <f t="shared" si="102"/>
        <v>#DIV/0!</v>
      </c>
      <c r="G585" s="127" t="e">
        <f t="shared" si="104"/>
        <v>#DIV/0!</v>
      </c>
      <c r="J585" s="119">
        <v>8.5058000000000007</v>
      </c>
      <c r="K585" s="119">
        <v>341.08</v>
      </c>
      <c r="L585" s="119">
        <v>27.21</v>
      </c>
      <c r="M585" s="119">
        <f t="shared" si="99"/>
        <v>1.9910599999999992</v>
      </c>
      <c r="N585" s="128">
        <f t="shared" si="100"/>
        <v>0.28514241401714419</v>
      </c>
      <c r="O585" s="124" t="e">
        <f t="shared" si="103"/>
        <v>#DIV/0!</v>
      </c>
      <c r="P585" s="124">
        <f t="shared" si="103"/>
        <v>10.70999999999998</v>
      </c>
      <c r="Q585" s="124">
        <f t="shared" si="103"/>
        <v>-1.1499999999999986</v>
      </c>
      <c r="U585" s="119">
        <v>9.08</v>
      </c>
      <c r="V585" s="129" t="e">
        <f t="shared" si="93"/>
        <v>#DIV/0!</v>
      </c>
      <c r="W585" s="134" t="e">
        <f t="shared" si="97"/>
        <v>#DIV/0!</v>
      </c>
      <c r="X585" s="135" t="e">
        <f t="shared" si="98"/>
        <v>#DIV/0!</v>
      </c>
      <c r="Y585" s="134"/>
      <c r="Z585" s="135">
        <v>37.249000000000002</v>
      </c>
      <c r="AA585" s="136">
        <f t="shared" si="95"/>
        <v>7.5633000000000017</v>
      </c>
      <c r="AB585" s="131">
        <v>29.685700000000001</v>
      </c>
      <c r="AC585" s="131">
        <f t="shared" si="96"/>
        <v>2.4756999999999998</v>
      </c>
      <c r="AD585" s="131">
        <v>31.390499999999999</v>
      </c>
      <c r="AE585" s="131">
        <f t="shared" si="92"/>
        <v>2.684700000000003</v>
      </c>
      <c r="AF585" s="131">
        <v>34.075200000000002</v>
      </c>
      <c r="AG585" s="130">
        <f>'[6]Monthly Palm Oil'!$D212</f>
        <v>2578.4</v>
      </c>
      <c r="AH585" s="131">
        <f>'[6]Monthly Palm Oil'!$X212</f>
        <v>27.278338842965791</v>
      </c>
      <c r="AI585" s="131">
        <f t="shared" si="101"/>
        <v>0.98166115703421042</v>
      </c>
      <c r="AM585" s="108">
        <v>0.3876350221000594</v>
      </c>
    </row>
    <row r="586" spans="1:39">
      <c r="A586" s="99">
        <v>43313</v>
      </c>
      <c r="B586" s="119" t="e">
        <f>'[4]Monthly Prices'!$CF226</f>
        <v>#DIV/0!</v>
      </c>
      <c r="C586" s="119">
        <v>322.5</v>
      </c>
      <c r="D586" s="119">
        <v>28.33</v>
      </c>
      <c r="E586" s="122" t="e">
        <f t="shared" si="105"/>
        <v>#DIV/0!</v>
      </c>
      <c r="F586" s="128" t="e">
        <f t="shared" si="102"/>
        <v>#DIV/0!</v>
      </c>
      <c r="G586" s="127" t="e">
        <f t="shared" si="104"/>
        <v>#DIV/0!</v>
      </c>
      <c r="J586" s="119">
        <v>8.3978000000000002</v>
      </c>
      <c r="K586" s="119">
        <v>332.5</v>
      </c>
      <c r="L586" s="119">
        <v>27.6</v>
      </c>
      <c r="M586" s="119">
        <f t="shared" si="99"/>
        <v>1.9532000000000007</v>
      </c>
      <c r="N586" s="128">
        <f t="shared" si="100"/>
        <v>0.29330499468650373</v>
      </c>
      <c r="O586" s="124" t="e">
        <f t="shared" si="103"/>
        <v>#DIV/0!</v>
      </c>
      <c r="P586" s="124">
        <f t="shared" si="103"/>
        <v>10</v>
      </c>
      <c r="Q586" s="124">
        <f t="shared" si="103"/>
        <v>-0.72999999999999687</v>
      </c>
      <c r="U586" s="119">
        <v>8.59</v>
      </c>
      <c r="V586" s="129" t="e">
        <f t="shared" si="93"/>
        <v>#DIV/0!</v>
      </c>
      <c r="W586" s="134" t="e">
        <f t="shared" si="97"/>
        <v>#DIV/0!</v>
      </c>
      <c r="X586" s="135" t="e">
        <f t="shared" si="98"/>
        <v>#DIV/0!</v>
      </c>
      <c r="Y586" s="134"/>
      <c r="Z586" s="135">
        <v>37.837800000000001</v>
      </c>
      <c r="AA586" s="136">
        <f t="shared" si="95"/>
        <v>7.6677999999999997</v>
      </c>
      <c r="AB586" s="131">
        <v>30.17</v>
      </c>
      <c r="AC586" s="131">
        <f t="shared" si="96"/>
        <v>2.5700000000000003</v>
      </c>
      <c r="AD586" s="131">
        <v>30.576499999999999</v>
      </c>
      <c r="AE586" s="131">
        <f t="shared" si="92"/>
        <v>3.5305</v>
      </c>
      <c r="AF586" s="131">
        <v>34.106999999999999</v>
      </c>
      <c r="AG586" s="130">
        <f>'[6]Monthly Palm Oil'!$D213</f>
        <v>2673.2272727272725</v>
      </c>
      <c r="AH586" s="131">
        <f>'[6]Monthly Palm Oil'!$X213</f>
        <v>28.314552783211351</v>
      </c>
      <c r="AI586" s="131">
        <f t="shared" si="101"/>
        <v>0.73718634722342458</v>
      </c>
      <c r="AM586" s="108">
        <v>0.3876350221000594</v>
      </c>
    </row>
    <row r="587" spans="1:39">
      <c r="A587" s="99">
        <v>43344</v>
      </c>
      <c r="B587" s="119" t="e">
        <f>'[4]Monthly Prices'!$CF227</f>
        <v>#DIV/0!</v>
      </c>
      <c r="C587" s="119">
        <v>311.51</v>
      </c>
      <c r="D587" s="119">
        <v>28.26</v>
      </c>
      <c r="E587" s="122" t="e">
        <f t="shared" si="105"/>
        <v>#DIV/0!</v>
      </c>
      <c r="F587" s="128" t="e">
        <f t="shared" si="102"/>
        <v>#DIV/0!</v>
      </c>
      <c r="G587" s="127" t="e">
        <f t="shared" si="104"/>
        <v>#DIV/0!</v>
      </c>
      <c r="J587" s="119">
        <v>7.8539000000000003</v>
      </c>
      <c r="K587" s="119">
        <v>318.32</v>
      </c>
      <c r="L587" s="119">
        <v>27.73</v>
      </c>
      <c r="M587" s="119">
        <f t="shared" si="99"/>
        <v>2.1994399999999983</v>
      </c>
      <c r="N587" s="128">
        <f t="shared" si="100"/>
        <v>0.30341160251219995</v>
      </c>
      <c r="O587" s="124" t="e">
        <f t="shared" si="103"/>
        <v>#DIV/0!</v>
      </c>
      <c r="P587" s="124">
        <f t="shared" si="103"/>
        <v>6.8100000000000023</v>
      </c>
      <c r="Q587" s="124">
        <f t="shared" si="103"/>
        <v>-0.53000000000000114</v>
      </c>
      <c r="R587" s="124">
        <f>AVERAGE(J585:J587)</f>
        <v>8.2524999999999995</v>
      </c>
      <c r="S587" s="124">
        <f>AVERAGE(K585:K587)</f>
        <v>330.63333333333327</v>
      </c>
      <c r="T587" s="124">
        <f>AVERAGE(L585:L587)</f>
        <v>27.513333333333335</v>
      </c>
      <c r="U587" s="119">
        <v>8.7799999999999994</v>
      </c>
      <c r="V587" s="129" t="e">
        <f t="shared" si="93"/>
        <v>#DIV/0!</v>
      </c>
      <c r="W587" s="134" t="e">
        <f t="shared" si="97"/>
        <v>#DIV/0!</v>
      </c>
      <c r="X587" s="135" t="e">
        <f t="shared" si="98"/>
        <v>#DIV/0!</v>
      </c>
      <c r="Y587" s="134"/>
      <c r="Z587" s="135">
        <v>37.2211</v>
      </c>
      <c r="AA587" s="136">
        <f t="shared" si="95"/>
        <v>6.9448000000000008</v>
      </c>
      <c r="AB587" s="131">
        <v>30.276299999999999</v>
      </c>
      <c r="AC587" s="131">
        <f t="shared" si="96"/>
        <v>2.5462999999999987</v>
      </c>
      <c r="AD587" s="131">
        <v>30.463200000000001</v>
      </c>
      <c r="AE587" s="131">
        <f t="shared" si="92"/>
        <v>3.4288999999999987</v>
      </c>
      <c r="AF587" s="131">
        <v>33.892099999999999</v>
      </c>
      <c r="AG587" s="130">
        <f>'[6]Monthly Palm Oil'!$D214</f>
        <v>2775.3333333333335</v>
      </c>
      <c r="AH587" s="131">
        <f>'[6]Monthly Palm Oil'!$X214</f>
        <v>29.929849540045236</v>
      </c>
      <c r="AI587" s="131">
        <f t="shared" si="101"/>
        <v>-2.2398495400452347</v>
      </c>
      <c r="AM587" s="108">
        <v>0.3876350221000594</v>
      </c>
    </row>
    <row r="588" spans="1:39">
      <c r="A588" s="99">
        <v>43374</v>
      </c>
      <c r="B588" s="119" t="e">
        <f>'[4]Monthly Prices'!$CF228</f>
        <v>#DIV/0!</v>
      </c>
      <c r="C588" s="119">
        <v>313.95217391304357</v>
      </c>
      <c r="D588" s="119">
        <v>29.051739130434775</v>
      </c>
      <c r="E588" s="122" t="e">
        <f t="shared" si="105"/>
        <v>#DIV/0!</v>
      </c>
      <c r="F588" s="128" t="e">
        <f t="shared" si="102"/>
        <v>#DIV/0!</v>
      </c>
      <c r="G588" s="127" t="e">
        <f t="shared" si="104"/>
        <v>#DIV/0!</v>
      </c>
      <c r="J588" s="119">
        <v>8.1292000000000009</v>
      </c>
      <c r="K588" s="119">
        <v>319.14999999999998</v>
      </c>
      <c r="L588" s="119">
        <v>28.89</v>
      </c>
      <c r="M588" s="119">
        <f t="shared" si="99"/>
        <v>2.0699999999999985</v>
      </c>
      <c r="N588" s="128">
        <f t="shared" si="100"/>
        <v>0.31158326143226917</v>
      </c>
      <c r="O588" s="124" t="e">
        <f t="shared" si="103"/>
        <v>#DIV/0!</v>
      </c>
      <c r="P588" s="124">
        <f t="shared" si="103"/>
        <v>5.197826086956411</v>
      </c>
      <c r="Q588" s="124">
        <f t="shared" si="103"/>
        <v>-0.16173913043477484</v>
      </c>
      <c r="R588" s="124"/>
      <c r="S588" s="124"/>
      <c r="T588" s="124"/>
      <c r="U588" s="119">
        <v>8.59</v>
      </c>
      <c r="V588" s="129" t="e">
        <f t="shared" si="93"/>
        <v>#DIV/0!</v>
      </c>
      <c r="W588" s="134" t="e">
        <f t="shared" si="97"/>
        <v>#DIV/0!</v>
      </c>
      <c r="X588" s="135" t="e">
        <f t="shared" si="98"/>
        <v>#DIV/0!</v>
      </c>
      <c r="Y588" s="134"/>
      <c r="Z588" s="135">
        <v>39.1496</v>
      </c>
      <c r="AA588" s="136">
        <f t="shared" si="95"/>
        <v>7.7108999999999988</v>
      </c>
      <c r="AB588" s="131">
        <v>31.438700000000001</v>
      </c>
      <c r="AC588" s="131">
        <f t="shared" si="96"/>
        <v>2.5487000000000002</v>
      </c>
      <c r="AD588" s="131">
        <v>30.222200000000001</v>
      </c>
      <c r="AE588" s="131">
        <f t="shared" si="92"/>
        <v>4.5794999999999959</v>
      </c>
      <c r="AF588" s="131">
        <v>34.801699999999997</v>
      </c>
      <c r="AG588" s="130">
        <f>'[6]Monthly Palm Oil'!$D215</f>
        <v>2748.7619047619046</v>
      </c>
      <c r="AH588" s="131">
        <f>'[6]Monthly Palm Oil'!$X215</f>
        <v>29.487904649755954</v>
      </c>
      <c r="AI588" s="131">
        <f t="shared" si="101"/>
        <v>-1.167904649755954</v>
      </c>
      <c r="AM588" s="108">
        <v>0.3876350221000594</v>
      </c>
    </row>
    <row r="589" spans="1:39">
      <c r="A589" s="99">
        <v>43405</v>
      </c>
      <c r="B589" s="119" t="e">
        <f>'[4]Monthly Prices'!$CF229</f>
        <v>#DIV/0!</v>
      </c>
      <c r="C589" s="119">
        <v>307.31</v>
      </c>
      <c r="D589" s="119">
        <v>27.69</v>
      </c>
      <c r="E589" s="122" t="e">
        <f t="shared" si="105"/>
        <v>#DIV/0!</v>
      </c>
      <c r="F589" s="128" t="e">
        <f t="shared" si="102"/>
        <v>#DIV/0!</v>
      </c>
      <c r="G589" s="127" t="e">
        <f t="shared" si="104"/>
        <v>#DIV/0!</v>
      </c>
      <c r="J589" s="119">
        <v>8.4626000000000001</v>
      </c>
      <c r="K589" s="119">
        <v>310.61500000000001</v>
      </c>
      <c r="L589" s="119">
        <v>27.49</v>
      </c>
      <c r="M589" s="119">
        <f t="shared" si="99"/>
        <v>1.3948300000000007</v>
      </c>
      <c r="N589" s="128">
        <f t="shared" si="100"/>
        <v>0.3067635276131811</v>
      </c>
      <c r="O589" s="124" t="e">
        <f t="shared" si="103"/>
        <v>#DIV/0!</v>
      </c>
      <c r="P589" s="124">
        <f t="shared" si="103"/>
        <v>3.3050000000000068</v>
      </c>
      <c r="Q589" s="124">
        <f t="shared" si="103"/>
        <v>-0.20000000000000284</v>
      </c>
      <c r="R589" s="124"/>
      <c r="S589" s="124"/>
      <c r="T589" s="124"/>
      <c r="U589" s="119">
        <v>8.36</v>
      </c>
      <c r="V589" s="129" t="e">
        <f t="shared" si="93"/>
        <v>#DIV/0!</v>
      </c>
      <c r="W589" s="134" t="e">
        <f t="shared" si="97"/>
        <v>#DIV/0!</v>
      </c>
      <c r="X589" s="135" t="e">
        <f t="shared" si="98"/>
        <v>#DIV/0!</v>
      </c>
      <c r="Y589" s="134"/>
      <c r="Z589" s="135">
        <v>38.441000000000003</v>
      </c>
      <c r="AA589" s="136">
        <f t="shared" si="95"/>
        <v>7.4977000000000018</v>
      </c>
      <c r="AB589" s="131">
        <v>30.943300000000001</v>
      </c>
      <c r="AC589" s="131">
        <f t="shared" si="96"/>
        <v>3.4533000000000023</v>
      </c>
      <c r="AD589" s="131">
        <v>27.97</v>
      </c>
      <c r="AE589" s="131">
        <f t="shared" si="92"/>
        <v>6.4233000000000047</v>
      </c>
      <c r="AF589" s="131">
        <v>34.393300000000004</v>
      </c>
      <c r="AG589" s="130">
        <f>'[6]Monthly Palm Oil'!$D216</f>
        <v>2713</v>
      </c>
      <c r="AH589" s="131">
        <f>'[6]Monthly Palm Oil'!$X216</f>
        <v>29.507730552284276</v>
      </c>
      <c r="AI589" s="131">
        <f t="shared" si="101"/>
        <v>-0.50677817133190217</v>
      </c>
      <c r="AM589" s="108">
        <v>0.3876350221000594</v>
      </c>
    </row>
    <row r="590" spans="1:39">
      <c r="A590" s="99">
        <v>43435</v>
      </c>
      <c r="B590" s="119" t="e">
        <f>'[4]Monthly Prices'!$CF230</f>
        <v>#DIV/0!</v>
      </c>
      <c r="C590" s="119">
        <v>309.31</v>
      </c>
      <c r="D590" s="119">
        <v>28.32</v>
      </c>
      <c r="E590" s="122" t="e">
        <f t="shared" si="105"/>
        <v>#DIV/0!</v>
      </c>
      <c r="F590" s="128" t="e">
        <f t="shared" si="102"/>
        <v>#DIV/0!</v>
      </c>
      <c r="G590" s="127" t="e">
        <f t="shared" si="104"/>
        <v>#DIV/0!</v>
      </c>
      <c r="J590" s="119">
        <v>8.7370000000000001</v>
      </c>
      <c r="K590" s="119">
        <v>311.7</v>
      </c>
      <c r="L590" s="119">
        <v>28.14</v>
      </c>
      <c r="M590" s="119">
        <f t="shared" si="99"/>
        <v>1.2157999999999998</v>
      </c>
      <c r="N590" s="128">
        <f t="shared" si="100"/>
        <v>0.31100795755968169</v>
      </c>
      <c r="O590" s="124" t="e">
        <f t="shared" si="103"/>
        <v>#DIV/0!</v>
      </c>
      <c r="P590" s="124">
        <f t="shared" si="103"/>
        <v>2.3899999999999864</v>
      </c>
      <c r="Q590" s="124">
        <f t="shared" si="103"/>
        <v>-0.17999999999999972</v>
      </c>
      <c r="R590" s="124">
        <f>AVERAGE(J588:J590)</f>
        <v>8.4429333333333343</v>
      </c>
      <c r="S590" s="124">
        <f>AVERAGE(K588:K590)</f>
        <v>313.82166666666666</v>
      </c>
      <c r="T590" s="124">
        <f>AVERAGE(L588:L590)</f>
        <v>28.173333333333332</v>
      </c>
      <c r="U590" s="119">
        <v>8.56</v>
      </c>
      <c r="V590" s="129" t="e">
        <f t="shared" si="93"/>
        <v>#DIV/0!</v>
      </c>
      <c r="W590" s="134" t="e">
        <f t="shared" si="97"/>
        <v>#DIV/0!</v>
      </c>
      <c r="X590" s="135" t="e">
        <f t="shared" si="98"/>
        <v>#DIV/0!</v>
      </c>
      <c r="Y590" s="134"/>
      <c r="Z590" s="135">
        <v>39.072499999999998</v>
      </c>
      <c r="AA590" s="136">
        <f t="shared" si="95"/>
        <v>7.1999999999999993</v>
      </c>
      <c r="AB590" s="131">
        <v>31.872499999999999</v>
      </c>
      <c r="AC590" s="131">
        <f t="shared" si="96"/>
        <v>3.7324999999999982</v>
      </c>
      <c r="AD590" s="131">
        <v>27.580500000000001</v>
      </c>
      <c r="AE590" s="131">
        <f t="shared" si="92"/>
        <v>7.7419999999999973</v>
      </c>
      <c r="AF590" s="131">
        <v>35.322499999999998</v>
      </c>
      <c r="AG590" s="130">
        <f>'[6]Monthly Palm Oil'!$D217</f>
        <v>2501.7894736842104</v>
      </c>
      <c r="AH590" s="131">
        <f>'[6]Monthly Palm Oil'!$X217</f>
        <v>27.847894236298639</v>
      </c>
      <c r="AI590" s="131">
        <f t="shared" si="101"/>
        <v>2.382105763701361</v>
      </c>
      <c r="AM590" s="108">
        <v>0.3876350221000594</v>
      </c>
    </row>
    <row r="591" spans="1:39">
      <c r="A591" s="99">
        <v>43466</v>
      </c>
      <c r="B591" s="119" t="e">
        <f>'[4]Monthly Prices'!$CF231</f>
        <v>#DIV/0!</v>
      </c>
      <c r="C591" s="119">
        <v>314.51904761904763</v>
      </c>
      <c r="D591" s="119">
        <v>29.000952380952373</v>
      </c>
      <c r="E591" s="122" t="e">
        <f t="shared" si="105"/>
        <v>#DIV/0!</v>
      </c>
      <c r="F591" s="128" t="e">
        <f t="shared" si="102"/>
        <v>#DIV/0!</v>
      </c>
      <c r="G591" s="127" t="e">
        <f t="shared" si="104"/>
        <v>#DIV/0!</v>
      </c>
      <c r="J591" s="119">
        <v>8.8101000000000003</v>
      </c>
      <c r="K591" s="119">
        <v>314.92</v>
      </c>
      <c r="L591" s="119">
        <v>28.44</v>
      </c>
      <c r="M591" s="119">
        <f t="shared" si="99"/>
        <v>1.2465400000000013</v>
      </c>
      <c r="N591" s="128">
        <f t="shared" si="100"/>
        <v>0.31107805390269511</v>
      </c>
      <c r="O591" s="124" t="e">
        <f t="shared" si="103"/>
        <v>#DIV/0!</v>
      </c>
      <c r="P591" s="124">
        <f t="shared" si="103"/>
        <v>0.40095238095238983</v>
      </c>
      <c r="Q591" s="124">
        <f t="shared" si="103"/>
        <v>-0.56095238095237221</v>
      </c>
      <c r="U591" s="119">
        <v>8.64</v>
      </c>
      <c r="V591" s="129" t="e">
        <f t="shared" si="93"/>
        <v>#DIV/0!</v>
      </c>
      <c r="W591" s="134" t="e">
        <f>(SUM(V579,V567,V555,V543,V531)-MAX(V579,V567,V555,V543,V531)-MIN(V579,V567,V555,V543,V531))/3</f>
        <v>#DIV/0!</v>
      </c>
      <c r="X591" s="135" t="e">
        <f>V591-W591</f>
        <v>#DIV/0!</v>
      </c>
      <c r="Y591" s="134"/>
      <c r="Z591" s="135">
        <v>38.988999999999997</v>
      </c>
      <c r="AA591" s="136">
        <f t="shared" si="95"/>
        <v>6.6713999999999984</v>
      </c>
      <c r="AB591" s="131">
        <v>32.317599999999999</v>
      </c>
      <c r="AC591" s="131">
        <f t="shared" si="96"/>
        <v>3.8775999999999975</v>
      </c>
      <c r="AD591" s="131">
        <v>29.3429</v>
      </c>
      <c r="AE591" s="131">
        <f t="shared" si="92"/>
        <v>6.4675999999999974</v>
      </c>
      <c r="AF591" s="131">
        <v>35.810499999999998</v>
      </c>
      <c r="AG591" s="130">
        <f>'[6]Monthly Palm Oil'!$D218</f>
        <v>2533</v>
      </c>
      <c r="AH591" s="131">
        <f>'[6]Monthly Palm Oil'!$X218</f>
        <v>29.054520422360703</v>
      </c>
      <c r="AI591" s="131">
        <f t="shared" si="101"/>
        <v>0.32547957763929602</v>
      </c>
      <c r="AM591" s="108">
        <v>0.3876350221000594</v>
      </c>
    </row>
    <row r="592" spans="1:39">
      <c r="A592" s="99">
        <v>43497</v>
      </c>
      <c r="B592" s="119" t="e">
        <f>'[4]Monthly Prices'!$CF232</f>
        <v>#DIV/0!</v>
      </c>
      <c r="C592" s="119">
        <v>306.67</v>
      </c>
      <c r="D592" s="119">
        <v>30.23</v>
      </c>
      <c r="E592" s="122" t="e">
        <f t="shared" si="105"/>
        <v>#DIV/0!</v>
      </c>
      <c r="F592" s="128" t="e">
        <f t="shared" si="102"/>
        <v>#DIV/0!</v>
      </c>
      <c r="G592" s="127" t="e">
        <f t="shared" si="104"/>
        <v>#DIV/0!</v>
      </c>
      <c r="J592" s="119">
        <v>8.8405000000000005</v>
      </c>
      <c r="K592" s="119">
        <v>306.83</v>
      </c>
      <c r="L592" s="119">
        <v>29.58</v>
      </c>
      <c r="M592" s="119">
        <f t="shared" si="99"/>
        <v>1.1635599999999986</v>
      </c>
      <c r="N592" s="128">
        <f t="shared" si="100"/>
        <v>0.32524794933257101</v>
      </c>
      <c r="O592" s="124" t="e">
        <f t="shared" si="103"/>
        <v>#DIV/0!</v>
      </c>
      <c r="P592" s="124">
        <f t="shared" si="103"/>
        <v>0.15999999999996817</v>
      </c>
      <c r="Q592" s="124">
        <f t="shared" si="103"/>
        <v>-0.65000000000000213</v>
      </c>
      <c r="U592" s="119">
        <v>8.52</v>
      </c>
      <c r="V592" s="129" t="e">
        <f t="shared" si="93"/>
        <v>#DIV/0!</v>
      </c>
      <c r="W592" s="134" t="e">
        <f t="shared" si="97"/>
        <v>#DIV/0!</v>
      </c>
      <c r="X592" s="135" t="e">
        <f t="shared" si="98"/>
        <v>#DIV/0!</v>
      </c>
      <c r="Y592" s="134"/>
      <c r="Z592" s="135">
        <v>38.765300000000003</v>
      </c>
      <c r="AA592" s="136">
        <f t="shared" si="95"/>
        <v>5.8606000000000051</v>
      </c>
      <c r="AB592" s="131">
        <v>32.904699999999998</v>
      </c>
      <c r="AC592" s="131">
        <f t="shared" si="96"/>
        <v>3.3247</v>
      </c>
      <c r="AD592" s="131">
        <v>30.573699999999999</v>
      </c>
      <c r="AE592" s="131">
        <f t="shared" si="92"/>
        <v>6.3863000000000021</v>
      </c>
      <c r="AF592" s="131">
        <v>36.96</v>
      </c>
      <c r="AG592" s="130">
        <f>'[6]Monthly Palm Oil'!$D219</f>
        <v>2507.1176470588234</v>
      </c>
      <c r="AH592" s="131">
        <f>'[6]Monthly Palm Oil'!$X219</f>
        <v>29.07154439086337</v>
      </c>
      <c r="AI592" s="131">
        <f t="shared" si="101"/>
        <v>-0.51487772419670108</v>
      </c>
      <c r="AM592" s="108">
        <v>0.3876350221000594</v>
      </c>
    </row>
    <row r="593" spans="1:39">
      <c r="A593" s="99">
        <v>43525</v>
      </c>
      <c r="B593" s="119" t="e">
        <f>'[4]Monthly Prices'!$CF233</f>
        <v>#DIV/0!</v>
      </c>
      <c r="C593" s="119">
        <v>308.37</v>
      </c>
      <c r="D593" s="119">
        <v>29.38</v>
      </c>
      <c r="E593" s="122" t="e">
        <f t="shared" si="105"/>
        <v>#DIV/0!</v>
      </c>
      <c r="F593" s="128" t="e">
        <f t="shared" si="102"/>
        <v>#DIV/0!</v>
      </c>
      <c r="G593" s="127" t="e">
        <f t="shared" si="104"/>
        <v>#DIV/0!</v>
      </c>
      <c r="J593" s="119">
        <v>8.6904000000000003</v>
      </c>
      <c r="K593" s="119">
        <v>306.38</v>
      </c>
      <c r="L593" s="119">
        <v>28.62</v>
      </c>
      <c r="M593" s="119">
        <f t="shared" si="99"/>
        <v>1.1981599999999997</v>
      </c>
      <c r="N593" s="128">
        <f t="shared" si="100"/>
        <v>0.31836789178606389</v>
      </c>
      <c r="O593" s="124" t="e">
        <f t="shared" si="103"/>
        <v>#DIV/0!</v>
      </c>
      <c r="P593" s="124">
        <f t="shared" si="103"/>
        <v>-1.9900000000000091</v>
      </c>
      <c r="Q593" s="124">
        <f t="shared" si="103"/>
        <v>-0.75999999999999801</v>
      </c>
      <c r="R593" s="124">
        <f>AVERAGE(J591:J593)</f>
        <v>8.7803333333333331</v>
      </c>
      <c r="S593" s="124">
        <f>AVERAGE(K591:K593)</f>
        <v>309.37666666666667</v>
      </c>
      <c r="T593" s="124">
        <f>AVERAGE(L591:L593)</f>
        <v>28.88</v>
      </c>
      <c r="U593" s="119">
        <v>8.52</v>
      </c>
      <c r="V593" s="129" t="e">
        <f t="shared" si="93"/>
        <v>#DIV/0!</v>
      </c>
      <c r="W593" s="134" t="e">
        <f t="shared" si="97"/>
        <v>#DIV/0!</v>
      </c>
      <c r="X593" s="135" t="e">
        <f t="shared" si="98"/>
        <v>#DIV/0!</v>
      </c>
      <c r="Y593" s="134"/>
      <c r="Z593" s="135">
        <v>37.463799999999999</v>
      </c>
      <c r="AA593" s="136">
        <f t="shared" si="95"/>
        <v>5.6738</v>
      </c>
      <c r="AB593" s="131">
        <v>31.79</v>
      </c>
      <c r="AC593" s="131">
        <f t="shared" si="96"/>
        <v>3.1699999999999982</v>
      </c>
      <c r="AD593" s="131">
        <v>29.561</v>
      </c>
      <c r="AE593" s="131">
        <f t="shared" si="92"/>
        <v>6.4695000000000036</v>
      </c>
      <c r="AF593" s="131">
        <v>36.030500000000004</v>
      </c>
      <c r="AG593" s="130">
        <f>'[6]Monthly Palm Oil'!$D220</f>
        <v>2436.0476190476193</v>
      </c>
      <c r="AH593" s="131">
        <f>'[6]Monthly Palm Oil'!$X220</f>
        <v>28.309686047422062</v>
      </c>
      <c r="AI593" s="131">
        <f t="shared" si="101"/>
        <v>-1.0792315019675129</v>
      </c>
      <c r="AM593" s="108">
        <v>0.3876350221000594</v>
      </c>
    </row>
    <row r="594" spans="1:39">
      <c r="A594" s="99">
        <v>43556</v>
      </c>
      <c r="B594" s="119" t="e">
        <f>'[4]Monthly Prices'!$CF234</f>
        <v>#DIV/0!</v>
      </c>
      <c r="C594" s="119">
        <v>305.8095238095238</v>
      </c>
      <c r="D594" s="119">
        <v>28.556666666666668</v>
      </c>
      <c r="E594" s="122" t="e">
        <f t="shared" si="105"/>
        <v>#DIV/0!</v>
      </c>
      <c r="F594" s="128" t="e">
        <f t="shared" si="102"/>
        <v>#DIV/0!</v>
      </c>
      <c r="G594" s="127" t="e">
        <f t="shared" si="104"/>
        <v>#DIV/0!</v>
      </c>
      <c r="J594" s="119">
        <v>8.5669000000000004</v>
      </c>
      <c r="K594" s="119">
        <v>304.26</v>
      </c>
      <c r="L594" s="119">
        <v>27.86</v>
      </c>
      <c r="M594" s="119">
        <f t="shared" si="99"/>
        <v>1.191419999999999</v>
      </c>
      <c r="N594" s="128">
        <f t="shared" si="100"/>
        <v>0.3140499594192443</v>
      </c>
      <c r="O594" s="124" t="e">
        <f t="shared" si="103"/>
        <v>#DIV/0!</v>
      </c>
      <c r="P594" s="124">
        <f t="shared" si="103"/>
        <v>-1.5495238095238051</v>
      </c>
      <c r="Q594" s="124">
        <f t="shared" si="103"/>
        <v>-0.69666666666666899</v>
      </c>
      <c r="U594" s="119">
        <v>8.2799999999999994</v>
      </c>
      <c r="V594" s="129" t="e">
        <f t="shared" si="93"/>
        <v>#DIV/0!</v>
      </c>
      <c r="W594" s="134" t="e">
        <f t="shared" si="97"/>
        <v>#DIV/0!</v>
      </c>
      <c r="X594" s="135" t="e">
        <f t="shared" si="98"/>
        <v>#DIV/0!</v>
      </c>
      <c r="Y594" s="134"/>
      <c r="Z594" s="135">
        <v>35.592399999999998</v>
      </c>
      <c r="AA594" s="136">
        <f t="shared" si="95"/>
        <v>4.5642999999999994</v>
      </c>
      <c r="AB594" s="131">
        <v>31.028099999999998</v>
      </c>
      <c r="AC594" s="131">
        <f t="shared" si="96"/>
        <v>3.168099999999999</v>
      </c>
      <c r="AD594" s="131">
        <v>29.290500000000002</v>
      </c>
      <c r="AE594" s="131">
        <f t="shared" si="92"/>
        <v>5.6471000000000018</v>
      </c>
      <c r="AF594" s="131">
        <v>34.937600000000003</v>
      </c>
      <c r="AG594" s="130">
        <f>'[6]Monthly Palm Oil'!$D221</f>
        <v>2419.5714285714284</v>
      </c>
      <c r="AH594" s="131">
        <f>'[6]Monthly Palm Oil'!$X221</f>
        <v>28.248062820544678</v>
      </c>
      <c r="AI594" s="131">
        <f t="shared" si="101"/>
        <v>-0.39806282054467701</v>
      </c>
      <c r="AM594" s="108">
        <v>0.3876350221000594</v>
      </c>
    </row>
    <row r="595" spans="1:39">
      <c r="A595" s="99">
        <v>43586</v>
      </c>
      <c r="B595" s="119" t="e">
        <f>'[4]Monthly Prices'!$CF235</f>
        <v>#DIV/0!</v>
      </c>
      <c r="C595" s="119">
        <v>300.2227272727273</v>
      </c>
      <c r="D595" s="119">
        <v>27.230454545454549</v>
      </c>
      <c r="E595" s="122" t="e">
        <f t="shared" si="105"/>
        <v>#DIV/0!</v>
      </c>
      <c r="F595" s="128" t="e">
        <f t="shared" si="102"/>
        <v>#DIV/0!</v>
      </c>
      <c r="G595" s="127" t="e">
        <f t="shared" si="104"/>
        <v>#DIV/0!</v>
      </c>
      <c r="J595" s="119">
        <v>8.0755999999999997</v>
      </c>
      <c r="K595" s="119">
        <v>297.52</v>
      </c>
      <c r="L595" s="119">
        <v>26.93</v>
      </c>
      <c r="M595" s="119">
        <f t="shared" si="99"/>
        <v>1.4321400000000004</v>
      </c>
      <c r="N595" s="128">
        <f t="shared" si="100"/>
        <v>0.31156720734895987</v>
      </c>
      <c r="O595" s="124" t="e">
        <f t="shared" si="103"/>
        <v>#DIV/0!</v>
      </c>
      <c r="P595" s="124">
        <f t="shared" si="103"/>
        <v>-2.7027272727273157</v>
      </c>
      <c r="Q595" s="124">
        <f t="shared" si="103"/>
        <v>-0.3004545454545493</v>
      </c>
      <c r="U595" s="119">
        <v>8.02</v>
      </c>
      <c r="V595" s="129" t="e">
        <f t="shared" si="93"/>
        <v>#DIV/0!</v>
      </c>
      <c r="W595" s="134" t="e">
        <f t="shared" si="97"/>
        <v>#DIV/0!</v>
      </c>
      <c r="X595" s="135" t="e">
        <f t="shared" si="98"/>
        <v>#DIV/0!</v>
      </c>
      <c r="Y595" s="134"/>
      <c r="Z595" s="135">
        <v>34.980499999999999</v>
      </c>
      <c r="AA595" s="136">
        <f t="shared" si="95"/>
        <v>4.8491</v>
      </c>
      <c r="AB595" s="131">
        <v>30.131399999999999</v>
      </c>
      <c r="AC595" s="131">
        <f t="shared" si="96"/>
        <v>3.2013999999999996</v>
      </c>
      <c r="AD595" s="131">
        <v>28.909099999999999</v>
      </c>
      <c r="AE595" s="131">
        <f t="shared" si="92"/>
        <v>5.1622999999999983</v>
      </c>
      <c r="AF595" s="131">
        <v>34.071399999999997</v>
      </c>
      <c r="AG595" s="130">
        <f>'[6]Monthly Palm Oil'!$D222</f>
        <v>2420.294117647059</v>
      </c>
      <c r="AH595" s="131">
        <f>'[6]Monthly Palm Oil'!$X222</f>
        <v>27.711414386610038</v>
      </c>
      <c r="AI595" s="131">
        <f t="shared" si="101"/>
        <v>0.34358561338995841</v>
      </c>
      <c r="AM595" s="108">
        <v>0.3876350221000594</v>
      </c>
    </row>
    <row r="596" spans="1:39">
      <c r="A596" s="99">
        <v>43617</v>
      </c>
      <c r="B596" s="119" t="e">
        <f>'[4]Monthly Prices'!$CF236</f>
        <v>#DIV/0!</v>
      </c>
      <c r="C596" s="119">
        <v>317.69</v>
      </c>
      <c r="D596" s="119">
        <v>27.85</v>
      </c>
      <c r="E596" s="122" t="e">
        <f t="shared" si="105"/>
        <v>#DIV/0!</v>
      </c>
      <c r="F596" s="128" t="e">
        <f t="shared" si="102"/>
        <v>#DIV/0!</v>
      </c>
      <c r="G596" s="127" t="e">
        <f t="shared" si="104"/>
        <v>#DIV/0!</v>
      </c>
      <c r="H596" s="136"/>
      <c r="J596" s="119">
        <v>8.7926000000000002</v>
      </c>
      <c r="K596" s="119">
        <v>324.75</v>
      </c>
      <c r="L596" s="119">
        <v>28.24</v>
      </c>
      <c r="M596" s="119">
        <f t="shared" si="99"/>
        <v>1.4582999999999995</v>
      </c>
      <c r="N596" s="128">
        <f t="shared" si="100"/>
        <v>0.3030368065243052</v>
      </c>
      <c r="O596" s="124" t="e">
        <f t="shared" si="103"/>
        <v>#DIV/0!</v>
      </c>
      <c r="P596" s="124">
        <f t="shared" si="103"/>
        <v>7.0600000000000023</v>
      </c>
      <c r="Q596" s="124">
        <f t="shared" si="103"/>
        <v>0.38999999999999702</v>
      </c>
      <c r="R596" s="124">
        <f>AVERAGE(J594:J596)</f>
        <v>8.4783666666666662</v>
      </c>
      <c r="S596" s="124">
        <f>AVERAGE(K594:K596)</f>
        <v>308.84333333333331</v>
      </c>
      <c r="T596" s="124">
        <f>AVERAGE(L594:L596)</f>
        <v>27.676666666666666</v>
      </c>
      <c r="U596" s="119">
        <v>8.31</v>
      </c>
      <c r="V596" s="129" t="e">
        <f t="shared" si="93"/>
        <v>#DIV/0!</v>
      </c>
      <c r="W596" s="134" t="e">
        <f t="shared" si="97"/>
        <v>#DIV/0!</v>
      </c>
      <c r="X596" s="135" t="e">
        <f t="shared" si="98"/>
        <v>#DIV/0!</v>
      </c>
      <c r="Y596" s="134"/>
      <c r="Z596" s="135">
        <v>35.603000000000002</v>
      </c>
      <c r="AA596" s="136">
        <f t="shared" si="95"/>
        <v>4.2125000000000021</v>
      </c>
      <c r="AB596" s="131">
        <v>31.390499999999999</v>
      </c>
      <c r="AC596" s="131">
        <f t="shared" si="96"/>
        <v>3.150500000000001</v>
      </c>
      <c r="AD596" s="131">
        <v>28.454999999999998</v>
      </c>
      <c r="AE596" s="131">
        <f t="shared" si="92"/>
        <v>6.5480000000000018</v>
      </c>
      <c r="AF596" s="131">
        <v>35.003</v>
      </c>
      <c r="AG596" s="130">
        <f>'[6]Monthly Palm Oil'!$D223</f>
        <v>2331.6</v>
      </c>
      <c r="AH596" s="131">
        <f>'[6]Monthly Palm Oil'!$X223</f>
        <v>26.455787876954997</v>
      </c>
      <c r="AI596" s="131">
        <f t="shared" si="101"/>
        <v>2.1142121230450002</v>
      </c>
      <c r="AM596" s="108">
        <v>0.3876350221000594</v>
      </c>
    </row>
    <row r="597" spans="1:39">
      <c r="A597" s="99">
        <v>43647</v>
      </c>
      <c r="B597" s="119" t="e">
        <f>'[4]Monthly Prices'!$CF237</f>
        <v>#DIV/0!</v>
      </c>
      <c r="C597" s="119">
        <v>307.09999999999997</v>
      </c>
      <c r="D597" s="119">
        <v>28.054999999999996</v>
      </c>
      <c r="E597" s="122" t="e">
        <f t="shared" si="105"/>
        <v>#DIV/0!</v>
      </c>
      <c r="F597" s="128" t="e">
        <f t="shared" si="102"/>
        <v>#DIV/0!</v>
      </c>
      <c r="G597" s="127" t="e">
        <f t="shared" si="104"/>
        <v>#DIV/0!</v>
      </c>
      <c r="H597" s="136"/>
      <c r="J597" s="119">
        <v>8.9088999999999992</v>
      </c>
      <c r="K597" s="119">
        <v>310.77</v>
      </c>
      <c r="L597" s="119">
        <v>27.68</v>
      </c>
      <c r="M597" s="119">
        <f t="shared" si="99"/>
        <v>0.97284000000000148</v>
      </c>
      <c r="N597" s="128">
        <f t="shared" si="100"/>
        <v>0.30812387292116566</v>
      </c>
      <c r="O597" s="124" t="e">
        <f t="shared" si="103"/>
        <v>#DIV/0!</v>
      </c>
      <c r="P597" s="124">
        <f t="shared" si="103"/>
        <v>3.6700000000000159</v>
      </c>
      <c r="Q597" s="124">
        <f t="shared" si="103"/>
        <v>-0.37499999999999645</v>
      </c>
      <c r="U597" s="119">
        <v>8.3800000000000008</v>
      </c>
      <c r="V597" s="129" t="e">
        <f t="shared" si="93"/>
        <v>#DIV/0!</v>
      </c>
      <c r="W597" s="134" t="e">
        <f t="shared" si="97"/>
        <v>#DIV/0!</v>
      </c>
      <c r="X597" s="135" t="e">
        <f t="shared" si="98"/>
        <v>#DIV/0!</v>
      </c>
      <c r="Y597" s="134"/>
      <c r="Z597" s="135">
        <v>35.486800000000002</v>
      </c>
      <c r="AA597" s="136">
        <f t="shared" si="95"/>
        <v>4.063600000000001</v>
      </c>
      <c r="AB597" s="131">
        <v>31.423200000000001</v>
      </c>
      <c r="AC597" s="131">
        <f t="shared" si="96"/>
        <v>3.7432000000000016</v>
      </c>
      <c r="AD597" s="131">
        <v>27.679500000000001</v>
      </c>
      <c r="AE597" s="131">
        <f t="shared" si="92"/>
        <v>7.4096000000000011</v>
      </c>
      <c r="AF597" s="131">
        <v>35.089100000000002</v>
      </c>
      <c r="AG597" s="130">
        <f>'[6]Monthly Palm Oil'!$D224</f>
        <v>2211.6190476190477</v>
      </c>
      <c r="AH597" s="131">
        <f>'[6]Monthly Palm Oil'!$X224</f>
        <v>24.783811262716409</v>
      </c>
      <c r="AI597" s="131">
        <f t="shared" si="101"/>
        <v>4.2791887372835973</v>
      </c>
      <c r="AM597" s="108">
        <v>0.3876350221000594</v>
      </c>
    </row>
    <row r="598" spans="1:39">
      <c r="A598" s="99">
        <v>43678</v>
      </c>
      <c r="B598" s="119" t="e">
        <f>'[4]Monthly Prices'!$CF238</f>
        <v>#DIV/0!</v>
      </c>
      <c r="C598" s="119">
        <v>294.19090909090909</v>
      </c>
      <c r="D598" s="119">
        <v>28.569999999999997</v>
      </c>
      <c r="E598" s="122" t="e">
        <f t="shared" si="105"/>
        <v>#DIV/0!</v>
      </c>
      <c r="F598" s="128" t="e">
        <f t="shared" si="102"/>
        <v>#DIV/0!</v>
      </c>
      <c r="G598" s="127" t="e">
        <f t="shared" si="104"/>
        <v>#DIV/0!</v>
      </c>
      <c r="H598" s="136"/>
      <c r="J598" s="119">
        <v>8.5381</v>
      </c>
      <c r="K598" s="119">
        <v>296.92</v>
      </c>
      <c r="L598" s="119">
        <v>28.41</v>
      </c>
      <c r="M598" s="119">
        <f t="shared" si="99"/>
        <v>1.1192400000000013</v>
      </c>
      <c r="N598" s="128">
        <f t="shared" si="100"/>
        <v>0.32359842358247715</v>
      </c>
      <c r="O598" s="124" t="e">
        <f t="shared" si="103"/>
        <v>#DIV/0!</v>
      </c>
      <c r="P598" s="124">
        <f t="shared" si="103"/>
        <v>2.7290909090909281</v>
      </c>
      <c r="Q598" s="124">
        <f t="shared" si="103"/>
        <v>-0.15999999999999659</v>
      </c>
      <c r="U598" s="119">
        <v>8.2200000000000006</v>
      </c>
      <c r="V598" s="129" t="e">
        <f t="shared" si="93"/>
        <v>#DIV/0!</v>
      </c>
      <c r="W598" s="134" t="e">
        <f t="shared" si="97"/>
        <v>#DIV/0!</v>
      </c>
      <c r="X598" s="135" t="e">
        <f t="shared" si="98"/>
        <v>#DIV/0!</v>
      </c>
      <c r="Y598" s="134"/>
      <c r="Z598" s="135">
        <v>36.638199999999998</v>
      </c>
      <c r="AA598" s="136">
        <f t="shared" si="95"/>
        <v>5.1172999999999966</v>
      </c>
      <c r="AB598" s="131">
        <v>31.520900000000001</v>
      </c>
      <c r="AC598" s="131">
        <f t="shared" si="96"/>
        <v>3.1109000000000009</v>
      </c>
      <c r="AD598" s="131">
        <v>29.2773</v>
      </c>
      <c r="AE598" s="131">
        <f t="shared" si="92"/>
        <v>6.9745000000000026</v>
      </c>
      <c r="AF598" s="131">
        <v>36.251800000000003</v>
      </c>
      <c r="AG598" s="130">
        <f>'[6]Monthly Palm Oil'!$D225</f>
        <v>2222.6190476190477</v>
      </c>
      <c r="AH598" s="131">
        <f>'[6]Monthly Palm Oil'!$X225</f>
        <v>24.645110529033278</v>
      </c>
      <c r="AI598" s="131">
        <f t="shared" si="101"/>
        <v>5.6348894709667228</v>
      </c>
      <c r="AM598" s="108">
        <v>0.3876350221000594</v>
      </c>
    </row>
    <row r="599" spans="1:39">
      <c r="A599" s="99">
        <v>43709</v>
      </c>
      <c r="B599" s="119" t="e">
        <f>'[4]Monthly Prices'!$CF239</f>
        <v>#DIV/0!</v>
      </c>
      <c r="C599" s="119">
        <v>293.00499999999994</v>
      </c>
      <c r="D599" s="119">
        <v>29.063000000000006</v>
      </c>
      <c r="E599" s="122" t="e">
        <f t="shared" si="105"/>
        <v>#DIV/0!</v>
      </c>
      <c r="F599" s="128" t="e">
        <f t="shared" si="102"/>
        <v>#DIV/0!</v>
      </c>
      <c r="G599" s="127" t="e">
        <f t="shared" si="104"/>
        <v>#DIV/0!</v>
      </c>
      <c r="H599" s="136"/>
      <c r="J599" s="119">
        <v>8.5745000000000005</v>
      </c>
      <c r="K599" s="119">
        <v>295.57</v>
      </c>
      <c r="L599" s="119">
        <v>28.81</v>
      </c>
      <c r="M599" s="119">
        <f t="shared" si="99"/>
        <v>1.0971399999999996</v>
      </c>
      <c r="N599" s="128">
        <f t="shared" si="100"/>
        <v>0.32766935080296616</v>
      </c>
      <c r="O599" s="124" t="e">
        <f t="shared" si="103"/>
        <v>#DIV/0!</v>
      </c>
      <c r="P599" s="124">
        <f t="shared" si="103"/>
        <v>2.5650000000000546</v>
      </c>
      <c r="Q599" s="124">
        <f t="shared" si="103"/>
        <v>-0.25300000000000722</v>
      </c>
      <c r="R599" s="124">
        <f>AVERAGE(J597:J599)</f>
        <v>8.6738333333333326</v>
      </c>
      <c r="S599" s="124">
        <f>AVERAGE(K597:K599)</f>
        <v>301.08666666666664</v>
      </c>
      <c r="T599" s="124">
        <f>AVERAGE(L597:L599)</f>
        <v>28.3</v>
      </c>
      <c r="U599" s="119">
        <v>8.35</v>
      </c>
      <c r="V599" s="129" t="e">
        <f t="shared" si="93"/>
        <v>#DIV/0!</v>
      </c>
      <c r="W599" s="134" t="e">
        <f t="shared" si="97"/>
        <v>#DIV/0!</v>
      </c>
      <c r="X599" s="135" t="e">
        <f t="shared" si="98"/>
        <v>#DIV/0!</v>
      </c>
      <c r="Y599" s="134"/>
      <c r="Z599" s="135">
        <v>37.350499999999997</v>
      </c>
      <c r="AA599" s="136">
        <f t="shared" si="95"/>
        <v>5.3874999999999957</v>
      </c>
      <c r="AB599" s="131">
        <v>31.963000000000001</v>
      </c>
      <c r="AC599" s="131">
        <f t="shared" si="96"/>
        <v>3.1530000000000022</v>
      </c>
      <c r="AD599" s="131">
        <v>29.465499999999999</v>
      </c>
      <c r="AE599" s="131">
        <f t="shared" si="92"/>
        <v>7.197499999999998</v>
      </c>
      <c r="AF599" s="131">
        <v>36.662999999999997</v>
      </c>
      <c r="AG599" s="130">
        <f>'[6]Monthly Palm Oil'!$D226</f>
        <v>2208.3125</v>
      </c>
      <c r="AH599" s="131">
        <f>'[6]Monthly Palm Oil'!$X226</f>
        <v>24.204469492076978</v>
      </c>
      <c r="AI599" s="131">
        <f t="shared" si="101"/>
        <v>6.7535305079230206</v>
      </c>
      <c r="AM599" s="108">
        <v>0.3876350221000594</v>
      </c>
    </row>
    <row r="600" spans="1:39">
      <c r="A600" s="99">
        <v>43739</v>
      </c>
      <c r="B600" s="119" t="e">
        <f>'[4]Monthly Prices'!$CF240</f>
        <v>#DIV/0!</v>
      </c>
      <c r="C600" s="119">
        <v>306.21739130434787</v>
      </c>
      <c r="D600" s="119">
        <v>30.28</v>
      </c>
      <c r="E600" s="122" t="e">
        <f>(C600/2000*44)+(D600/100*11)-B600</f>
        <v>#DIV/0!</v>
      </c>
      <c r="F600" s="128" t="e">
        <f t="shared" si="102"/>
        <v>#DIV/0!</v>
      </c>
      <c r="G600" s="127" t="e">
        <f t="shared" si="104"/>
        <v>#DIV/0!</v>
      </c>
      <c r="H600" s="136"/>
      <c r="J600" s="119">
        <v>9.0675000000000008</v>
      </c>
      <c r="K600" s="119">
        <v>309.48</v>
      </c>
      <c r="L600" s="119">
        <v>30.14</v>
      </c>
      <c r="M600" s="119">
        <f t="shared" si="99"/>
        <v>1.0564599999999995</v>
      </c>
      <c r="N600" s="128">
        <f t="shared" si="100"/>
        <v>0.32748055108870439</v>
      </c>
      <c r="O600" s="124" t="e">
        <f t="shared" si="103"/>
        <v>#DIV/0!</v>
      </c>
      <c r="P600" s="124">
        <f t="shared" si="103"/>
        <v>3.2626086956521476</v>
      </c>
      <c r="Q600" s="124">
        <f t="shared" si="103"/>
        <v>-0.14000000000000057</v>
      </c>
      <c r="R600" s="124"/>
      <c r="S600" s="124"/>
      <c r="T600" s="124"/>
      <c r="U600" s="119">
        <v>8.6</v>
      </c>
      <c r="V600" s="129" t="e">
        <f t="shared" si="93"/>
        <v>#DIV/0!</v>
      </c>
      <c r="W600" s="134" t="e">
        <f t="shared" si="97"/>
        <v>#DIV/0!</v>
      </c>
      <c r="X600" s="135" t="e">
        <f t="shared" si="98"/>
        <v>#DIV/0!</v>
      </c>
      <c r="Y600" s="134"/>
      <c r="Z600" s="135">
        <v>38.78</v>
      </c>
      <c r="AA600" s="136">
        <f t="shared" si="95"/>
        <v>5.5108999999999995</v>
      </c>
      <c r="AB600" s="131">
        <v>33.269100000000002</v>
      </c>
      <c r="AC600" s="131">
        <f t="shared" si="96"/>
        <v>3.1291000000000011</v>
      </c>
      <c r="AD600" s="131">
        <v>29.347799999999999</v>
      </c>
      <c r="AE600" s="131">
        <f t="shared" ref="AE600:AE609" si="106">AF600-AD600</f>
        <v>8.1822000000000017</v>
      </c>
      <c r="AF600" s="131">
        <v>37.53</v>
      </c>
      <c r="AG600" s="130">
        <f>'[6]Monthly Palm Oil'!$D227</f>
        <v>2197.9565217391305</v>
      </c>
      <c r="AH600" s="131">
        <f>'[6]Monthly Palm Oil'!$X227</f>
        <v>23.98439479051769</v>
      </c>
      <c r="AI600" s="131">
        <f t="shared" si="101"/>
        <v>8.7051290190061223</v>
      </c>
      <c r="AM600" s="108">
        <v>0.3876350221000594</v>
      </c>
    </row>
    <row r="601" spans="1:39">
      <c r="A601" s="99">
        <v>43770</v>
      </c>
      <c r="B601" s="119" t="e">
        <f>'[4]Monthly Prices'!$CF241</f>
        <v>#DIV/0!</v>
      </c>
      <c r="C601" s="119">
        <v>300.81499999999994</v>
      </c>
      <c r="D601" s="119">
        <v>30.957999999999998</v>
      </c>
      <c r="E601" s="122" t="e">
        <f t="shared" ref="E601:E664" si="107">(C601/2000*44)+(D601/100*11)-B601</f>
        <v>#DIV/0!</v>
      </c>
      <c r="F601" s="128" t="e">
        <f t="shared" si="102"/>
        <v>#DIV/0!</v>
      </c>
      <c r="G601" s="127" t="e">
        <f t="shared" si="104"/>
        <v>#DIV/0!</v>
      </c>
      <c r="H601" s="136"/>
      <c r="J601" s="119">
        <v>9.1286000000000005</v>
      </c>
      <c r="K601" s="119">
        <v>303.13</v>
      </c>
      <c r="L601" s="119">
        <v>30.62</v>
      </c>
      <c r="M601" s="119">
        <f t="shared" si="99"/>
        <v>0.90845999999999982</v>
      </c>
      <c r="N601" s="128">
        <f t="shared" si="100"/>
        <v>0.33557635403195757</v>
      </c>
      <c r="O601" s="124" t="e">
        <f t="shared" si="103"/>
        <v>#DIV/0!</v>
      </c>
      <c r="P601" s="124">
        <f t="shared" si="103"/>
        <v>2.3150000000000546</v>
      </c>
      <c r="Q601" s="124">
        <f t="shared" si="103"/>
        <v>-0.33799999999999741</v>
      </c>
      <c r="R601" s="124"/>
      <c r="S601" s="124"/>
      <c r="T601" s="124"/>
      <c r="U601" s="119">
        <v>8.59</v>
      </c>
      <c r="V601" s="129" t="e">
        <f t="shared" si="93"/>
        <v>#DIV/0!</v>
      </c>
      <c r="W601" s="134" t="e">
        <f t="shared" si="97"/>
        <v>#DIV/0!</v>
      </c>
      <c r="X601" s="135" t="e">
        <f t="shared" si="98"/>
        <v>#DIV/0!</v>
      </c>
      <c r="Y601" s="134"/>
      <c r="Z601" s="135">
        <v>37.582999999999998</v>
      </c>
      <c r="AA601" s="136">
        <f t="shared" si="95"/>
        <v>3.8164999999999978</v>
      </c>
      <c r="AB601" s="131">
        <v>33.766500000000001</v>
      </c>
      <c r="AC601" s="131">
        <f t="shared" si="96"/>
        <v>3.1464999999999996</v>
      </c>
      <c r="AD601" s="131">
        <v>32.612499999999997</v>
      </c>
      <c r="AE601" s="131">
        <f t="shared" si="106"/>
        <v>5.4455000000000027</v>
      </c>
      <c r="AF601" s="131">
        <v>38.058</v>
      </c>
      <c r="AG601" s="130">
        <f>'[6]Monthly Palm Oil'!$D228</f>
        <v>2035.578947368421</v>
      </c>
      <c r="AH601" s="131">
        <f>'[6]Monthly Palm Oil'!$X228</f>
        <v>22.075147832850618</v>
      </c>
      <c r="AI601" s="131">
        <f t="shared" si="101"/>
        <v>11.075804548101765</v>
      </c>
      <c r="AM601" s="108">
        <v>0.3876350221000594</v>
      </c>
    </row>
    <row r="602" spans="1:39">
      <c r="A602" s="99">
        <v>43800</v>
      </c>
      <c r="B602" s="119" t="e">
        <f>'[4]Monthly Prices'!$CF242</f>
        <v>#DIV/0!</v>
      </c>
      <c r="C602" s="119">
        <v>298.44285714285712</v>
      </c>
      <c r="D602" s="119">
        <v>32.689523809523813</v>
      </c>
      <c r="E602" s="122" t="e">
        <f t="shared" si="107"/>
        <v>#DIV/0!</v>
      </c>
      <c r="F602" s="128" t="e">
        <f t="shared" si="102"/>
        <v>#DIV/0!</v>
      </c>
      <c r="G602" s="127" t="e">
        <f t="shared" si="104"/>
        <v>#DIV/0!</v>
      </c>
      <c r="H602" s="136"/>
      <c r="J602" s="119">
        <v>9.2477</v>
      </c>
      <c r="K602" s="119">
        <v>299.58999999999997</v>
      </c>
      <c r="L602" s="119">
        <v>32.270000000000003</v>
      </c>
      <c r="M602" s="119">
        <f t="shared" si="99"/>
        <v>0.89297999999999966</v>
      </c>
      <c r="N602" s="128">
        <f t="shared" si="100"/>
        <v>0.3500455590749339</v>
      </c>
      <c r="O602" s="124" t="e">
        <f t="shared" si="103"/>
        <v>#DIV/0!</v>
      </c>
      <c r="P602" s="124">
        <f t="shared" si="103"/>
        <v>1.1471428571428532</v>
      </c>
      <c r="Q602" s="124">
        <f t="shared" si="103"/>
        <v>-0.41952380952380963</v>
      </c>
      <c r="R602" s="124">
        <f>AVERAGE(J600:J602)</f>
        <v>9.1479333333333344</v>
      </c>
      <c r="S602" s="124">
        <f>AVERAGE(K600:K602)</f>
        <v>304.06666666666666</v>
      </c>
      <c r="T602" s="124">
        <f>AVERAGE(L600:L602)</f>
        <v>31.01</v>
      </c>
      <c r="U602" s="119">
        <v>8.6999999999999993</v>
      </c>
      <c r="V602" s="129" t="e">
        <f t="shared" si="93"/>
        <v>#DIV/0!</v>
      </c>
      <c r="W602" s="134" t="e">
        <f>(SUM(V590,V578,V566,V554,V542)-MAX(V590,V578,V566,V554,V542)-MIN(V590,V578,V566,V554,V542))/3</f>
        <v>#DIV/0!</v>
      </c>
      <c r="X602" s="135" t="e">
        <f t="shared" si="98"/>
        <v>#DIV/0!</v>
      </c>
      <c r="Y602" s="134"/>
      <c r="Z602" s="135">
        <v>38.439500000000002</v>
      </c>
      <c r="AA602" s="136">
        <f t="shared" si="95"/>
        <v>3.0571000000000055</v>
      </c>
      <c r="AB602" s="131">
        <v>35.382399999999997</v>
      </c>
      <c r="AC602" s="131">
        <f t="shared" si="96"/>
        <v>3.1123999999999938</v>
      </c>
      <c r="AD602" s="131">
        <v>36.591700000000003</v>
      </c>
      <c r="AE602" s="131">
        <f t="shared" si="106"/>
        <v>3.2049999999999983</v>
      </c>
      <c r="AF602" s="131">
        <v>39.796700000000001</v>
      </c>
      <c r="AG602" s="130">
        <f>'[6]Monthly Palm Oil'!$D229</f>
        <v>2079.3000000000002</v>
      </c>
      <c r="AH602" s="131">
        <f>'[6]Monthly Palm Oil'!$X229</f>
        <v>22.624566418741566</v>
      </c>
      <c r="AI602" s="131">
        <f t="shared" si="101"/>
        <v>7.6238546338900157</v>
      </c>
      <c r="AM602" s="108">
        <v>0.3876350221000594</v>
      </c>
    </row>
    <row r="603" spans="1:39">
      <c r="A603" s="99">
        <v>43831</v>
      </c>
      <c r="B603" s="119" t="e">
        <f>'[4]Monthly Prices'!$CF243</f>
        <v>#DIV/0!</v>
      </c>
      <c r="C603" s="119">
        <v>299.63809523809527</v>
      </c>
      <c r="D603" s="119">
        <v>33.150952380952383</v>
      </c>
      <c r="E603" s="122" t="e">
        <f t="shared" si="107"/>
        <v>#DIV/0!</v>
      </c>
      <c r="F603" s="128" t="e">
        <f t="shared" si="102"/>
        <v>#DIV/0!</v>
      </c>
      <c r="G603" s="127" t="e">
        <f t="shared" si="104"/>
        <v>#DIV/0!</v>
      </c>
      <c r="H603" s="136"/>
      <c r="J603" s="119">
        <v>9.2695000000000007</v>
      </c>
      <c r="K603" s="119">
        <v>300.11</v>
      </c>
      <c r="L603" s="119">
        <v>33.04</v>
      </c>
      <c r="M603" s="119">
        <f t="shared" si="99"/>
        <v>0.96731999999999907</v>
      </c>
      <c r="N603" s="128">
        <f t="shared" si="100"/>
        <v>0.35503212911822224</v>
      </c>
      <c r="O603" s="124" t="e">
        <f t="shared" si="103"/>
        <v>#DIV/0!</v>
      </c>
      <c r="P603" s="124">
        <f t="shared" si="103"/>
        <v>0.47190476190473873</v>
      </c>
      <c r="Q603" s="124">
        <f t="shared" si="103"/>
        <v>-0.11095238095238358</v>
      </c>
      <c r="R603" s="124"/>
      <c r="S603" s="124"/>
      <c r="T603" s="124"/>
      <c r="U603" s="119">
        <v>8.84</v>
      </c>
      <c r="V603" s="129" t="e">
        <f t="shared" ref="V603:V622" si="108">U603-B603</f>
        <v>#DIV/0!</v>
      </c>
      <c r="W603" s="134" t="e">
        <f t="shared" ref="W603:W666" si="109">(SUM(V591,V579,V567,V555,V543)-MAX(V591,V579,V567,V555,V543)-MIN(V591,V579,V567,V555,V543))/3</f>
        <v>#DIV/0!</v>
      </c>
      <c r="X603" s="135" t="e">
        <f t="shared" si="98"/>
        <v>#DIV/0!</v>
      </c>
      <c r="Y603" s="134"/>
      <c r="Z603" s="135">
        <v>38.566699999999997</v>
      </c>
      <c r="AA603" s="136">
        <f t="shared" si="95"/>
        <v>2.4737999999999971</v>
      </c>
      <c r="AB603" s="131">
        <v>36.0929</v>
      </c>
      <c r="AC603" s="131">
        <f t="shared" si="96"/>
        <v>3.0529000000000011</v>
      </c>
      <c r="AD603" s="131">
        <v>38.9405</v>
      </c>
      <c r="AE603" s="131">
        <f t="shared" si="106"/>
        <v>2.1905000000000001</v>
      </c>
      <c r="AF603" s="131">
        <v>41.131</v>
      </c>
      <c r="AG603" s="130">
        <f>'[6]Monthly Palm Oil'!$D230</f>
        <v>2217.5238095238096</v>
      </c>
      <c r="AH603" s="131">
        <f>'[6]Monthly Palm Oil'!$X230</f>
        <v>24.443202095215742</v>
      </c>
      <c r="AI603" s="131">
        <f t="shared" si="101"/>
        <v>2.5745251775115285</v>
      </c>
      <c r="AM603" s="108">
        <v>0.3876350221000594</v>
      </c>
    </row>
    <row r="604" spans="1:39">
      <c r="A604" s="99">
        <v>43862</v>
      </c>
      <c r="B604" s="119" t="e">
        <f>'[4]Monthly Prices'!$CF244</f>
        <v>#DIV/0!</v>
      </c>
      <c r="C604" s="119">
        <v>290.88421052631583</v>
      </c>
      <c r="D604" s="119">
        <v>30.248421052631581</v>
      </c>
      <c r="E604" s="122" t="e">
        <f t="shared" si="107"/>
        <v>#DIV/0!</v>
      </c>
      <c r="F604" s="128" t="e">
        <f t="shared" si="102"/>
        <v>#DIV/0!</v>
      </c>
      <c r="G604" s="127" t="e">
        <f t="shared" si="104"/>
        <v>#DIV/0!</v>
      </c>
      <c r="H604" s="136"/>
      <c r="J604" s="119">
        <v>8.9598999999999993</v>
      </c>
      <c r="K604" s="119">
        <v>295.27999999999997</v>
      </c>
      <c r="L604" s="119">
        <v>30.26</v>
      </c>
      <c r="M604" s="119">
        <f t="shared" si="99"/>
        <v>0.86486000000000018</v>
      </c>
      <c r="N604" s="128">
        <f t="shared" si="100"/>
        <v>0.33879708003045372</v>
      </c>
      <c r="O604" s="124" t="e">
        <f t="shared" si="103"/>
        <v>#DIV/0!</v>
      </c>
      <c r="P604" s="124">
        <f t="shared" si="103"/>
        <v>4.3957894736841467</v>
      </c>
      <c r="Q604" s="124">
        <f t="shared" si="103"/>
        <v>1.1578947368420245E-2</v>
      </c>
      <c r="R604" s="124"/>
      <c r="S604" s="124"/>
      <c r="T604" s="124"/>
      <c r="U604" s="119">
        <v>8.6</v>
      </c>
      <c r="V604" s="129" t="e">
        <f t="shared" si="108"/>
        <v>#DIV/0!</v>
      </c>
      <c r="W604" s="134" t="e">
        <f t="shared" si="109"/>
        <v>#DIV/0!</v>
      </c>
      <c r="X604" s="135" t="e">
        <f t="shared" si="98"/>
        <v>#DIV/0!</v>
      </c>
      <c r="Y604" s="134"/>
      <c r="Z604" s="135">
        <v>35.866799999999998</v>
      </c>
      <c r="AA604" s="136">
        <f t="shared" si="95"/>
        <v>2.434199999999997</v>
      </c>
      <c r="AB604" s="131">
        <v>33.432600000000001</v>
      </c>
      <c r="AC604" s="131">
        <f t="shared" si="96"/>
        <v>3.1725999999999992</v>
      </c>
      <c r="AD604" s="131">
        <v>35.138199999999998</v>
      </c>
      <c r="AE604" s="131">
        <f t="shared" si="106"/>
        <v>2.8997000000000028</v>
      </c>
      <c r="AF604" s="131">
        <v>38.0379</v>
      </c>
      <c r="AG604" s="130">
        <f>'[6]Monthly Palm Oil'!$D231</f>
        <v>2246.0666666666666</v>
      </c>
      <c r="AH604" s="131">
        <f>'[6]Monthly Palm Oil'!$X231</f>
        <v>25.01605824956124</v>
      </c>
      <c r="AI604" s="131">
        <f t="shared" si="101"/>
        <v>1.1867988932959079</v>
      </c>
      <c r="AM604" s="108">
        <v>0.3876350221000594</v>
      </c>
    </row>
    <row r="605" spans="1:39">
      <c r="A605" s="99">
        <v>43891</v>
      </c>
      <c r="B605" s="119" t="e">
        <f>'[4]Monthly Prices'!$CF245</f>
        <v>#DIV/0!</v>
      </c>
      <c r="C605" s="119">
        <v>311.91363636363644</v>
      </c>
      <c r="D605" s="119">
        <v>27.017727272727271</v>
      </c>
      <c r="E605" s="122" t="e">
        <f t="shared" si="107"/>
        <v>#DIV/0!</v>
      </c>
      <c r="F605" s="128" t="e">
        <f t="shared" si="102"/>
        <v>#DIV/0!</v>
      </c>
      <c r="G605" s="127" t="e">
        <f t="shared" si="104"/>
        <v>#DIV/0!</v>
      </c>
      <c r="H605" s="136"/>
      <c r="J605" s="119">
        <v>8.1080000000000005</v>
      </c>
      <c r="K605" s="119">
        <v>312.38</v>
      </c>
      <c r="L605" s="119">
        <v>27.04</v>
      </c>
      <c r="M605" s="119">
        <f t="shared" si="99"/>
        <v>1.7387599999999992</v>
      </c>
      <c r="N605" s="128">
        <f t="shared" si="100"/>
        <v>0.3020689038831047</v>
      </c>
      <c r="O605" s="124" t="e">
        <f t="shared" si="103"/>
        <v>#DIV/0!</v>
      </c>
      <c r="P605" s="124">
        <f t="shared" si="103"/>
        <v>0.46636363636355327</v>
      </c>
      <c r="Q605" s="124">
        <f t="shared" si="103"/>
        <v>2.2272727272728332E-2</v>
      </c>
      <c r="R605" s="124">
        <f>AVERAGE(J603:J605)</f>
        <v>8.7791333333333323</v>
      </c>
      <c r="S605" s="124">
        <f>AVERAGE(K603:K605)</f>
        <v>302.58999999999997</v>
      </c>
      <c r="T605" s="124">
        <f>AVERAGE(L603:L605)</f>
        <v>30.113333333333333</v>
      </c>
      <c r="U605" s="119">
        <v>8.4700000000000006</v>
      </c>
      <c r="V605" s="129" t="e">
        <f t="shared" si="108"/>
        <v>#DIV/0!</v>
      </c>
      <c r="W605" s="134" t="e">
        <f t="shared" si="109"/>
        <v>#DIV/0!</v>
      </c>
      <c r="X605" s="135" t="e">
        <f t="shared" si="98"/>
        <v>#DIV/0!</v>
      </c>
      <c r="Y605" s="134"/>
      <c r="Z605" s="135">
        <v>33.244999999999997</v>
      </c>
      <c r="AA605" s="136">
        <f t="shared" si="95"/>
        <v>3.0681999999999974</v>
      </c>
      <c r="AB605" s="131">
        <v>30.1768</v>
      </c>
      <c r="AC605" s="131">
        <f t="shared" si="96"/>
        <v>3.1368000000000009</v>
      </c>
      <c r="AD605" s="131">
        <v>31.159099999999999</v>
      </c>
      <c r="AE605" s="131">
        <f t="shared" si="106"/>
        <v>3.1085999999999991</v>
      </c>
      <c r="AF605" s="131">
        <v>34.267699999999998</v>
      </c>
      <c r="AG605" s="130">
        <f>'[6]Monthly Palm Oil'!$D232</f>
        <v>2130.0476190476193</v>
      </c>
      <c r="AH605" s="131">
        <f>'[6]Monthly Palm Oil'!$X232</f>
        <v>23.698944378861071</v>
      </c>
      <c r="AI605" s="131">
        <f t="shared" si="101"/>
        <v>3.0100556211389247</v>
      </c>
      <c r="AM605" s="108">
        <v>0.3876350221000594</v>
      </c>
    </row>
    <row r="606" spans="1:39">
      <c r="A606" s="99">
        <v>43922</v>
      </c>
      <c r="B606" s="119" t="e">
        <f>'[4]Monthly Prices'!$CF246</f>
        <v>#DIV/0!</v>
      </c>
      <c r="C606" s="119">
        <v>291.94761904761907</v>
      </c>
      <c r="D606" s="119">
        <v>26.202857142857148</v>
      </c>
      <c r="E606" s="122" t="e">
        <f t="shared" si="107"/>
        <v>#DIV/0!</v>
      </c>
      <c r="F606" s="128" t="e">
        <f t="shared" si="102"/>
        <v>#DIV/0!</v>
      </c>
      <c r="G606" s="127" t="e">
        <f t="shared" si="104"/>
        <v>#DIV/0!</v>
      </c>
      <c r="H606" s="136"/>
      <c r="J606" s="119">
        <v>8.5437999999999992</v>
      </c>
      <c r="K606" s="119">
        <v>295.39</v>
      </c>
      <c r="L606" s="119">
        <v>25.69</v>
      </c>
      <c r="M606" s="119">
        <f t="shared" si="99"/>
        <v>0.78068000000000026</v>
      </c>
      <c r="N606" s="128">
        <f t="shared" si="100"/>
        <v>0.30306247640619105</v>
      </c>
      <c r="O606" s="124" t="e">
        <f t="shared" si="103"/>
        <v>#DIV/0!</v>
      </c>
      <c r="P606" s="124">
        <f t="shared" si="103"/>
        <v>3.4423809523809155</v>
      </c>
      <c r="Q606" s="124">
        <f t="shared" si="103"/>
        <v>-0.5128571428571469</v>
      </c>
      <c r="U606" s="119">
        <v>8.35</v>
      </c>
      <c r="V606" s="129" t="e">
        <f t="shared" si="108"/>
        <v>#DIV/0!</v>
      </c>
      <c r="W606" s="134" t="e">
        <f t="shared" si="109"/>
        <v>#DIV/0!</v>
      </c>
      <c r="X606" s="135" t="e">
        <f t="shared" si="98"/>
        <v>#DIV/0!</v>
      </c>
      <c r="Y606" s="134"/>
      <c r="Z606" s="135">
        <v>33.333799999999997</v>
      </c>
      <c r="AA606" s="136">
        <f t="shared" si="95"/>
        <v>4.5308999999999955</v>
      </c>
      <c r="AB606" s="131">
        <v>28.802900000000001</v>
      </c>
      <c r="AC606" s="131">
        <f t="shared" si="96"/>
        <v>3.1128999999999998</v>
      </c>
      <c r="AD606" s="131">
        <v>29.892900000000001</v>
      </c>
      <c r="AE606" s="131">
        <f t="shared" si="106"/>
        <v>2.9980999999999973</v>
      </c>
      <c r="AF606" s="131">
        <v>32.890999999999998</v>
      </c>
      <c r="AG606" s="130">
        <f>'[6]Monthly Palm Oil'!$D233</f>
        <v>2165.1428571428573</v>
      </c>
      <c r="AH606" s="131">
        <f>'[6]Monthly Palm Oil'!$X233</f>
        <v>23.88668206527424</v>
      </c>
      <c r="AI606" s="131">
        <f t="shared" si="101"/>
        <v>4.004681571089403</v>
      </c>
      <c r="AM606" s="108">
        <v>0.3876350221000594</v>
      </c>
    </row>
    <row r="607" spans="1:39">
      <c r="A607" s="99">
        <v>43952</v>
      </c>
      <c r="B607" s="119" t="e">
        <f>'[4]Monthly Prices'!$CF247</f>
        <v>#DIV/0!</v>
      </c>
      <c r="C607" s="119">
        <v>287.05999999999995</v>
      </c>
      <c r="D607" s="119">
        <v>26.708999999999996</v>
      </c>
      <c r="E607" s="122" t="e">
        <f t="shared" si="107"/>
        <v>#DIV/0!</v>
      </c>
      <c r="F607" s="128" t="e">
        <f t="shared" si="102"/>
        <v>#DIV/0!</v>
      </c>
      <c r="G607" s="127" t="e">
        <f t="shared" si="104"/>
        <v>#DIV/0!</v>
      </c>
      <c r="H607" s="136"/>
      <c r="J607" s="119">
        <v>8.4844000000000008</v>
      </c>
      <c r="K607" s="119">
        <v>288.56</v>
      </c>
      <c r="L607" s="119">
        <v>25.27</v>
      </c>
      <c r="M607" s="119">
        <f t="shared" si="99"/>
        <v>0.64361999999999853</v>
      </c>
      <c r="N607" s="128">
        <f t="shared" si="100"/>
        <v>0.30452387264708008</v>
      </c>
      <c r="O607" s="124" t="e">
        <f t="shared" si="103"/>
        <v>#DIV/0!</v>
      </c>
      <c r="P607" s="124">
        <f t="shared" si="103"/>
        <v>1.5000000000000568</v>
      </c>
      <c r="Q607" s="124">
        <f t="shared" si="103"/>
        <v>-1.4389999999999965</v>
      </c>
      <c r="U607" s="119">
        <v>8.2799999999999994</v>
      </c>
      <c r="V607" s="129" t="e">
        <f t="shared" si="108"/>
        <v>#DIV/0!</v>
      </c>
      <c r="W607" s="134" t="e">
        <f t="shared" si="109"/>
        <v>#DIV/0!</v>
      </c>
      <c r="X607" s="135" t="e">
        <f t="shared" si="98"/>
        <v>#DIV/0!</v>
      </c>
      <c r="Y607" s="134"/>
      <c r="Z607" s="135">
        <v>32.503500000000003</v>
      </c>
      <c r="AA607" s="136">
        <f t="shared" si="95"/>
        <v>4.0850000000000009</v>
      </c>
      <c r="AB607" s="131">
        <v>28.418500000000002</v>
      </c>
      <c r="AC607" s="131">
        <f t="shared" si="96"/>
        <v>3.1485000000000021</v>
      </c>
      <c r="AD607" s="131">
        <v>28.512499999999999</v>
      </c>
      <c r="AE607" s="131">
        <f t="shared" si="106"/>
        <v>4.8210000000000015</v>
      </c>
      <c r="AF607" s="131">
        <v>33.333500000000001</v>
      </c>
      <c r="AG607" s="130">
        <f>'[6]Monthly Palm Oil'!$D234</f>
        <v>2037.7368421052631</v>
      </c>
      <c r="AH607" s="131">
        <f>'[6]Monthly Palm Oil'!$X234</f>
        <v>22.176748565339338</v>
      </c>
      <c r="AI607" s="131">
        <f t="shared" si="101"/>
        <v>7.0300696164788405</v>
      </c>
      <c r="AM607" s="108">
        <v>0.3876350221000594</v>
      </c>
    </row>
    <row r="608" spans="1:39">
      <c r="A608" s="99">
        <v>43983</v>
      </c>
      <c r="B608" s="119" t="e">
        <f>'[4]Monthly Prices'!$CF248</f>
        <v>#DIV/0!</v>
      </c>
      <c r="C608" s="119">
        <v>286.76363636363641</v>
      </c>
      <c r="D608" s="119">
        <v>27.891363636363643</v>
      </c>
      <c r="E608" s="122" t="e">
        <f t="shared" si="107"/>
        <v>#DIV/0!</v>
      </c>
      <c r="F608" s="128" t="e">
        <f t="shared" si="102"/>
        <v>#DIV/0!</v>
      </c>
      <c r="G608" s="127" t="e">
        <f t="shared" si="104"/>
        <v>#DIV/0!</v>
      </c>
      <c r="H608" s="136"/>
      <c r="J608" s="119">
        <v>8.7416</v>
      </c>
      <c r="K608" s="119">
        <v>288.66000000000003</v>
      </c>
      <c r="L608" s="119">
        <v>26.61</v>
      </c>
      <c r="M608" s="119">
        <f t="shared" si="99"/>
        <v>0.53602000000000061</v>
      </c>
      <c r="N608" s="128">
        <f t="shared" si="100"/>
        <v>0.3155011737924166</v>
      </c>
      <c r="O608" s="124" t="e">
        <f t="shared" si="103"/>
        <v>#DIV/0!</v>
      </c>
      <c r="P608" s="124">
        <f t="shared" si="103"/>
        <v>1.8963636363636169</v>
      </c>
      <c r="Q608" s="124">
        <f t="shared" si="103"/>
        <v>-1.2813636363636434</v>
      </c>
      <c r="R608" s="124">
        <f>AVERAGE(J606:J608)</f>
        <v>8.5899333333333328</v>
      </c>
      <c r="S608" s="124">
        <f>AVERAGE(K606:K608)</f>
        <v>290.87000000000006</v>
      </c>
      <c r="T608" s="124">
        <f>AVERAGE(L606:L608)</f>
        <v>25.856666666666666</v>
      </c>
      <c r="U608" s="119">
        <v>8.34</v>
      </c>
      <c r="V608" s="129" t="e">
        <f t="shared" si="108"/>
        <v>#DIV/0!</v>
      </c>
      <c r="W608" s="134" t="e">
        <f t="shared" si="109"/>
        <v>#DIV/0!</v>
      </c>
      <c r="X608" s="135" t="e">
        <f t="shared" si="98"/>
        <v>#DIV/0!</v>
      </c>
      <c r="Y608" s="134"/>
      <c r="Z608" s="135">
        <v>35.277700000000003</v>
      </c>
      <c r="AA608" s="136">
        <f t="shared" ref="AA608:AA671" si="110">Z608-AB608</f>
        <v>5.5136000000000038</v>
      </c>
      <c r="AB608" s="131">
        <v>29.764099999999999</v>
      </c>
      <c r="AC608" s="131">
        <f t="shared" ref="AC608" si="111">AB608-L608</f>
        <v>3.1540999999999997</v>
      </c>
      <c r="AD608" s="131">
        <v>32.159100000000002</v>
      </c>
      <c r="AE608" s="131">
        <f t="shared" si="106"/>
        <v>2.7322999999999951</v>
      </c>
      <c r="AF608" s="131">
        <v>34.891399999999997</v>
      </c>
      <c r="AG608" s="130">
        <f>'[6]Monthly Palm Oil'!$D235</f>
        <v>2005.7777777777778</v>
      </c>
      <c r="AH608" s="131">
        <f>'[6]Monthly Palm Oil'!$X235</f>
        <v>21.881459379761434</v>
      </c>
      <c r="AI608" s="131">
        <f t="shared" si="101"/>
        <v>9.7109215726195259</v>
      </c>
      <c r="AM608" s="108">
        <v>0.3876350221000594</v>
      </c>
    </row>
    <row r="609" spans="1:45">
      <c r="A609" s="99">
        <v>44013</v>
      </c>
      <c r="B609" s="119" t="e">
        <f>'[4]Monthly Prices'!$CF249</f>
        <v>#DIV/0!</v>
      </c>
      <c r="C609" s="119">
        <v>290.32272727272726</v>
      </c>
      <c r="D609" s="119">
        <v>29.206818181818178</v>
      </c>
      <c r="E609" s="122" t="e">
        <f t="shared" si="107"/>
        <v>#DIV/0!</v>
      </c>
      <c r="F609" s="128" t="e">
        <f t="shared" si="102"/>
        <v>#DIV/0!</v>
      </c>
      <c r="G609" s="127" t="e">
        <f t="shared" si="104"/>
        <v>#DIV/0!</v>
      </c>
      <c r="H609" s="137"/>
      <c r="I609" s="137"/>
      <c r="J609" s="119">
        <v>8.9525000000000006</v>
      </c>
      <c r="K609" s="119">
        <v>291.25</v>
      </c>
      <c r="L609" s="119">
        <v>28.71</v>
      </c>
      <c r="M609" s="119">
        <f t="shared" si="99"/>
        <v>0.61309999999999931</v>
      </c>
      <c r="N609" s="128">
        <f t="shared" si="100"/>
        <v>0.3301517939282429</v>
      </c>
      <c r="O609" s="124" t="e">
        <f t="shared" si="103"/>
        <v>#DIV/0!</v>
      </c>
      <c r="P609" s="124">
        <f t="shared" si="103"/>
        <v>0.92727272727273657</v>
      </c>
      <c r="Q609" s="124">
        <f t="shared" si="103"/>
        <v>-0.49681818181817761</v>
      </c>
      <c r="U609" s="119">
        <v>8.5</v>
      </c>
      <c r="V609" s="129" t="e">
        <f t="shared" si="108"/>
        <v>#DIV/0!</v>
      </c>
      <c r="W609" s="134" t="e">
        <f>(SUM(V597,V585,V573,V561,V549)-MAX(V597,V585,V573,V561,V549)-MIN(V597,V585,V573,V561,V549))/3</f>
        <v>#DIV/0!</v>
      </c>
      <c r="X609" s="135" t="e">
        <f t="shared" si="98"/>
        <v>#DIV/0!</v>
      </c>
      <c r="Y609" s="134"/>
      <c r="Z609" s="135">
        <v>41.952300000000001</v>
      </c>
      <c r="AA609" s="136">
        <f t="shared" si="110"/>
        <v>10.141400000000001</v>
      </c>
      <c r="AB609" s="131">
        <v>31.8109</v>
      </c>
      <c r="AC609" s="131">
        <f>AB609-L609</f>
        <v>3.1008999999999993</v>
      </c>
      <c r="AD609" s="131">
        <v>34.204500000000003</v>
      </c>
      <c r="AE609" s="131">
        <f t="shared" si="106"/>
        <v>2.5882000000000005</v>
      </c>
      <c r="AF609" s="131">
        <v>36.792700000000004</v>
      </c>
      <c r="AG609" s="130">
        <f>'[6]Monthly Palm Oil'!$D236</f>
        <v>1985.7619047619048</v>
      </c>
      <c r="AH609" s="131">
        <f>'[6]Monthly Palm Oil'!$X236</f>
        <v>21.85213622421788</v>
      </c>
      <c r="AI609" s="131">
        <f t="shared" si="101"/>
        <v>11.65833996625831</v>
      </c>
      <c r="AM609" s="108">
        <v>0.3876350221000594</v>
      </c>
    </row>
    <row r="610" spans="1:45">
      <c r="A610" s="99">
        <v>44044</v>
      </c>
      <c r="B610" s="119" t="e">
        <f>'[4]Monthly Prices'!$CF250</f>
        <v>#DIV/0!</v>
      </c>
      <c r="C610" s="119">
        <v>290.90952380952388</v>
      </c>
      <c r="D610" s="119">
        <v>31.59238095238096</v>
      </c>
      <c r="E610" s="122" t="e">
        <f t="shared" si="107"/>
        <v>#DIV/0!</v>
      </c>
      <c r="F610" s="128" t="e">
        <f t="shared" si="102"/>
        <v>#DIV/0!</v>
      </c>
      <c r="G610" s="127" t="e">
        <f t="shared" si="104"/>
        <v>#DIV/0!</v>
      </c>
      <c r="H610" s="136"/>
      <c r="J610" s="119">
        <v>8.8757000000000001</v>
      </c>
      <c r="K610" s="119">
        <v>290.18</v>
      </c>
      <c r="L610" s="119">
        <v>32.130000000000003</v>
      </c>
      <c r="M610" s="119">
        <f t="shared" si="99"/>
        <v>1.0425599999999999</v>
      </c>
      <c r="N610" s="128">
        <f t="shared" si="100"/>
        <v>0.35634274560255536</v>
      </c>
      <c r="O610" s="124" t="e">
        <f t="shared" si="103"/>
        <v>#DIV/0!</v>
      </c>
      <c r="P610" s="124">
        <f t="shared" si="103"/>
        <v>-0.72952380952386875</v>
      </c>
      <c r="Q610" s="124">
        <f t="shared" si="103"/>
        <v>0.53761904761904233</v>
      </c>
      <c r="U610" s="119">
        <v>8.66</v>
      </c>
      <c r="V610" s="129" t="e">
        <f t="shared" si="108"/>
        <v>#DIV/0!</v>
      </c>
      <c r="W610" s="134" t="e">
        <f>(SUM(V598,V586,V574,V562,V550)-MAX(V598,V586,V574,V562,V550)-MIN(V598,V586,V574,V562,V550))/3</f>
        <v>#DIV/0!</v>
      </c>
      <c r="X610" s="135" t="e">
        <f>V610-W610</f>
        <v>#DIV/0!</v>
      </c>
      <c r="Y610" s="134"/>
      <c r="Z610" s="135">
        <v>46.604799999999997</v>
      </c>
      <c r="AA610" s="136">
        <f t="shared" si="110"/>
        <v>11.4619</v>
      </c>
      <c r="AB610" s="131">
        <v>35.142899999999997</v>
      </c>
      <c r="AC610" s="131">
        <f t="shared" ref="AC610:AC654" si="112">AB610-L610</f>
        <v>3.0128999999999948</v>
      </c>
      <c r="AD610" s="131">
        <v>37.178600000000003</v>
      </c>
      <c r="AE610" s="131"/>
      <c r="AF610" s="131"/>
      <c r="AG610" s="130">
        <f>'[6]Monthly Palm Oil'!$D237</f>
        <v>2181.4285714285716</v>
      </c>
      <c r="AH610" s="131">
        <f>'[6]Monthly Palm Oil'!$X237</f>
        <v>23.635102988294861</v>
      </c>
      <c r="AI610" s="131">
        <f t="shared" si="101"/>
        <v>9.641715193523325</v>
      </c>
      <c r="AM610" s="108">
        <v>0.3876350221000594</v>
      </c>
    </row>
    <row r="611" spans="1:45">
      <c r="A611" s="99">
        <v>44075</v>
      </c>
      <c r="B611" s="119" t="e">
        <f>'[4]Monthly Prices'!$CF251</f>
        <v>#DIV/0!</v>
      </c>
      <c r="C611" s="119">
        <v>323.22380952380956</v>
      </c>
      <c r="D611" s="119">
        <v>33.51047619047619</v>
      </c>
      <c r="E611" s="122" t="e">
        <f t="shared" si="107"/>
        <v>#DIV/0!</v>
      </c>
      <c r="F611" s="128" t="e">
        <f t="shared" si="102"/>
        <v>#DIV/0!</v>
      </c>
      <c r="G611" s="127" t="e">
        <f t="shared" si="104"/>
        <v>#DIV/0!</v>
      </c>
      <c r="J611" s="119">
        <v>9.9734523809523825</v>
      </c>
      <c r="K611" s="119">
        <v>319.99</v>
      </c>
      <c r="L611" s="119">
        <v>34.200000000000003</v>
      </c>
      <c r="M611" s="119">
        <f t="shared" si="99"/>
        <v>0.82832761904761831</v>
      </c>
      <c r="N611" s="128">
        <f t="shared" si="100"/>
        <v>0.34827593230004689</v>
      </c>
      <c r="O611" s="124" t="e">
        <f t="shared" si="103"/>
        <v>#DIV/0!</v>
      </c>
      <c r="P611" s="124">
        <f t="shared" si="103"/>
        <v>-3.2338095238095548</v>
      </c>
      <c r="Q611" s="124">
        <f t="shared" si="103"/>
        <v>0.68952380952381276</v>
      </c>
      <c r="R611" s="124">
        <f>AVERAGE(J609:J611)</f>
        <v>9.2672174603174611</v>
      </c>
      <c r="S611" s="124">
        <f>AVERAGE(K609:K611)</f>
        <v>300.47333333333336</v>
      </c>
      <c r="T611" s="124">
        <f>AVERAGE(L609:L611)</f>
        <v>31.680000000000003</v>
      </c>
      <c r="U611" s="119">
        <v>9.24</v>
      </c>
      <c r="V611" s="129" t="e">
        <f t="shared" si="108"/>
        <v>#DIV/0!</v>
      </c>
      <c r="W611" s="134" t="e">
        <f>(SUM(V599,V587,V575,V563,V551)-MAX(V599,V587,V575,V563,V551)-MIN(V599,V587,V575,V563,V551))/3</f>
        <v>#DIV/0!</v>
      </c>
      <c r="X611" s="135" t="e">
        <f>V611-W611</f>
        <v>#DIV/0!</v>
      </c>
      <c r="Y611" s="134"/>
      <c r="Z611" s="135">
        <v>48.5105</v>
      </c>
      <c r="AA611" s="136">
        <f t="shared" si="110"/>
        <v>11.292900000000003</v>
      </c>
      <c r="AB611" s="131">
        <v>37.217599999999997</v>
      </c>
      <c r="AC611" s="131">
        <f t="shared" si="112"/>
        <v>3.0175999999999945</v>
      </c>
      <c r="AD611" s="131">
        <v>38.845199999999998</v>
      </c>
      <c r="AE611" s="131"/>
      <c r="AF611" s="131"/>
      <c r="AG611" s="130">
        <f>'[6]Monthly Palm Oil'!$D238</f>
        <v>2195</v>
      </c>
      <c r="AH611" s="131">
        <f>'[6]Monthly Palm Oil'!$X238</f>
        <v>23.802141884518175</v>
      </c>
      <c r="AI611" s="131">
        <f t="shared" si="101"/>
        <v>13.060358115481822</v>
      </c>
      <c r="AM611" s="108">
        <v>0.3876350221000594</v>
      </c>
    </row>
    <row r="612" spans="1:45">
      <c r="A612" s="99">
        <v>44105</v>
      </c>
      <c r="B612" s="119" t="e">
        <f>'[4]Monthly Prices'!$CF252</f>
        <v>#DIV/0!</v>
      </c>
      <c r="C612" s="119">
        <v>368.10909090909087</v>
      </c>
      <c r="D612" s="119">
        <v>33.276818181818186</v>
      </c>
      <c r="E612" s="122" t="e">
        <f t="shared" si="107"/>
        <v>#DIV/0!</v>
      </c>
      <c r="F612" s="128" t="e">
        <f t="shared" si="102"/>
        <v>#DIV/0!</v>
      </c>
      <c r="G612" s="127" t="e">
        <f t="shared" si="104"/>
        <v>#DIV/0!</v>
      </c>
      <c r="H612" s="136"/>
      <c r="J612" s="119">
        <v>10.551619047619049</v>
      </c>
      <c r="K612" s="119">
        <v>367.11</v>
      </c>
      <c r="L612" s="119">
        <v>33.909999999999997</v>
      </c>
      <c r="M612" s="119">
        <f t="shared" si="99"/>
        <v>1.2549009523809502</v>
      </c>
      <c r="N612" s="128">
        <f t="shared" si="100"/>
        <v>0.31593560168449292</v>
      </c>
      <c r="O612" s="124" t="e">
        <f t="shared" si="103"/>
        <v>#DIV/0!</v>
      </c>
      <c r="P612" s="124">
        <f t="shared" si="103"/>
        <v>-0.99909090909085307</v>
      </c>
      <c r="Q612" s="124">
        <f t="shared" si="103"/>
        <v>0.63318181818181074</v>
      </c>
      <c r="R612" s="124"/>
      <c r="S612" s="124"/>
      <c r="T612" s="124"/>
      <c r="U612" s="119">
        <v>9.6300000000000008</v>
      </c>
      <c r="V612" s="129" t="e">
        <f t="shared" si="108"/>
        <v>#DIV/0!</v>
      </c>
      <c r="W612" s="134" t="e">
        <f>(SUM(V600,V588,V576,V564,V552)-MAX(V600,V588,V576,V564,V552)-MIN(V600,V588,V576,V564,V552))/3</f>
        <v>#DIV/0!</v>
      </c>
      <c r="X612" s="135" t="e">
        <f>V612-W612</f>
        <v>#DIV/0!</v>
      </c>
      <c r="Y612" s="134"/>
      <c r="Z612" s="135">
        <v>48.276800000000001</v>
      </c>
      <c r="AA612" s="136">
        <f t="shared" si="110"/>
        <v>11.25</v>
      </c>
      <c r="AB612" s="131">
        <v>37.026800000000001</v>
      </c>
      <c r="AC612" s="131">
        <f t="shared" si="112"/>
        <v>3.1168000000000049</v>
      </c>
      <c r="AD612" s="131">
        <v>39.943199999999997</v>
      </c>
      <c r="AE612" s="131"/>
      <c r="AF612" s="131"/>
      <c r="AG612" s="130">
        <f>'[6]Monthly Palm Oil'!$D239</f>
        <v>2260.8636363636365</v>
      </c>
      <c r="AH612" s="131">
        <f>'[6]Monthly Palm Oil'!$X239</f>
        <v>24.498929918816124</v>
      </c>
      <c r="AI612" s="131">
        <f t="shared" si="101"/>
        <v>15.072433717547518</v>
      </c>
      <c r="AM612" s="108">
        <v>0.3876350221000594</v>
      </c>
    </row>
    <row r="613" spans="1:45">
      <c r="A613" s="99">
        <v>44136</v>
      </c>
      <c r="B613" s="119" t="e">
        <f>'[4]Monthly Prices'!$CF253</f>
        <v>#DIV/0!</v>
      </c>
      <c r="C613" s="119">
        <v>390.30499999999995</v>
      </c>
      <c r="D613" s="119">
        <v>36.862499999999997</v>
      </c>
      <c r="E613" s="122" t="e">
        <f t="shared" si="107"/>
        <v>#DIV/0!</v>
      </c>
      <c r="F613" s="128" t="e">
        <f t="shared" si="102"/>
        <v>#DIV/0!</v>
      </c>
      <c r="G613" s="127" t="e">
        <f t="shared" si="104"/>
        <v>#DIV/0!</v>
      </c>
      <c r="H613" s="99">
        <f t="shared" ref="H613:H664" si="113">A613</f>
        <v>44136</v>
      </c>
      <c r="J613" s="119">
        <v>11.476749999999997</v>
      </c>
      <c r="K613" s="119">
        <v>387.83</v>
      </c>
      <c r="L613" s="119">
        <v>37.79</v>
      </c>
      <c r="M613" s="119">
        <f t="shared" si="99"/>
        <v>1.2124100000000038</v>
      </c>
      <c r="N613" s="128">
        <f t="shared" si="100"/>
        <v>0.32759457678837683</v>
      </c>
      <c r="O613" s="124" t="e">
        <f t="shared" si="103"/>
        <v>#DIV/0!</v>
      </c>
      <c r="P613" s="124">
        <f t="shared" si="103"/>
        <v>-2.4749999999999659</v>
      </c>
      <c r="Q613" s="124">
        <f t="shared" si="103"/>
        <v>0.92750000000000199</v>
      </c>
      <c r="R613" s="124"/>
      <c r="S613" s="124"/>
      <c r="T613" s="124"/>
      <c r="U613" s="119">
        <v>10.3</v>
      </c>
      <c r="V613" s="129" t="e">
        <f t="shared" si="108"/>
        <v>#DIV/0!</v>
      </c>
      <c r="W613" s="134" t="e">
        <f t="shared" si="109"/>
        <v>#DIV/0!</v>
      </c>
      <c r="X613" s="135" t="e">
        <f t="shared" si="98"/>
        <v>#DIV/0!</v>
      </c>
      <c r="Y613" s="134"/>
      <c r="Z613" s="135">
        <v>50.557499999999997</v>
      </c>
      <c r="AA613" s="136">
        <f t="shared" si="110"/>
        <v>9.4549999999999983</v>
      </c>
      <c r="AB613" s="131">
        <v>41.102499999999999</v>
      </c>
      <c r="AC613" s="131">
        <f t="shared" si="112"/>
        <v>3.3125</v>
      </c>
      <c r="AD613" s="131">
        <v>44.4</v>
      </c>
      <c r="AE613" s="131"/>
      <c r="AF613" s="131"/>
      <c r="AG613" s="130">
        <f>'[6]Monthly Palm Oil'!$D240</f>
        <v>2615.8000000000002</v>
      </c>
      <c r="AH613" s="131">
        <f>'[6]Monthly Palm Oil'!$X240</f>
        <v>28.558325445473336</v>
      </c>
      <c r="AI613" s="131">
        <f t="shared" si="101"/>
        <v>14.59588508084245</v>
      </c>
      <c r="AM613" s="108">
        <v>0.3876350221000594</v>
      </c>
    </row>
    <row r="614" spans="1:45">
      <c r="A614" s="99">
        <v>44166</v>
      </c>
      <c r="B614" s="119" t="e">
        <f>'[4]Monthly Prices'!$CF254</f>
        <v>#DIV/0!</v>
      </c>
      <c r="C614" s="119">
        <v>399.46818181818179</v>
      </c>
      <c r="D614" s="119">
        <v>39.571363636363643</v>
      </c>
      <c r="E614" s="122" t="e">
        <f t="shared" si="107"/>
        <v>#DIV/0!</v>
      </c>
      <c r="F614" s="128" t="e">
        <f t="shared" si="102"/>
        <v>#DIV/0!</v>
      </c>
      <c r="G614" s="127" t="e">
        <f t="shared" si="104"/>
        <v>#DIV/0!</v>
      </c>
      <c r="H614" s="99">
        <f t="shared" si="113"/>
        <v>44166</v>
      </c>
      <c r="J614" s="119">
        <v>12.160095238095236</v>
      </c>
      <c r="K614" s="119">
        <v>396.68</v>
      </c>
      <c r="L614" s="119">
        <v>40.85</v>
      </c>
      <c r="M614" s="119">
        <f t="shared" si="99"/>
        <v>1.0603647619047631</v>
      </c>
      <c r="N614" s="128">
        <f t="shared" si="100"/>
        <v>0.33988983741866774</v>
      </c>
      <c r="O614" s="124" t="e">
        <f t="shared" si="103"/>
        <v>#DIV/0!</v>
      </c>
      <c r="P614" s="124">
        <f t="shared" si="103"/>
        <v>-2.7881818181817835</v>
      </c>
      <c r="Q614" s="124">
        <f t="shared" si="103"/>
        <v>1.2786363636363589</v>
      </c>
      <c r="R614" s="124">
        <f>AVERAGE(J612:J614)</f>
        <v>11.396154761904761</v>
      </c>
      <c r="S614" s="124">
        <f>AVERAGE(K612:K614)</f>
        <v>383.87333333333339</v>
      </c>
      <c r="T614" s="124">
        <f>AVERAGE(L612:L614)</f>
        <v>37.516666666666659</v>
      </c>
      <c r="U614" s="119">
        <v>10.6</v>
      </c>
      <c r="V614" s="129" t="e">
        <f t="shared" si="108"/>
        <v>#DIV/0!</v>
      </c>
      <c r="W614" s="134" t="e">
        <f t="shared" si="109"/>
        <v>#DIV/0!</v>
      </c>
      <c r="X614" s="135" t="e">
        <f t="shared" si="98"/>
        <v>#DIV/0!</v>
      </c>
      <c r="Y614" s="134"/>
      <c r="Z614" s="135">
        <v>54.571399999999997</v>
      </c>
      <c r="AA614" s="136">
        <f t="shared" si="110"/>
        <v>8.8522999999999996</v>
      </c>
      <c r="AB614" s="131">
        <v>45.719099999999997</v>
      </c>
      <c r="AC614" s="131">
        <f t="shared" si="112"/>
        <v>4.869099999999996</v>
      </c>
      <c r="AD614" s="131">
        <v>47.267000000000003</v>
      </c>
      <c r="AE614" s="131"/>
      <c r="AF614" s="131"/>
      <c r="AG614" s="130">
        <f>'[6]Monthly Palm Oil'!$D241</f>
        <v>2896.5238095238096</v>
      </c>
      <c r="AH614" s="131">
        <f>'[6]Monthly Palm Oil'!$X241</f>
        <v>31.700519753520798</v>
      </c>
      <c r="AI614" s="131">
        <f t="shared" si="101"/>
        <v>15.245796035952882</v>
      </c>
      <c r="AM614" s="108">
        <v>0.3876350221000594</v>
      </c>
    </row>
    <row r="615" spans="1:45">
      <c r="A615" s="99">
        <v>44197</v>
      </c>
      <c r="B615" s="119" t="e">
        <f>'[4]Monthly Prices'!$CF255</f>
        <v>#DIV/0!</v>
      </c>
      <c r="C615" s="119">
        <v>440.86842105263156</v>
      </c>
      <c r="D615" s="119">
        <v>43.154210526315786</v>
      </c>
      <c r="E615" s="122" t="e">
        <f t="shared" si="107"/>
        <v>#DIV/0!</v>
      </c>
      <c r="F615" s="128" t="e">
        <f t="shared" si="102"/>
        <v>#DIV/0!</v>
      </c>
      <c r="G615" s="127" t="e">
        <f t="shared" si="104"/>
        <v>#DIV/0!</v>
      </c>
      <c r="H615" s="99">
        <f t="shared" si="113"/>
        <v>44197</v>
      </c>
      <c r="I615" s="136"/>
      <c r="J615" s="119">
        <v>13.835552631578947</v>
      </c>
      <c r="K615" s="119">
        <v>439.24</v>
      </c>
      <c r="L615" s="119">
        <v>44.31</v>
      </c>
      <c r="M615" s="119">
        <f t="shared" si="99"/>
        <v>0.70182736842105342</v>
      </c>
      <c r="N615" s="128">
        <f t="shared" si="100"/>
        <v>0.33528049758622258</v>
      </c>
      <c r="O615" s="124" t="e">
        <f t="shared" si="103"/>
        <v>#DIV/0!</v>
      </c>
      <c r="P615" s="124">
        <f t="shared" si="103"/>
        <v>-1.6284210526315519</v>
      </c>
      <c r="Q615" s="124">
        <f t="shared" si="103"/>
        <v>1.1557894736842158</v>
      </c>
      <c r="R615" s="124"/>
      <c r="S615" s="124"/>
      <c r="T615" s="124"/>
      <c r="U615" s="119">
        <v>10.9</v>
      </c>
      <c r="V615" s="129" t="e">
        <f t="shared" si="108"/>
        <v>#DIV/0!</v>
      </c>
      <c r="W615" s="134" t="e">
        <f t="shared" si="109"/>
        <v>#DIV/0!</v>
      </c>
      <c r="X615" s="135" t="e">
        <f t="shared" si="98"/>
        <v>#DIV/0!</v>
      </c>
      <c r="Y615" s="134"/>
      <c r="Z615" s="135">
        <v>57.733199999999997</v>
      </c>
      <c r="AA615" s="136">
        <f t="shared" si="110"/>
        <v>8.3157999999999959</v>
      </c>
      <c r="AB615" s="131">
        <v>49.417400000000001</v>
      </c>
      <c r="AC615" s="131">
        <f t="shared" si="112"/>
        <v>5.1073999999999984</v>
      </c>
      <c r="AD615" s="131">
        <v>49.686799999999998</v>
      </c>
      <c r="AE615" s="131"/>
      <c r="AF615" s="131"/>
      <c r="AG615" s="130">
        <f>'[6]Monthly Palm Oil'!$D242</f>
        <v>2930.1</v>
      </c>
      <c r="AH615" s="131">
        <f>'[6]Monthly Palm Oil'!$X242</f>
        <v>32.586547093661927</v>
      </c>
      <c r="AI615" s="131">
        <f t="shared" si="101"/>
        <v>20.783452906338084</v>
      </c>
      <c r="AM615" s="108">
        <v>0.3876350221000594</v>
      </c>
    </row>
    <row r="616" spans="1:45">
      <c r="A616" s="99">
        <v>44228</v>
      </c>
      <c r="B616" s="119" t="e">
        <f>'[4]Monthly Prices'!$CF256</f>
        <v>#DIV/0!</v>
      </c>
      <c r="C616" s="119">
        <v>428.77894736842109</v>
      </c>
      <c r="D616" s="119">
        <v>46.94631578947368</v>
      </c>
      <c r="E616" s="122" t="e">
        <f t="shared" si="107"/>
        <v>#DIV/0!</v>
      </c>
      <c r="F616" s="128" t="e">
        <f t="shared" si="102"/>
        <v>#DIV/0!</v>
      </c>
      <c r="G616" s="127" t="e">
        <f t="shared" si="104"/>
        <v>#DIV/0!</v>
      </c>
      <c r="H616" s="99">
        <f t="shared" si="113"/>
        <v>44228</v>
      </c>
      <c r="I616" s="136"/>
      <c r="J616" s="119">
        <v>13.957578947368422</v>
      </c>
      <c r="K616" s="119">
        <v>427.28</v>
      </c>
      <c r="L616" s="119">
        <v>48.37</v>
      </c>
      <c r="M616" s="119">
        <f t="shared" si="99"/>
        <v>0.76328105263157653</v>
      </c>
      <c r="N616" s="128">
        <f t="shared" si="100"/>
        <v>0.3614394811172717</v>
      </c>
      <c r="O616" s="124" t="e">
        <f t="shared" si="103"/>
        <v>#DIV/0!</v>
      </c>
      <c r="P616" s="124">
        <f t="shared" si="103"/>
        <v>-1.4989473684211134</v>
      </c>
      <c r="Q616" s="124">
        <f t="shared" si="103"/>
        <v>1.4236842105263179</v>
      </c>
      <c r="R616" s="124"/>
      <c r="S616" s="124"/>
      <c r="T616" s="124"/>
      <c r="U616" s="119">
        <v>12.7</v>
      </c>
      <c r="V616" s="129" t="e">
        <f t="shared" si="108"/>
        <v>#DIV/0!</v>
      </c>
      <c r="W616" s="134" t="e">
        <f t="shared" si="109"/>
        <v>#DIV/0!</v>
      </c>
      <c r="X616" s="135" t="e">
        <f t="shared" si="98"/>
        <v>#DIV/0!</v>
      </c>
      <c r="Y616" s="134"/>
      <c r="Z616" s="135">
        <v>62.683199999999999</v>
      </c>
      <c r="AA616" s="136">
        <f t="shared" si="110"/>
        <v>10.079000000000001</v>
      </c>
      <c r="AB616" s="131">
        <v>52.604199999999999</v>
      </c>
      <c r="AC616" s="131">
        <f t="shared" si="112"/>
        <v>4.2342000000000013</v>
      </c>
      <c r="AD616" s="131">
        <v>50.819699999999997</v>
      </c>
      <c r="AE616" s="131"/>
      <c r="AF616" s="131"/>
      <c r="AG616" s="130">
        <f>'[6]Monthly Palm Oil'!$D243</f>
        <v>2620.8421052631579</v>
      </c>
      <c r="AH616" s="131">
        <f>'[6]Monthly Palm Oil'!$X243</f>
        <v>28.574468803936682</v>
      </c>
      <c r="AI616" s="131">
        <f t="shared" si="101"/>
        <v>29.66124548177762</v>
      </c>
      <c r="AM616" s="108">
        <v>0.3876350221000594</v>
      </c>
    </row>
    <row r="617" spans="1:45">
      <c r="A617" s="99">
        <v>44256</v>
      </c>
      <c r="B617" s="119" t="e">
        <f>'[4]Monthly Prices'!$CF257</f>
        <v>#DIV/0!</v>
      </c>
      <c r="C617" s="119">
        <v>408.1652173913044</v>
      </c>
      <c r="D617" s="119">
        <v>53.370000000000012</v>
      </c>
      <c r="E617" s="122" t="e">
        <f t="shared" si="107"/>
        <v>#DIV/0!</v>
      </c>
      <c r="F617" s="128" t="e">
        <f t="shared" si="102"/>
        <v>#DIV/0!</v>
      </c>
      <c r="G617" s="127" t="e">
        <f t="shared" si="104"/>
        <v>#DIV/0!</v>
      </c>
      <c r="H617" s="99">
        <f t="shared" si="113"/>
        <v>44256</v>
      </c>
      <c r="I617" s="136"/>
      <c r="J617" s="119">
        <v>14.358934782608696</v>
      </c>
      <c r="K617" s="119">
        <v>410.02</v>
      </c>
      <c r="L617" s="119">
        <v>56</v>
      </c>
      <c r="M617" s="119">
        <f t="shared" si="99"/>
        <v>0.82150521739130511</v>
      </c>
      <c r="N617" s="128">
        <f t="shared" si="100"/>
        <v>0.40578533955537521</v>
      </c>
      <c r="O617" s="124" t="e">
        <f t="shared" si="103"/>
        <v>#DIV/0!</v>
      </c>
      <c r="P617" s="124">
        <f t="shared" si="103"/>
        <v>1.8547826086955865</v>
      </c>
      <c r="Q617" s="124">
        <f t="shared" si="103"/>
        <v>2.6299999999999883</v>
      </c>
      <c r="R617" s="124">
        <f>AVERAGE(J615:J617)</f>
        <v>14.050688787185356</v>
      </c>
      <c r="S617" s="124">
        <f>AVERAGE(K615:K617)</f>
        <v>425.51333333333332</v>
      </c>
      <c r="T617" s="124">
        <f>AVERAGE(L615:L617)</f>
        <v>49.56</v>
      </c>
      <c r="U617" s="119">
        <v>13.2</v>
      </c>
      <c r="V617" s="129" t="e">
        <f t="shared" si="108"/>
        <v>#DIV/0!</v>
      </c>
      <c r="W617" s="134" t="e">
        <f t="shared" si="109"/>
        <v>#DIV/0!</v>
      </c>
      <c r="X617" s="135" t="e">
        <f t="shared" si="98"/>
        <v>#DIV/0!</v>
      </c>
      <c r="Y617" s="134"/>
      <c r="Z617" s="135">
        <v>72.630899999999997</v>
      </c>
      <c r="AA617" s="136">
        <f t="shared" si="110"/>
        <v>10.021799999999999</v>
      </c>
      <c r="AB617" s="131">
        <v>62.609099999999998</v>
      </c>
      <c r="AC617" s="131">
        <f t="shared" si="112"/>
        <v>6.609099999999998</v>
      </c>
      <c r="AD617" s="131">
        <v>51.581499999999998</v>
      </c>
      <c r="AE617" s="131"/>
      <c r="AF617" s="131"/>
      <c r="AG617" s="130">
        <f>'[6]Monthly Palm Oil'!$D244</f>
        <v>2343.5454545454545</v>
      </c>
      <c r="AH617" s="131">
        <f>'[6]Monthly Palm Oil'!$X244</f>
        <v>24.753303883061804</v>
      </c>
      <c r="AI617" s="131">
        <f t="shared" si="101"/>
        <v>40.886196116938208</v>
      </c>
      <c r="AM617" s="108">
        <v>0.3876350221000594</v>
      </c>
    </row>
    <row r="618" spans="1:45">
      <c r="A618" s="99">
        <v>44287</v>
      </c>
      <c r="B618" s="119" t="e">
        <f>'[4]Monthly Prices'!$CF258</f>
        <v>#DIV/0!</v>
      </c>
      <c r="C618" s="119">
        <v>411.33333333333331</v>
      </c>
      <c r="D618" s="119">
        <v>58.235714285714302</v>
      </c>
      <c r="E618" s="122" t="e">
        <f t="shared" si="107"/>
        <v>#DIV/0!</v>
      </c>
      <c r="F618" s="128" t="e">
        <f t="shared" si="102"/>
        <v>#DIV/0!</v>
      </c>
      <c r="G618" s="127" t="e">
        <f t="shared" si="104"/>
        <v>#DIV/0!</v>
      </c>
      <c r="H618" s="99">
        <f t="shared" si="113"/>
        <v>44287</v>
      </c>
      <c r="I618" s="136"/>
      <c r="J618" s="119">
        <v>15.006809523809526</v>
      </c>
      <c r="K618" s="119">
        <v>413.36</v>
      </c>
      <c r="L618" s="119">
        <v>62.88</v>
      </c>
      <c r="M618" s="119">
        <f t="shared" si="99"/>
        <v>1.0039104761904731</v>
      </c>
      <c r="N618" s="128">
        <f t="shared" si="100"/>
        <v>0.43201055292953727</v>
      </c>
      <c r="O618" s="124" t="e">
        <f t="shared" si="103"/>
        <v>#DIV/0!</v>
      </c>
      <c r="P618" s="124">
        <f t="shared" si="103"/>
        <v>2.0266666666666993</v>
      </c>
      <c r="Q618" s="124">
        <f t="shared" si="103"/>
        <v>4.6442857142857008</v>
      </c>
      <c r="U618" s="119">
        <v>13.9</v>
      </c>
      <c r="V618" s="129" t="e">
        <f t="shared" si="108"/>
        <v>#DIV/0!</v>
      </c>
      <c r="W618" s="134" t="e">
        <f t="shared" si="109"/>
        <v>#DIV/0!</v>
      </c>
      <c r="X618" s="135" t="e">
        <f t="shared" si="98"/>
        <v>#DIV/0!</v>
      </c>
      <c r="Y618" s="134"/>
      <c r="Z618" s="135">
        <v>88.140500000000003</v>
      </c>
      <c r="AA618" s="136">
        <f t="shared" si="110"/>
        <v>16.373800000000003</v>
      </c>
      <c r="AB618" s="131">
        <v>71.7667</v>
      </c>
      <c r="AC618" s="131">
        <f t="shared" si="112"/>
        <v>8.8866999999999976</v>
      </c>
      <c r="AD618" s="131">
        <v>53.779800000000002</v>
      </c>
      <c r="AE618" s="131"/>
      <c r="AF618" s="131"/>
      <c r="AG618" s="130">
        <f>'[6]Monthly Palm Oil'!$D245</f>
        <v>2192</v>
      </c>
      <c r="AH618" s="131">
        <f>'[6]Monthly Palm Oil'!$X245</f>
        <v>22.858821540616862</v>
      </c>
      <c r="AI618" s="131">
        <f t="shared" si="101"/>
        <v>42.38436027756498</v>
      </c>
      <c r="AM618" s="108">
        <v>0.3876350221000594</v>
      </c>
    </row>
    <row r="619" spans="1:45">
      <c r="A619" s="99">
        <v>44317</v>
      </c>
      <c r="B619" s="119" t="e">
        <f>'[4]Monthly Prices'!$CF259</f>
        <v>#DIV/0!</v>
      </c>
      <c r="C619" s="119">
        <v>414.65500000000003</v>
      </c>
      <c r="D619" s="119">
        <v>65.639500000000012</v>
      </c>
      <c r="E619" s="122" t="e">
        <f t="shared" si="107"/>
        <v>#DIV/0!</v>
      </c>
      <c r="F619" s="128" t="e">
        <f t="shared" si="102"/>
        <v>#DIV/0!</v>
      </c>
      <c r="G619" s="127" t="e">
        <f t="shared" si="104"/>
        <v>#DIV/0!</v>
      </c>
      <c r="H619" s="99">
        <f t="shared" si="113"/>
        <v>44317</v>
      </c>
      <c r="I619" s="136"/>
      <c r="J619" s="119">
        <v>15.997674999999996</v>
      </c>
      <c r="K619" s="119">
        <v>421.03</v>
      </c>
      <c r="L619" s="119">
        <v>74.75</v>
      </c>
      <c r="M619" s="119">
        <f t="shared" si="99"/>
        <v>1.4874850000000048</v>
      </c>
      <c r="N619" s="128">
        <f t="shared" si="100"/>
        <v>0.47025591987719872</v>
      </c>
      <c r="O619" s="124" t="e">
        <f t="shared" si="103"/>
        <v>#DIV/0!</v>
      </c>
      <c r="P619" s="124">
        <f t="shared" si="103"/>
        <v>6.3749999999999432</v>
      </c>
      <c r="Q619" s="124">
        <f t="shared" si="103"/>
        <v>9.1104999999999876</v>
      </c>
      <c r="U619" s="119">
        <v>14.8</v>
      </c>
      <c r="V619" s="129" t="e">
        <f t="shared" si="108"/>
        <v>#DIV/0!</v>
      </c>
      <c r="W619" s="134" t="e">
        <f t="shared" si="109"/>
        <v>#DIV/0!</v>
      </c>
      <c r="X619" s="135" t="e">
        <f t="shared" ref="X619:X637" si="114">V619-W619</f>
        <v>#DIV/0!</v>
      </c>
      <c r="Y619" s="134"/>
      <c r="Z619" s="135">
        <v>103.6395</v>
      </c>
      <c r="AA619" s="136">
        <f t="shared" si="110"/>
        <v>10.849999999999994</v>
      </c>
      <c r="AB619" s="131">
        <v>92.789500000000004</v>
      </c>
      <c r="AC619" s="131">
        <f t="shared" si="112"/>
        <v>18.039500000000004</v>
      </c>
      <c r="AD619" s="131">
        <v>58.387500000000003</v>
      </c>
      <c r="AE619" s="131"/>
      <c r="AF619" s="131"/>
      <c r="AG619" s="130">
        <f>'[6]Monthly Palm Oil'!$D246</f>
        <v>2111.6875</v>
      </c>
      <c r="AH619" s="131">
        <f>'[6]Monthly Palm Oil'!$X246</f>
        <v>22.077715146371016</v>
      </c>
      <c r="AI619" s="131">
        <f t="shared" si="101"/>
        <v>42.858475329819456</v>
      </c>
      <c r="AM619" s="108">
        <v>0.3876350221000594</v>
      </c>
    </row>
    <row r="620" spans="1:45">
      <c r="A620" s="99">
        <v>44348</v>
      </c>
      <c r="B620" s="119" t="e">
        <f>'[4]Monthly Prices'!$CF260</f>
        <v>#DIV/0!</v>
      </c>
      <c r="C620" s="119">
        <v>374</v>
      </c>
      <c r="D620" s="119">
        <v>65.243181818181839</v>
      </c>
      <c r="E620" s="122" t="e">
        <f t="shared" si="107"/>
        <v>#DIV/0!</v>
      </c>
      <c r="F620" s="128" t="e">
        <f t="shared" si="102"/>
        <v>#DIV/0!</v>
      </c>
      <c r="G620" s="127" t="e">
        <f t="shared" si="104"/>
        <v>#DIV/0!</v>
      </c>
      <c r="H620" s="99">
        <f t="shared" si="113"/>
        <v>44348</v>
      </c>
      <c r="I620" s="136"/>
      <c r="J620" s="119">
        <v>14.820886363636362</v>
      </c>
      <c r="K620" s="119">
        <v>378.18</v>
      </c>
      <c r="L620" s="119">
        <v>74.75</v>
      </c>
      <c r="M620" s="119">
        <f t="shared" si="99"/>
        <v>1.7215736363636367</v>
      </c>
      <c r="N620" s="128">
        <f t="shared" si="100"/>
        <v>0.49705424707087104</v>
      </c>
      <c r="O620" s="124" t="e">
        <f t="shared" ref="O620:Q635" si="115">J620-B620</f>
        <v>#DIV/0!</v>
      </c>
      <c r="P620" s="124">
        <f t="shared" si="115"/>
        <v>4.1800000000000068</v>
      </c>
      <c r="Q620" s="124">
        <f t="shared" si="115"/>
        <v>9.5068181818181614</v>
      </c>
      <c r="R620" s="124">
        <f>AVERAGE(J618:J620)</f>
        <v>15.275123629148629</v>
      </c>
      <c r="S620" s="124">
        <f>AVERAGE(K618:K620)</f>
        <v>404.19</v>
      </c>
      <c r="T620" s="124">
        <f>AVERAGE(L618:L620)</f>
        <v>70.793333333333337</v>
      </c>
      <c r="U620" s="119">
        <v>14.5</v>
      </c>
      <c r="V620" s="129" t="e">
        <f t="shared" si="108"/>
        <v>#DIV/0!</v>
      </c>
      <c r="W620" s="134" t="e">
        <f t="shared" si="109"/>
        <v>#DIV/0!</v>
      </c>
      <c r="X620" s="135" t="e">
        <f t="shared" si="114"/>
        <v>#DIV/0!</v>
      </c>
      <c r="Y620" s="134"/>
      <c r="Z620" s="135">
        <v>99.152299999999997</v>
      </c>
      <c r="AA620" s="136">
        <f t="shared" si="110"/>
        <v>1.7954999999999899</v>
      </c>
      <c r="AB620" s="131">
        <v>97.356800000000007</v>
      </c>
      <c r="AC620" s="131">
        <f t="shared" si="112"/>
        <v>22.606800000000007</v>
      </c>
      <c r="AD620" s="131">
        <v>51.045499999999997</v>
      </c>
      <c r="AE620" s="131"/>
      <c r="AF620" s="131"/>
      <c r="AG620" s="130">
        <f>'[6]Monthly Palm Oil'!$D247</f>
        <v>2371.7619047619046</v>
      </c>
      <c r="AH620" s="131">
        <f>'[6]Monthly Palm Oil'!$X247</f>
        <v>25.176980276980949</v>
      </c>
      <c r="AI620" s="131">
        <f t="shared" si="101"/>
        <v>36.28711063210995</v>
      </c>
      <c r="AM620" s="108">
        <v>0.3876350221000594</v>
      </c>
    </row>
    <row r="621" spans="1:45">
      <c r="A621" s="99">
        <v>44378</v>
      </c>
      <c r="B621" s="119" t="e">
        <f>'[4]Monthly Prices'!$CF261</f>
        <v>#DIV/0!</v>
      </c>
      <c r="C621" s="119">
        <v>361.36666666666667</v>
      </c>
      <c r="D621" s="119">
        <v>64.936190476190475</v>
      </c>
      <c r="E621" s="122" t="e">
        <f t="shared" si="107"/>
        <v>#DIV/0!</v>
      </c>
      <c r="F621" s="128" t="e">
        <f t="shared" si="102"/>
        <v>#DIV/0!</v>
      </c>
      <c r="G621" s="127" t="e">
        <f t="shared" si="104"/>
        <v>#DIV/0!</v>
      </c>
      <c r="H621" s="99">
        <f t="shared" si="113"/>
        <v>44378</v>
      </c>
      <c r="I621" s="136"/>
      <c r="J621" s="119">
        <v>14.56816666666667</v>
      </c>
      <c r="K621" s="119">
        <v>365.23</v>
      </c>
      <c r="L621" s="119">
        <v>72.930000000000007</v>
      </c>
      <c r="M621" s="119">
        <f t="shared" si="99"/>
        <v>1.4891933333333327</v>
      </c>
      <c r="N621" s="128">
        <f t="shared" si="100"/>
        <v>0.49960267441223216</v>
      </c>
      <c r="O621" s="124" t="e">
        <f t="shared" si="115"/>
        <v>#DIV/0!</v>
      </c>
      <c r="P621" s="124">
        <f t="shared" si="115"/>
        <v>3.8633333333333439</v>
      </c>
      <c r="Q621" s="124">
        <f t="shared" si="115"/>
        <v>7.9938095238095315</v>
      </c>
      <c r="U621" s="119">
        <v>14.1</v>
      </c>
      <c r="V621" s="129" t="e">
        <f t="shared" si="108"/>
        <v>#DIV/0!</v>
      </c>
      <c r="W621" s="134" t="e">
        <f t="shared" si="109"/>
        <v>#DIV/0!</v>
      </c>
      <c r="X621" s="135" t="e">
        <f t="shared" si="114"/>
        <v>#DIV/0!</v>
      </c>
      <c r="Y621" s="134"/>
      <c r="Z621" s="135">
        <v>96.620999999999995</v>
      </c>
      <c r="AA621" s="136">
        <f t="shared" si="110"/>
        <v>3.827699999999993</v>
      </c>
      <c r="AB621" s="131">
        <v>92.793300000000002</v>
      </c>
      <c r="AC621" s="131">
        <f t="shared" si="112"/>
        <v>19.863299999999995</v>
      </c>
      <c r="AD621" s="131">
        <v>53.797600000000003</v>
      </c>
      <c r="AE621" s="131"/>
      <c r="AF621" s="131"/>
      <c r="AG621" s="130">
        <f>'[6]Monthly Palm Oil'!$D248</f>
        <v>2539.8571428571427</v>
      </c>
      <c r="AH621" s="131">
        <f>'[6]Monthly Palm Oil'!$X248</f>
        <v>27.039587069844771</v>
      </c>
      <c r="AI621" s="131">
        <f t="shared" si="101"/>
        <v>30.165174834917131</v>
      </c>
      <c r="AM621" s="108">
        <v>0.3876350221000594</v>
      </c>
    </row>
    <row r="622" spans="1:45">
      <c r="A622" s="99">
        <v>44409</v>
      </c>
      <c r="B622" s="119" t="e">
        <f>'[4]Monthly Prices'!$CF262</f>
        <v>#DIV/0!</v>
      </c>
      <c r="C622" s="119">
        <v>354.02727272727276</v>
      </c>
      <c r="D622" s="119">
        <v>61.464090909090899</v>
      </c>
      <c r="E622" s="122" t="e">
        <f t="shared" si="107"/>
        <v>#DIV/0!</v>
      </c>
      <c r="F622" s="128" t="e">
        <f t="shared" si="102"/>
        <v>#DIV/0!</v>
      </c>
      <c r="G622" s="127" t="e">
        <f t="shared" si="104"/>
        <v>#DIV/0!</v>
      </c>
      <c r="H622" s="99">
        <f t="shared" si="113"/>
        <v>44409</v>
      </c>
      <c r="I622" s="136"/>
      <c r="J622" s="119">
        <v>13.825909090909089</v>
      </c>
      <c r="K622" s="119">
        <v>358.21</v>
      </c>
      <c r="L622" s="119">
        <v>70.010000000000005</v>
      </c>
      <c r="M622" s="119">
        <f t="shared" si="99"/>
        <v>1.7558109090909113</v>
      </c>
      <c r="N622" s="128">
        <f t="shared" si="100"/>
        <v>0.49423940360884422</v>
      </c>
      <c r="O622" s="124" t="e">
        <f t="shared" si="115"/>
        <v>#DIV/0!</v>
      </c>
      <c r="P622" s="124">
        <f t="shared" si="115"/>
        <v>4.1827272727272202</v>
      </c>
      <c r="Q622" s="124">
        <f t="shared" si="115"/>
        <v>8.545909090909106</v>
      </c>
      <c r="U622" s="119">
        <v>13.7</v>
      </c>
      <c r="V622" s="129" t="e">
        <f t="shared" si="108"/>
        <v>#DIV/0!</v>
      </c>
      <c r="W622" s="134" t="e">
        <f t="shared" si="109"/>
        <v>#DIV/0!</v>
      </c>
      <c r="X622" s="135" t="e">
        <f t="shared" si="114"/>
        <v>#DIV/0!</v>
      </c>
      <c r="Y622" s="134"/>
      <c r="Z622" s="135">
        <v>91.145899999999997</v>
      </c>
      <c r="AA622" s="136">
        <f t="shared" si="110"/>
        <v>8.3182000000000045</v>
      </c>
      <c r="AB622" s="131">
        <v>82.827699999999993</v>
      </c>
      <c r="AC622" s="131">
        <f t="shared" si="112"/>
        <v>12.817699999999988</v>
      </c>
      <c r="AD622" s="131">
        <v>57.693199999999997</v>
      </c>
      <c r="AE622" s="131"/>
      <c r="AF622" s="131"/>
      <c r="AG622" s="130">
        <f>'[6]Monthly Palm Oil'!$D249</f>
        <v>2701.7368421052633</v>
      </c>
      <c r="AH622" s="131">
        <f>'[6]Monthly Palm Oil'!$X249</f>
        <v>29.282032433617726</v>
      </c>
      <c r="AI622" s="131">
        <f t="shared" si="101"/>
        <v>31.964158042572752</v>
      </c>
      <c r="AM622" s="108">
        <v>0.3876350221000594</v>
      </c>
    </row>
    <row r="623" spans="1:45">
      <c r="A623" s="99">
        <v>44440</v>
      </c>
      <c r="B623" s="119" t="e">
        <f>'[4]Monthly Prices'!$CF263</f>
        <v>#DIV/0!</v>
      </c>
      <c r="C623" s="119">
        <v>337.04761904761909</v>
      </c>
      <c r="D623" s="119">
        <v>57.204761904761902</v>
      </c>
      <c r="E623" s="122" t="e">
        <f t="shared" si="107"/>
        <v>#DIV/0!</v>
      </c>
      <c r="F623" s="128" t="e">
        <f t="shared" si="102"/>
        <v>#DIV/0!</v>
      </c>
      <c r="G623" s="127" t="e">
        <f t="shared" si="104"/>
        <v>#DIV/0!</v>
      </c>
      <c r="H623" s="99">
        <f t="shared" si="113"/>
        <v>44440</v>
      </c>
      <c r="I623" s="136"/>
      <c r="J623" s="138">
        <v>12.773809523809524</v>
      </c>
      <c r="K623" s="138">
        <v>343.55</v>
      </c>
      <c r="L623" s="138">
        <v>65.930000000000007</v>
      </c>
      <c r="M623" s="119">
        <f t="shared" si="99"/>
        <v>2.0365904761904776</v>
      </c>
      <c r="N623" s="128">
        <f t="shared" si="100"/>
        <v>0.48967617349970294</v>
      </c>
      <c r="O623" s="124" t="e">
        <f t="shared" si="115"/>
        <v>#DIV/0!</v>
      </c>
      <c r="P623" s="124">
        <f t="shared" si="115"/>
        <v>6.5023809523809177</v>
      </c>
      <c r="Q623" s="124">
        <f t="shared" si="115"/>
        <v>8.7252380952381046</v>
      </c>
      <c r="R623" s="124">
        <f>AVERAGE(J621:J623)</f>
        <v>13.722628427128427</v>
      </c>
      <c r="S623" s="124">
        <f>AVERAGE(K621:K623)</f>
        <v>355.66333333333336</v>
      </c>
      <c r="T623" s="124">
        <f>AVERAGE(L621:L623)</f>
        <v>69.623333333333335</v>
      </c>
      <c r="U623" s="119">
        <v>12.2</v>
      </c>
      <c r="V623" s="129" t="e">
        <f>U623-B623</f>
        <v>#DIV/0!</v>
      </c>
      <c r="W623" s="134" t="e">
        <f t="shared" si="109"/>
        <v>#DIV/0!</v>
      </c>
      <c r="X623" s="135" t="e">
        <f t="shared" si="114"/>
        <v>#DIV/0!</v>
      </c>
      <c r="Y623" s="134"/>
      <c r="Z623" s="135">
        <v>83.7286</v>
      </c>
      <c r="AA623" s="136">
        <f t="shared" si="110"/>
        <v>8.5715000000000003</v>
      </c>
      <c r="AB623" s="131">
        <v>75.1571</v>
      </c>
      <c r="AC623" s="131">
        <f t="shared" si="112"/>
        <v>9.227099999999993</v>
      </c>
      <c r="AD623" s="131">
        <v>59.238100000000003</v>
      </c>
      <c r="AE623" s="131"/>
      <c r="AF623" s="131"/>
      <c r="AG623" s="130">
        <f>'[6]Monthly Palm Oil'!$D250</f>
        <v>2858.7619047619046</v>
      </c>
      <c r="AH623" s="131">
        <f>'[6]Monthly Palm Oil'!$X250</f>
        <v>31.261280071326013</v>
      </c>
      <c r="AI623" s="131">
        <f t="shared" si="101"/>
        <v>27.973481833435883</v>
      </c>
      <c r="AK623" s="139" t="e" vm="1">
        <f t="array" ref="AK623:AL645">[2]!'kpo@c[INTERVAL:DAILY,COMPRESSION:1,SORT:ASC,NDATE:3/31/2022,FDATE:03/1/2023,VERSION:1]?DATE,CLOSE'</f>
        <v>#REF!</v>
      </c>
      <c r="AL623" s="108" t="e" vm="1">
        <v>#REF!</v>
      </c>
      <c r="AM623" s="108">
        <v>0.3876350221000594</v>
      </c>
      <c r="AQ623" s="108">
        <v>12.766299999999999</v>
      </c>
    </row>
    <row r="624" spans="1:45">
      <c r="A624" s="99">
        <v>44470</v>
      </c>
      <c r="B624" s="119" t="e">
        <f>'[4]Monthly Prices'!$CF264</f>
        <v>#DIV/0!</v>
      </c>
      <c r="C624" s="119">
        <v>322.55714285714276</v>
      </c>
      <c r="D624" s="119">
        <v>61.246190476190478</v>
      </c>
      <c r="E624" s="122" t="e">
        <f t="shared" si="107"/>
        <v>#DIV/0!</v>
      </c>
      <c r="F624" s="128" t="e">
        <f t="shared" si="102"/>
        <v>#DIV/0!</v>
      </c>
      <c r="G624" s="127" t="e">
        <f t="shared" si="104"/>
        <v>#DIV/0!</v>
      </c>
      <c r="H624" s="99">
        <f t="shared" si="113"/>
        <v>44470</v>
      </c>
      <c r="I624" s="140"/>
      <c r="J624" s="138">
        <v>12.302200000000003</v>
      </c>
      <c r="K624" s="138">
        <v>325.43</v>
      </c>
      <c r="L624" s="138">
        <v>70.42</v>
      </c>
      <c r="M624" s="119">
        <f t="shared" si="99"/>
        <v>2.6034599999999983</v>
      </c>
      <c r="N624" s="128">
        <f t="shared" si="100"/>
        <v>0.5196817853083997</v>
      </c>
      <c r="O624" s="124" t="e">
        <f t="shared" si="115"/>
        <v>#DIV/0!</v>
      </c>
      <c r="P624" s="124">
        <f t="shared" si="115"/>
        <v>2.8728571428572423</v>
      </c>
      <c r="Q624" s="124">
        <f t="shared" si="115"/>
        <v>9.1738095238095241</v>
      </c>
      <c r="R624" s="124"/>
      <c r="S624" s="124"/>
      <c r="T624" s="124"/>
      <c r="U624" s="119">
        <v>11.9</v>
      </c>
      <c r="V624" s="129" t="e">
        <f>U624-B624</f>
        <v>#DIV/0!</v>
      </c>
      <c r="W624" s="134" t="e">
        <f t="shared" si="109"/>
        <v>#DIV/0!</v>
      </c>
      <c r="X624" s="135" t="e">
        <f t="shared" si="114"/>
        <v>#DIV/0!</v>
      </c>
      <c r="Y624" s="134"/>
      <c r="Z624" s="135">
        <v>86.846199999999996</v>
      </c>
      <c r="AA624" s="136">
        <f t="shared" si="110"/>
        <v>7.1951999999999998</v>
      </c>
      <c r="AB624" s="131">
        <v>79.650999999999996</v>
      </c>
      <c r="AC624" s="131">
        <f t="shared" si="112"/>
        <v>9.2309999999999945</v>
      </c>
      <c r="AD624" s="131">
        <v>65.297600000000003</v>
      </c>
      <c r="AE624" s="131"/>
      <c r="AF624" s="131"/>
      <c r="AG624" s="130">
        <f>'[6]Monthly Palm Oil'!$D251</f>
        <v>2909.0952380952381</v>
      </c>
      <c r="AH624" s="131">
        <f>'[6]Monthly Palm Oil'!$X251</f>
        <v>31.802832862944094</v>
      </c>
      <c r="AI624" s="131">
        <f t="shared" si="101"/>
        <v>23.406712591601369</v>
      </c>
      <c r="AK624" s="139" t="e" vm="1">
        <v>#REF!</v>
      </c>
      <c r="AL624" s="108" t="e" vm="1">
        <v>#REF!</v>
      </c>
      <c r="AM624" s="108">
        <v>0.3876350221000594</v>
      </c>
      <c r="AQ624" s="108">
        <v>12.1769</v>
      </c>
      <c r="AR624" s="108">
        <v>325.43</v>
      </c>
      <c r="AS624" s="108">
        <v>70.42</v>
      </c>
    </row>
    <row r="625" spans="1:45">
      <c r="A625" s="99">
        <v>44501</v>
      </c>
      <c r="B625" s="119" t="e">
        <f>'[4]Monthly Prices'!$CF265</f>
        <v>#DIV/0!</v>
      </c>
      <c r="C625" s="119">
        <v>352.2619047619047</v>
      </c>
      <c r="D625" s="119">
        <v>59.234761904761896</v>
      </c>
      <c r="E625" s="122" t="e">
        <f t="shared" si="107"/>
        <v>#DIV/0!</v>
      </c>
      <c r="F625" s="128" t="e">
        <f t="shared" si="102"/>
        <v>#DIV/0!</v>
      </c>
      <c r="G625" s="127" t="e">
        <f t="shared" si="104"/>
        <v>#DIV/0!</v>
      </c>
      <c r="H625" s="99">
        <f t="shared" si="113"/>
        <v>44501</v>
      </c>
      <c r="I625" s="136"/>
      <c r="J625" s="138">
        <v>12.536175</v>
      </c>
      <c r="K625" s="138">
        <v>358.73</v>
      </c>
      <c r="L625" s="138">
        <v>66.459999999999994</v>
      </c>
      <c r="M625" s="119">
        <f>(K625/2000*44)+(L625/100*11)-J625</f>
        <v>2.6664849999999998</v>
      </c>
      <c r="N625" s="128">
        <f>L625/100*11/(J625+M625)</f>
        <v>0.48087637295052316</v>
      </c>
      <c r="O625" s="124" t="e">
        <f t="shared" si="115"/>
        <v>#DIV/0!</v>
      </c>
      <c r="P625" s="124">
        <f t="shared" si="115"/>
        <v>6.4680952380953158</v>
      </c>
      <c r="Q625" s="124">
        <f t="shared" si="115"/>
        <v>7.2252380952380975</v>
      </c>
      <c r="R625" s="124"/>
      <c r="S625" s="124"/>
      <c r="T625" s="124"/>
      <c r="U625" s="119">
        <v>12.1</v>
      </c>
      <c r="V625" s="129" t="e">
        <f t="shared" ref="V625:V660" si="116">U625-B625</f>
        <v>#DIV/0!</v>
      </c>
      <c r="W625" s="134" t="e">
        <f t="shared" si="109"/>
        <v>#DIV/0!</v>
      </c>
      <c r="X625" s="135" t="e">
        <f t="shared" si="114"/>
        <v>#DIV/0!</v>
      </c>
      <c r="Y625" s="134"/>
      <c r="Z625" s="135">
        <v>90.849500000000006</v>
      </c>
      <c r="AA625" s="136">
        <f t="shared" si="110"/>
        <v>13.471900000000005</v>
      </c>
      <c r="AB625" s="131">
        <v>77.377600000000001</v>
      </c>
      <c r="AC625" s="131">
        <f t="shared" si="112"/>
        <v>10.917600000000007</v>
      </c>
      <c r="AD625" s="131">
        <v>67.226200000000006</v>
      </c>
      <c r="AE625" s="131"/>
      <c r="AF625" s="131"/>
      <c r="AG625" s="130">
        <f>'[6]Monthly Palm Oil'!$D252</f>
        <v>3259.4285714285716</v>
      </c>
      <c r="AH625" s="131">
        <f>'[6]Monthly Palm Oil'!$X252</f>
        <v>35.984907918466668</v>
      </c>
      <c r="AI625" s="131">
        <f t="shared" si="101"/>
        <v>24.695092081533325</v>
      </c>
      <c r="AK625" s="139" t="e" vm="1">
        <v>#REF!</v>
      </c>
      <c r="AL625" s="108" t="e" vm="1">
        <v>#REF!</v>
      </c>
      <c r="AM625" s="108">
        <v>0.3876350221000594</v>
      </c>
      <c r="AQ625" s="108">
        <v>12.4445</v>
      </c>
      <c r="AR625" s="108">
        <v>358.73</v>
      </c>
      <c r="AS625" s="108">
        <v>66.459999999999994</v>
      </c>
    </row>
    <row r="626" spans="1:45">
      <c r="A626" s="99">
        <v>44531</v>
      </c>
      <c r="B626" s="119" t="e">
        <f>'[4]Monthly Prices'!$CF266</f>
        <v>#DIV/0!</v>
      </c>
      <c r="C626" s="119">
        <v>380.27272727272725</v>
      </c>
      <c r="D626" s="119">
        <v>55.209545454545463</v>
      </c>
      <c r="E626" s="122" t="e">
        <f t="shared" si="107"/>
        <v>#DIV/0!</v>
      </c>
      <c r="F626" s="128" t="e">
        <f t="shared" si="102"/>
        <v>#DIV/0!</v>
      </c>
      <c r="G626" s="127" t="e">
        <f t="shared" si="104"/>
        <v>#DIV/0!</v>
      </c>
      <c r="H626" s="99">
        <f t="shared" si="113"/>
        <v>44531</v>
      </c>
      <c r="I626" s="136"/>
      <c r="J626" s="138">
        <v>13.033547619047621</v>
      </c>
      <c r="K626" s="138">
        <v>399.53</v>
      </c>
      <c r="L626" s="138">
        <v>63.69</v>
      </c>
      <c r="M626" s="119">
        <f>(K626/2000*44)+(L626/100*11)-J626</f>
        <v>2.7620123809523793</v>
      </c>
      <c r="N626" s="128">
        <f>L626/100*11/(J626+M626)</f>
        <v>0.44353603164433553</v>
      </c>
      <c r="O626" s="124" t="e">
        <f t="shared" si="115"/>
        <v>#DIV/0!</v>
      </c>
      <c r="P626" s="124">
        <f t="shared" si="115"/>
        <v>19.257272727272721</v>
      </c>
      <c r="Q626" s="124">
        <f t="shared" si="115"/>
        <v>8.4804545454545348</v>
      </c>
      <c r="R626" s="124">
        <f>AVERAGE(J624:J626)</f>
        <v>12.623974206349208</v>
      </c>
      <c r="S626" s="124">
        <f>AVERAGE(K624:K626)</f>
        <v>361.23</v>
      </c>
      <c r="T626" s="124">
        <f>AVERAGE(L624:L626)</f>
        <v>66.856666666666669</v>
      </c>
      <c r="U626" s="119">
        <v>12.5</v>
      </c>
      <c r="V626" s="129" t="e">
        <f t="shared" si="116"/>
        <v>#DIV/0!</v>
      </c>
      <c r="W626" s="134" t="e">
        <f t="shared" si="109"/>
        <v>#DIV/0!</v>
      </c>
      <c r="X626" s="135" t="e">
        <f t="shared" si="114"/>
        <v>#DIV/0!</v>
      </c>
      <c r="Y626" s="134"/>
      <c r="Z626" s="135">
        <v>87.157600000000002</v>
      </c>
      <c r="AA626" s="136">
        <f t="shared" si="110"/>
        <v>14.119</v>
      </c>
      <c r="AB626" s="131">
        <v>73.038600000000002</v>
      </c>
      <c r="AC626" s="131">
        <f t="shared" si="112"/>
        <v>9.3486000000000047</v>
      </c>
      <c r="AD626" s="131">
        <v>62.994</v>
      </c>
      <c r="AE626" s="131"/>
      <c r="AF626" s="131"/>
      <c r="AG626" s="130">
        <f>'[6]Monthly Palm Oil'!$D253</f>
        <v>3438.318181818182</v>
      </c>
      <c r="AH626" s="131">
        <f>'[6]Monthly Palm Oil'!$X253</f>
        <v>38.468536895250743</v>
      </c>
      <c r="AI626" s="131">
        <f t="shared" si="101"/>
        <v>28.544094683696621</v>
      </c>
      <c r="AK626" s="139" t="e" vm="1">
        <v>#REF!</v>
      </c>
      <c r="AL626" s="108" t="e" vm="1">
        <v>#REF!</v>
      </c>
      <c r="AM626" s="108">
        <v>0.3876350221000594</v>
      </c>
      <c r="AN626" s="108" t="e" vm="2">
        <f>AVERAGE(AL623:AL639)</f>
        <v>#VALUE!</v>
      </c>
      <c r="AQ626" s="108">
        <v>13.098800000000001</v>
      </c>
      <c r="AR626" s="108">
        <v>399.53</v>
      </c>
      <c r="AS626" s="108">
        <v>63.69</v>
      </c>
    </row>
    <row r="627" spans="1:45">
      <c r="A627" s="99">
        <v>44562</v>
      </c>
      <c r="B627" s="119" t="e">
        <f>'[4]Monthly Prices'!$CF267</f>
        <v>#DIV/0!</v>
      </c>
      <c r="C627" s="119">
        <v>406.92999999999995</v>
      </c>
      <c r="D627" s="119">
        <v>60.679999999999993</v>
      </c>
      <c r="E627" s="122" t="e">
        <f t="shared" si="107"/>
        <v>#DIV/0!</v>
      </c>
      <c r="F627" s="128" t="e">
        <f t="shared" si="102"/>
        <v>#DIV/0!</v>
      </c>
      <c r="G627" s="127" t="e">
        <f t="shared" si="104"/>
        <v>#DIV/0!</v>
      </c>
      <c r="H627" s="99">
        <f t="shared" si="113"/>
        <v>44562</v>
      </c>
      <c r="I627" s="136">
        <v>13.9231</v>
      </c>
      <c r="J627" s="138">
        <v>14.089400000000001</v>
      </c>
      <c r="K627" s="138">
        <v>421.21</v>
      </c>
      <c r="L627" s="138">
        <v>65.7</v>
      </c>
      <c r="M627" s="119">
        <f>(K627/2000*44)+(L627/100*11)-J627</f>
        <v>2.4042199999999987</v>
      </c>
      <c r="N627" s="128">
        <f>L627/100*11/(J627+M627)</f>
        <v>0.4381694255111977</v>
      </c>
      <c r="O627" s="124" t="e">
        <f t="shared" si="115"/>
        <v>#DIV/0!</v>
      </c>
      <c r="P627" s="124">
        <f t="shared" si="115"/>
        <v>14.28000000000003</v>
      </c>
      <c r="Q627" s="124">
        <f t="shared" si="115"/>
        <v>5.0200000000000102</v>
      </c>
      <c r="R627" s="124"/>
      <c r="S627" s="124"/>
      <c r="T627" s="124"/>
      <c r="U627" s="119">
        <v>12.9</v>
      </c>
      <c r="V627" s="129" t="e">
        <f t="shared" si="116"/>
        <v>#DIV/0!</v>
      </c>
      <c r="W627" s="134" t="e">
        <f t="shared" si="109"/>
        <v>#DIV/0!</v>
      </c>
      <c r="X627" s="135" t="e">
        <f t="shared" si="114"/>
        <v>#DIV/0!</v>
      </c>
      <c r="Y627" s="134"/>
      <c r="Z627" s="135">
        <v>92.68</v>
      </c>
      <c r="AA627" s="136">
        <f t="shared" si="110"/>
        <v>17.112500000000011</v>
      </c>
      <c r="AB627" s="131">
        <v>75.567499999999995</v>
      </c>
      <c r="AC627" s="131">
        <f t="shared" si="112"/>
        <v>9.8674999999999926</v>
      </c>
      <c r="AD627" s="131">
        <v>66.406300000000002</v>
      </c>
      <c r="AE627" s="131"/>
      <c r="AF627" s="131"/>
      <c r="AG627" s="130">
        <f>'[6]Monthly Palm Oil'!$D254</f>
        <v>3509</v>
      </c>
      <c r="AH627" s="131">
        <f>'[6]Monthly Palm Oil'!$X254</f>
        <v>39.424419197056295</v>
      </c>
      <c r="AI627" s="131">
        <f t="shared" si="101"/>
        <v>34.582102542074153</v>
      </c>
      <c r="AK627" s="139" t="e" vm="1">
        <v>#REF!</v>
      </c>
      <c r="AL627" s="108" t="e" vm="1">
        <v>#REF!</v>
      </c>
      <c r="AM627" s="108">
        <v>0.3876350221000594</v>
      </c>
      <c r="AQ627" s="108">
        <v>13.9231</v>
      </c>
      <c r="AR627" s="108">
        <v>421.21</v>
      </c>
      <c r="AS627" s="108">
        <v>65.7</v>
      </c>
    </row>
    <row r="628" spans="1:45">
      <c r="A628" s="99">
        <v>44593</v>
      </c>
      <c r="B628" s="119" t="e">
        <f>'[4]Monthly Prices'!$CF268</f>
        <v>#DIV/0!</v>
      </c>
      <c r="C628" s="119">
        <v>450.42631578947362</v>
      </c>
      <c r="D628" s="119">
        <v>67.012631578947364</v>
      </c>
      <c r="E628" s="122" t="e">
        <f t="shared" si="107"/>
        <v>#DIV/0!</v>
      </c>
      <c r="F628" s="128" t="e">
        <f t="shared" si="102"/>
        <v>#DIV/0!</v>
      </c>
      <c r="G628" s="127" t="e">
        <f t="shared" si="104"/>
        <v>#DIV/0!</v>
      </c>
      <c r="H628" s="99">
        <f>A628</f>
        <v>44593</v>
      </c>
      <c r="I628" s="136">
        <v>15.5</v>
      </c>
      <c r="J628" s="138">
        <v>15.946368421052631</v>
      </c>
      <c r="K628" s="138">
        <v>460.45</v>
      </c>
      <c r="L628" s="138">
        <v>70.91</v>
      </c>
      <c r="M628" s="119">
        <f t="shared" ref="M628:M683" si="117">(K628/2000*44)+(L628/100*11)-J628</f>
        <v>1.9836315789473691</v>
      </c>
      <c r="N628" s="128">
        <f t="shared" ref="N628:N670" si="118">L628/100*11/(J628+M628)</f>
        <v>0.43503067484662578</v>
      </c>
      <c r="O628" s="124" t="e">
        <f t="shared" si="115"/>
        <v>#DIV/0!</v>
      </c>
      <c r="P628" s="124">
        <f t="shared" si="115"/>
        <v>10.023684210526369</v>
      </c>
      <c r="Q628" s="124">
        <f t="shared" si="115"/>
        <v>3.8973684210526329</v>
      </c>
      <c r="R628" s="124"/>
      <c r="S628" s="124"/>
      <c r="T628" s="124"/>
      <c r="U628" s="119">
        <v>14.7</v>
      </c>
      <c r="V628" s="129" t="e">
        <f t="shared" si="116"/>
        <v>#DIV/0!</v>
      </c>
      <c r="W628" s="134" t="e">
        <f t="shared" si="109"/>
        <v>#DIV/0!</v>
      </c>
      <c r="X628" s="135" t="e">
        <f t="shared" si="114"/>
        <v>#DIV/0!</v>
      </c>
      <c r="Y628" s="134"/>
      <c r="Z628" s="135">
        <v>99.012600000000006</v>
      </c>
      <c r="AA628" s="136">
        <f t="shared" si="110"/>
        <v>19.355200000000011</v>
      </c>
      <c r="AB628" s="131">
        <v>79.657399999999996</v>
      </c>
      <c r="AC628" s="131">
        <f t="shared" si="112"/>
        <v>8.747399999999999</v>
      </c>
      <c r="AD628" s="131">
        <v>74.1447</v>
      </c>
      <c r="AE628" s="131"/>
      <c r="AF628" s="131"/>
      <c r="AG628" s="130">
        <f>'[6]Monthly Palm Oil'!$D255</f>
        <v>3544.9444444444443</v>
      </c>
      <c r="AH628" s="131">
        <f>'[6]Monthly Palm Oil'!$X255</f>
        <v>39.761982724797612</v>
      </c>
      <c r="AI628" s="131">
        <f t="shared" si="101"/>
        <v>39.440017275202386</v>
      </c>
      <c r="AK628" s="139" t="e" vm="1">
        <v>#REF!</v>
      </c>
      <c r="AL628" s="108" t="e" vm="1">
        <v>#REF!</v>
      </c>
      <c r="AM628" s="108">
        <v>0.3876350221000594</v>
      </c>
      <c r="AQ628" s="108">
        <v>15.5</v>
      </c>
      <c r="AR628" s="108">
        <v>460.45</v>
      </c>
      <c r="AS628" s="108">
        <v>70.91</v>
      </c>
    </row>
    <row r="629" spans="1:45">
      <c r="A629" s="99">
        <v>44621</v>
      </c>
      <c r="B629" s="119" t="e">
        <f>'[4]Monthly Prices'!$CF269</f>
        <v>#DIV/0!</v>
      </c>
      <c r="C629" s="119">
        <v>473.19565217391306</v>
      </c>
      <c r="D629" s="119">
        <v>74.006521739130449</v>
      </c>
      <c r="E629" s="122" t="e">
        <f t="shared" si="107"/>
        <v>#DIV/0!</v>
      </c>
      <c r="F629" s="128" t="e">
        <f t="shared" si="102"/>
        <v>#DIV/0!</v>
      </c>
      <c r="G629" s="127" t="e">
        <f t="shared" si="104"/>
        <v>#DIV/0!</v>
      </c>
      <c r="H629" s="99">
        <f t="shared" si="113"/>
        <v>44621</v>
      </c>
      <c r="I629" s="136">
        <v>16.95</v>
      </c>
      <c r="J629" s="138">
        <v>16.723239130434784</v>
      </c>
      <c r="K629" s="138">
        <v>493.97500000000002</v>
      </c>
      <c r="L629" s="138">
        <v>76.405000000000001</v>
      </c>
      <c r="M629" s="119">
        <f t="shared" si="117"/>
        <v>2.5487608695652142</v>
      </c>
      <c r="N629" s="128">
        <f t="shared" si="118"/>
        <v>0.43610159817351601</v>
      </c>
      <c r="O629" s="124" t="e">
        <f t="shared" si="115"/>
        <v>#DIV/0!</v>
      </c>
      <c r="P629" s="124">
        <f t="shared" si="115"/>
        <v>20.779347826086962</v>
      </c>
      <c r="Q629" s="124">
        <f t="shared" si="115"/>
        <v>2.3984782608695525</v>
      </c>
      <c r="R629" s="124">
        <f>AVERAGE(J627:J629)</f>
        <v>15.586335850495805</v>
      </c>
      <c r="S629" s="124">
        <f>AVERAGE(K627:K629)</f>
        <v>458.54500000000002</v>
      </c>
      <c r="T629" s="124">
        <f>AVERAGE(L627:L629)</f>
        <v>71.00500000000001</v>
      </c>
      <c r="U629" s="119">
        <v>15.4</v>
      </c>
      <c r="V629" s="129" t="e">
        <f t="shared" si="116"/>
        <v>#DIV/0!</v>
      </c>
      <c r="W629" s="134" t="e">
        <f t="shared" si="109"/>
        <v>#DIV/0!</v>
      </c>
      <c r="X629" s="135" t="e">
        <f t="shared" si="114"/>
        <v>#DIV/0!</v>
      </c>
      <c r="Y629" s="134"/>
      <c r="Z629" s="135">
        <v>102.7022</v>
      </c>
      <c r="AA629" s="136">
        <f t="shared" si="110"/>
        <v>11.4131</v>
      </c>
      <c r="AB629" s="131">
        <v>91.289100000000005</v>
      </c>
      <c r="AC629" s="131">
        <f t="shared" si="112"/>
        <v>14.884100000000004</v>
      </c>
      <c r="AD629" s="131">
        <v>86.309799999999996</v>
      </c>
      <c r="AE629" s="131"/>
      <c r="AF629" s="131"/>
      <c r="AG629" s="130">
        <f>'[6]Monthly Palm Oil'!$D256</f>
        <v>3830.217391304348</v>
      </c>
      <c r="AH629" s="131">
        <f>'[6]Monthly Palm Oil'!$X256</f>
        <v>42.288377907121905</v>
      </c>
      <c r="AI629" s="131">
        <f t="shared" si="101"/>
        <v>38.716383997640001</v>
      </c>
      <c r="AK629" s="139" t="e" vm="1">
        <v>#REF!</v>
      </c>
      <c r="AL629" s="108" t="e" vm="1">
        <v>#REF!</v>
      </c>
      <c r="AM629" s="108">
        <v>0.3876350221000594</v>
      </c>
      <c r="AQ629" s="108">
        <v>16.95</v>
      </c>
      <c r="AR629" s="108">
        <v>493.97500000000002</v>
      </c>
      <c r="AS629" s="108">
        <v>76.405000000000001</v>
      </c>
    </row>
    <row r="630" spans="1:45">
      <c r="A630" s="99">
        <v>44652</v>
      </c>
      <c r="B630" s="119" t="e">
        <f>'[4]Monthly Prices'!$CF270</f>
        <v>#DIV/0!</v>
      </c>
      <c r="C630" s="119">
        <v>457.95999999999992</v>
      </c>
      <c r="D630" s="119">
        <v>79.201999999999998</v>
      </c>
      <c r="E630" s="122" t="e">
        <f t="shared" si="107"/>
        <v>#DIV/0!</v>
      </c>
      <c r="F630" s="128" t="e">
        <f t="shared" si="102"/>
        <v>#DIV/0!</v>
      </c>
      <c r="G630" s="127" t="e">
        <f t="shared" si="104"/>
        <v>#DIV/0!</v>
      </c>
      <c r="H630" s="99">
        <f>A630</f>
        <v>44652</v>
      </c>
      <c r="I630" s="136">
        <v>17.0915</v>
      </c>
      <c r="J630" s="138">
        <v>16.978199999999994</v>
      </c>
      <c r="K630" s="138">
        <v>475.35999999999996</v>
      </c>
      <c r="L630" s="138">
        <v>83.846000000000004</v>
      </c>
      <c r="M630" s="119">
        <f t="shared" si="117"/>
        <v>2.7027800000000042</v>
      </c>
      <c r="N630" s="128">
        <f t="shared" si="118"/>
        <v>0.46862808660950833</v>
      </c>
      <c r="O630" s="124" t="e">
        <f t="shared" si="115"/>
        <v>#DIV/0!</v>
      </c>
      <c r="P630" s="124">
        <f t="shared" si="115"/>
        <v>17.400000000000034</v>
      </c>
      <c r="Q630" s="124">
        <f t="shared" si="115"/>
        <v>4.6440000000000055</v>
      </c>
      <c r="U630" s="119">
        <v>15.8</v>
      </c>
      <c r="V630" s="129" t="e">
        <f t="shared" si="116"/>
        <v>#DIV/0!</v>
      </c>
      <c r="W630" s="134" t="e">
        <f t="shared" si="109"/>
        <v>#DIV/0!</v>
      </c>
      <c r="X630" s="135" t="e">
        <f t="shared" si="114"/>
        <v>#DIV/0!</v>
      </c>
      <c r="Y630" s="134"/>
      <c r="Z630" s="135">
        <v>109.152</v>
      </c>
      <c r="AA630" s="136">
        <f t="shared" si="110"/>
        <v>12.650000000000006</v>
      </c>
      <c r="AB630" s="131">
        <v>96.501999999999995</v>
      </c>
      <c r="AC630" s="131">
        <f t="shared" si="112"/>
        <v>12.655999999999992</v>
      </c>
      <c r="AD630" s="131">
        <v>81.900000000000006</v>
      </c>
      <c r="AE630" s="131"/>
      <c r="AF630" s="131"/>
      <c r="AG630" s="130">
        <f>'[6]Monthly Palm Oil'!$D257</f>
        <v>3815.9047619047619</v>
      </c>
      <c r="AH630" s="131">
        <f>'[6]Monthly Palm Oil'!$X257</f>
        <v>42.002719058576254</v>
      </c>
      <c r="AI630" s="131">
        <f t="shared" si="101"/>
        <v>34.327280941423744</v>
      </c>
      <c r="AK630" s="139" t="e" vm="1">
        <v>#REF!</v>
      </c>
      <c r="AL630" s="108" t="e" vm="1">
        <v>#REF!</v>
      </c>
      <c r="AM630" s="108">
        <v>0.3876350221000594</v>
      </c>
      <c r="AQ630" s="108">
        <v>17.0915</v>
      </c>
      <c r="AR630" s="108">
        <v>475.35999999999996</v>
      </c>
      <c r="AS630" s="108">
        <v>83.846000000000004</v>
      </c>
    </row>
    <row r="631" spans="1:45">
      <c r="A631" s="99">
        <v>44682</v>
      </c>
      <c r="B631" s="119" t="e">
        <f>'[4]Monthly Prices'!$CF271</f>
        <v>#DIV/0!</v>
      </c>
      <c r="C631" s="119">
        <v>417.0333333333333</v>
      </c>
      <c r="D631" s="119">
        <v>81.004761904761907</v>
      </c>
      <c r="E631" s="122" t="e">
        <f t="shared" si="107"/>
        <v>#DIV/0!</v>
      </c>
      <c r="F631" s="128" t="e">
        <f t="shared" si="102"/>
        <v>#DIV/0!</v>
      </c>
      <c r="G631" s="127" t="e">
        <f t="shared" si="104"/>
        <v>#DIV/0!</v>
      </c>
      <c r="H631" s="99">
        <f t="shared" si="113"/>
        <v>44682</v>
      </c>
      <c r="I631" s="136">
        <v>17.168099999999999</v>
      </c>
      <c r="J631" s="138">
        <v>17.025976190476189</v>
      </c>
      <c r="K631" s="138">
        <v>441.27499999999998</v>
      </c>
      <c r="L631" s="138">
        <v>87.385000000000005</v>
      </c>
      <c r="M631" s="119">
        <f t="shared" si="117"/>
        <v>2.2944238095238099</v>
      </c>
      <c r="N631" s="128">
        <f t="shared" si="118"/>
        <v>0.49752334320200409</v>
      </c>
      <c r="O631" s="124" t="e">
        <f t="shared" si="115"/>
        <v>#DIV/0!</v>
      </c>
      <c r="P631" s="124">
        <f t="shared" si="115"/>
        <v>24.241666666666674</v>
      </c>
      <c r="Q631" s="124">
        <f t="shared" si="115"/>
        <v>6.3802380952380986</v>
      </c>
      <c r="U631" s="119">
        <v>16.100000000000001</v>
      </c>
      <c r="V631" s="129" t="e">
        <f t="shared" si="116"/>
        <v>#DIV/0!</v>
      </c>
      <c r="W631" s="134" t="e">
        <f t="shared" si="109"/>
        <v>#DIV/0!</v>
      </c>
      <c r="X631" s="135" t="e">
        <f t="shared" si="114"/>
        <v>#DIV/0!</v>
      </c>
      <c r="Y631" s="134"/>
      <c r="Z631" s="135">
        <v>114.86190000000001</v>
      </c>
      <c r="AA631" s="136">
        <f t="shared" si="110"/>
        <v>10.833300000000008</v>
      </c>
      <c r="AB631" s="131">
        <v>104.0286</v>
      </c>
      <c r="AC631" s="131">
        <f t="shared" si="112"/>
        <v>16.643599999999992</v>
      </c>
      <c r="AD631" s="131">
        <v>82.797600000000003</v>
      </c>
      <c r="AE631" s="131"/>
      <c r="AF631" s="131"/>
      <c r="AG631" s="130">
        <f>'[6]Monthly Palm Oil'!$D258</f>
        <v>4159.2222222222226</v>
      </c>
      <c r="AH631" s="131">
        <f>'[6]Monthly Palm Oil'!$X258</f>
        <v>45.733188332906501</v>
      </c>
      <c r="AI631" s="131">
        <f t="shared" si="101"/>
        <v>15.664811667093502</v>
      </c>
      <c r="AK631" s="139" t="e" vm="1">
        <v>#REF!</v>
      </c>
      <c r="AL631" s="108" t="e" vm="1">
        <v>#REF!</v>
      </c>
      <c r="AM631" s="108">
        <v>0.3876350221000594</v>
      </c>
      <c r="AQ631" s="108">
        <v>17.168099999999999</v>
      </c>
      <c r="AR631" s="108">
        <v>441.27499999999998</v>
      </c>
      <c r="AS631" s="108">
        <v>87.385000000000005</v>
      </c>
    </row>
    <row r="632" spans="1:45">
      <c r="A632" s="99">
        <v>44713</v>
      </c>
      <c r="B632" s="119" t="e">
        <f>'[4]Monthly Prices'!$CF272</f>
        <v>#DIV/0!</v>
      </c>
      <c r="C632" s="119">
        <v>428.45238095238096</v>
      </c>
      <c r="D632" s="119">
        <v>76.33</v>
      </c>
      <c r="E632" s="122" t="e">
        <f t="shared" si="107"/>
        <v>#DIV/0!</v>
      </c>
      <c r="F632" s="128" t="e">
        <f t="shared" si="102"/>
        <v>#DIV/0!</v>
      </c>
      <c r="G632" s="127" t="e">
        <f t="shared" si="104"/>
        <v>#DIV/0!</v>
      </c>
      <c r="H632" s="99">
        <f>A632</f>
        <v>44713</v>
      </c>
      <c r="I632" s="136">
        <v>17.613800000000001</v>
      </c>
      <c r="J632" s="138">
        <v>17.427842857142849</v>
      </c>
      <c r="K632" s="138">
        <v>445.92499999999995</v>
      </c>
      <c r="L632" s="138">
        <v>80.297499999999999</v>
      </c>
      <c r="M632" s="119">
        <f t="shared" si="117"/>
        <v>1.2152321428571504</v>
      </c>
      <c r="N632" s="128">
        <f t="shared" si="118"/>
        <v>0.47378047881049667</v>
      </c>
      <c r="O632" s="124" t="e">
        <f t="shared" si="115"/>
        <v>#DIV/0!</v>
      </c>
      <c r="P632" s="124">
        <f t="shared" si="115"/>
        <v>17.472619047618991</v>
      </c>
      <c r="Q632" s="124">
        <f t="shared" si="115"/>
        <v>3.9675000000000011</v>
      </c>
      <c r="R632" s="124">
        <f>AVERAGE(J630:J632)</f>
        <v>17.144006349206347</v>
      </c>
      <c r="S632" s="124">
        <f>AVERAGE(K630:K632)</f>
        <v>454.18666666666667</v>
      </c>
      <c r="T632" s="124">
        <f>AVERAGE(L630:L632)</f>
        <v>83.842833333333331</v>
      </c>
      <c r="U632" s="119">
        <v>16.399999999999999</v>
      </c>
      <c r="V632" s="129" t="e">
        <f t="shared" si="116"/>
        <v>#DIV/0!</v>
      </c>
      <c r="W632" s="134" t="e">
        <f t="shared" si="109"/>
        <v>#DIV/0!</v>
      </c>
      <c r="X632" s="135" t="e">
        <f t="shared" si="114"/>
        <v>#DIV/0!</v>
      </c>
      <c r="Y632" s="134"/>
      <c r="Z632" s="135">
        <v>111.33</v>
      </c>
      <c r="AA632" s="136">
        <f t="shared" si="110"/>
        <v>12.547600000000003</v>
      </c>
      <c r="AB632" s="131">
        <v>98.782399999999996</v>
      </c>
      <c r="AC632" s="131">
        <f t="shared" si="112"/>
        <v>18.484899999999996</v>
      </c>
      <c r="AD632" s="131">
        <v>73.178600000000003</v>
      </c>
      <c r="AE632" s="131"/>
      <c r="AF632" s="131"/>
      <c r="AG632" s="130" t="e">
        <f>'[6]Monthly Palm Oil'!$D259</f>
        <v>#NAME?</v>
      </c>
      <c r="AH632" s="131">
        <f>'[6]Monthly Palm Oil'!$X259</f>
        <v>40.053925192383936</v>
      </c>
      <c r="AI632" s="131">
        <f t="shared" ref="AI632:AI649" si="119">D634-AH632</f>
        <v>27.433031329355181</v>
      </c>
      <c r="AK632" s="139" t="e" vm="1">
        <v>#REF!</v>
      </c>
      <c r="AL632" s="108" t="e" vm="1">
        <v>#REF!</v>
      </c>
      <c r="AM632" s="108">
        <v>0.3876350221000594</v>
      </c>
      <c r="AQ632" s="108">
        <v>17.613800000000001</v>
      </c>
      <c r="AR632" s="108">
        <v>445.92499999999995</v>
      </c>
      <c r="AS632" s="108">
        <v>80.297499999999999</v>
      </c>
    </row>
    <row r="633" spans="1:45">
      <c r="A633" s="99">
        <v>44743</v>
      </c>
      <c r="B633" s="119" t="e">
        <f>'[4]Monthly Prices'!$CF273</f>
        <v>#DIV/0!</v>
      </c>
      <c r="C633" s="119">
        <v>441.66999999999996</v>
      </c>
      <c r="D633" s="119">
        <v>61.398000000000003</v>
      </c>
      <c r="E633" s="122" t="e">
        <f t="shared" si="107"/>
        <v>#DIV/0!</v>
      </c>
      <c r="F633" s="128" t="e">
        <f t="shared" si="102"/>
        <v>#DIV/0!</v>
      </c>
      <c r="G633" s="127" t="e">
        <f t="shared" si="104"/>
        <v>#DIV/0!</v>
      </c>
      <c r="H633" s="99">
        <f t="shared" si="113"/>
        <v>44743</v>
      </c>
      <c r="I633" s="136">
        <v>16.3325</v>
      </c>
      <c r="J633" s="138">
        <v>16.031424999999999</v>
      </c>
      <c r="K633" s="138">
        <v>467.87</v>
      </c>
      <c r="L633" s="138">
        <v>67.74799999999999</v>
      </c>
      <c r="M633" s="119">
        <f t="shared" si="117"/>
        <v>1.7139950000000006</v>
      </c>
      <c r="N633" s="128">
        <f t="shared" si="118"/>
        <v>0.419955120814272</v>
      </c>
      <c r="O633" s="124" t="e">
        <f t="shared" si="115"/>
        <v>#DIV/0!</v>
      </c>
      <c r="P633" s="124">
        <f t="shared" si="115"/>
        <v>26.200000000000045</v>
      </c>
      <c r="Q633" s="124">
        <f t="shared" si="115"/>
        <v>6.3499999999999872</v>
      </c>
      <c r="U633" s="119">
        <v>15.5</v>
      </c>
      <c r="V633" s="129" t="e">
        <f t="shared" si="116"/>
        <v>#DIV/0!</v>
      </c>
      <c r="W633" s="134" t="e">
        <f t="shared" si="109"/>
        <v>#DIV/0!</v>
      </c>
      <c r="X633" s="135" t="e">
        <f t="shared" si="114"/>
        <v>#DIV/0!</v>
      </c>
      <c r="Y633" s="134"/>
      <c r="Z633" s="135">
        <f>'[8]Canola Complex'!$BK457</f>
        <v>51.057000000000002</v>
      </c>
      <c r="AA633" s="136">
        <f t="shared" si="110"/>
        <v>-30.441000000000003</v>
      </c>
      <c r="AB633" s="131">
        <v>81.498000000000005</v>
      </c>
      <c r="AC633" s="131">
        <f t="shared" si="112"/>
        <v>13.750000000000014</v>
      </c>
      <c r="AD633" s="131"/>
      <c r="AE633" s="131"/>
      <c r="AF633" s="131"/>
      <c r="AG633" s="130">
        <f>'[6]Monthly Palm Oil'!$D260</f>
        <v>4067.7619047619046</v>
      </c>
      <c r="AH633" s="131">
        <f>'[6]Monthly Palm Oil'!$X260</f>
        <v>43.924257298338432</v>
      </c>
      <c r="AI633" s="131">
        <f t="shared" si="119"/>
        <v>22.949076034994903</v>
      </c>
      <c r="AK633" s="139" t="e" vm="1">
        <v>#REF!</v>
      </c>
      <c r="AL633" s="108" t="e" vm="1">
        <v>#REF!</v>
      </c>
      <c r="AM633" s="108">
        <v>0.3876350221000594</v>
      </c>
      <c r="AQ633" s="108">
        <v>16.3325</v>
      </c>
      <c r="AR633" s="108">
        <v>467.87</v>
      </c>
      <c r="AS633" s="108">
        <v>67.74799999999999</v>
      </c>
    </row>
    <row r="634" spans="1:45">
      <c r="A634" s="99">
        <v>44774</v>
      </c>
      <c r="B634" s="119" t="e">
        <f>'[4]Monthly Prices'!$CF274</f>
        <v>#DIV/0!</v>
      </c>
      <c r="C634" s="119">
        <v>452.31739130434772</v>
      </c>
      <c r="D634" s="119">
        <v>67.486956521739117</v>
      </c>
      <c r="E634" s="122" t="e">
        <f t="shared" si="107"/>
        <v>#DIV/0!</v>
      </c>
      <c r="F634" s="128" t="e">
        <f t="shared" si="102"/>
        <v>#DIV/0!</v>
      </c>
      <c r="G634" s="127" t="e">
        <f t="shared" si="104"/>
        <v>#DIV/0!</v>
      </c>
      <c r="H634" s="99">
        <f>A634</f>
        <v>44774</v>
      </c>
      <c r="I634" s="136">
        <v>16.823</v>
      </c>
      <c r="J634" s="138">
        <v>16.011630434782614</v>
      </c>
      <c r="K634" s="138">
        <v>510.90000000000009</v>
      </c>
      <c r="L634" s="138">
        <v>72.334999999999994</v>
      </c>
      <c r="M634" s="119">
        <f t="shared" si="117"/>
        <v>3.185019565217388</v>
      </c>
      <c r="N634" s="128">
        <f t="shared" si="118"/>
        <v>0.41449159098071792</v>
      </c>
      <c r="O634" s="124" t="e">
        <f t="shared" si="115"/>
        <v>#DIV/0!</v>
      </c>
      <c r="P634" s="124">
        <f t="shared" si="115"/>
        <v>58.582608695652368</v>
      </c>
      <c r="Q634" s="124">
        <f t="shared" si="115"/>
        <v>4.8480434782608768</v>
      </c>
      <c r="U634" s="119">
        <v>15.3</v>
      </c>
      <c r="V634" s="129" t="e">
        <f t="shared" si="116"/>
        <v>#DIV/0!</v>
      </c>
      <c r="W634" s="134" t="e">
        <f t="shared" si="109"/>
        <v>#DIV/0!</v>
      </c>
      <c r="X634" s="135" t="e">
        <f t="shared" si="114"/>
        <v>#DIV/0!</v>
      </c>
      <c r="Y634" s="134"/>
      <c r="Z634" s="135">
        <f>'[8]Canola Complex'!$BK458</f>
        <v>47.622999999999998</v>
      </c>
      <c r="AA634" s="136">
        <f t="shared" si="110"/>
        <v>-37.786099999999998</v>
      </c>
      <c r="AB634" s="131">
        <v>85.409099999999995</v>
      </c>
      <c r="AC634" s="131">
        <f t="shared" si="112"/>
        <v>13.074100000000001</v>
      </c>
      <c r="AD634" s="131"/>
      <c r="AE634" s="131"/>
      <c r="AF634" s="131"/>
      <c r="AG634" s="130">
        <f>'[6]Monthly Palm Oil'!$D261</f>
        <v>4317.8</v>
      </c>
      <c r="AH634" s="131">
        <f>'[6]Monthly Palm Oil'!$X261</f>
        <v>46.419404869236828</v>
      </c>
      <c r="AI634" s="131">
        <f t="shared" si="119"/>
        <v>22.074880845048881</v>
      </c>
      <c r="AK634" s="139" t="e" vm="1">
        <v>#REF!</v>
      </c>
      <c r="AL634" s="108" t="e" vm="1">
        <v>#REF!</v>
      </c>
      <c r="AM634" s="108">
        <v>0.3876350221000594</v>
      </c>
      <c r="AQ634" s="108">
        <v>16.823</v>
      </c>
      <c r="AR634" s="108">
        <v>510.90000000000009</v>
      </c>
      <c r="AS634" s="108">
        <v>72.334999999999994</v>
      </c>
    </row>
    <row r="635" spans="1:45">
      <c r="A635" s="99">
        <v>44805</v>
      </c>
      <c r="B635" s="119" t="e">
        <f>'[4]Monthly Prices'!$CF275</f>
        <v>#DIV/0!</v>
      </c>
      <c r="C635" s="119">
        <v>427.6571428571429</v>
      </c>
      <c r="D635" s="119">
        <v>66.873333333333335</v>
      </c>
      <c r="E635" s="122" t="e">
        <f t="shared" si="107"/>
        <v>#DIV/0!</v>
      </c>
      <c r="F635" s="128" t="e">
        <f t="shared" si="102"/>
        <v>#DIV/0!</v>
      </c>
      <c r="G635" s="127" t="e">
        <f t="shared" si="104"/>
        <v>#DIV/0!</v>
      </c>
      <c r="H635" s="99">
        <f t="shared" si="113"/>
        <v>44805</v>
      </c>
      <c r="I635" s="136">
        <v>15.9848</v>
      </c>
      <c r="J635" s="138">
        <v>15.18392857142857</v>
      </c>
      <c r="K635" s="138">
        <v>473.94</v>
      </c>
      <c r="L635" s="138">
        <v>70.626000000000005</v>
      </c>
      <c r="M635" s="119">
        <f t="shared" si="117"/>
        <v>3.011611428571431</v>
      </c>
      <c r="N635" s="128">
        <f t="shared" si="118"/>
        <v>0.42696506946207696</v>
      </c>
      <c r="O635" s="124" t="e">
        <f t="shared" si="115"/>
        <v>#DIV/0!</v>
      </c>
      <c r="P635" s="124">
        <f t="shared" si="115"/>
        <v>46.282857142857097</v>
      </c>
      <c r="Q635" s="124">
        <f t="shared" si="115"/>
        <v>3.7526666666666699</v>
      </c>
      <c r="R635" s="124">
        <f>AVERAGE(J633:J635)</f>
        <v>15.742328002070394</v>
      </c>
      <c r="S635" s="124">
        <f>AVERAGE(K633:K635)</f>
        <v>484.23666666666668</v>
      </c>
      <c r="T635" s="124">
        <f>AVERAGE(L633:L635)</f>
        <v>70.23633333333332</v>
      </c>
      <c r="U635" s="119">
        <v>14.2</v>
      </c>
      <c r="V635" s="129" t="e">
        <f t="shared" si="116"/>
        <v>#DIV/0!</v>
      </c>
      <c r="W635" s="134" t="e">
        <f t="shared" si="109"/>
        <v>#DIV/0!</v>
      </c>
      <c r="X635" s="135" t="e">
        <f t="shared" si="114"/>
        <v>#DIV/0!</v>
      </c>
      <c r="Y635" s="134"/>
      <c r="Z635" s="135">
        <f>'[8]Canola Complex'!$BK459</f>
        <v>61.082000000000001</v>
      </c>
      <c r="AA635" s="136">
        <f t="shared" si="110"/>
        <v>-22.719900000000003</v>
      </c>
      <c r="AB635" s="131">
        <v>83.801900000000003</v>
      </c>
      <c r="AC635" s="131">
        <f t="shared" si="112"/>
        <v>13.175899999999999</v>
      </c>
      <c r="AD635" s="131"/>
      <c r="AE635" s="131"/>
      <c r="AF635" s="131"/>
      <c r="AG635" s="130">
        <f>'[6]Monthly Palm Oil'!$D262</f>
        <v>4353.4285714285716</v>
      </c>
      <c r="AH635" s="131">
        <f>'[6]Monthly Palm Oil'!$X262</f>
        <v>47.398494147617861</v>
      </c>
      <c r="AI635" s="131">
        <f t="shared" si="119"/>
        <v>27.569601090477384</v>
      </c>
      <c r="AK635" s="139" t="e" vm="1">
        <v>#REF!</v>
      </c>
      <c r="AL635" s="108" t="e" vm="1">
        <v>#REF!</v>
      </c>
      <c r="AM635" s="108">
        <v>0.3876350221000594</v>
      </c>
      <c r="AQ635" s="108">
        <v>15.9848</v>
      </c>
      <c r="AR635" s="108">
        <v>473.94</v>
      </c>
      <c r="AS635" s="108">
        <v>70.626000000000005</v>
      </c>
    </row>
    <row r="636" spans="1:45">
      <c r="A636" s="99">
        <v>44835</v>
      </c>
      <c r="B636" s="119" t="e">
        <f>'[4]Monthly Prices'!$CF276</f>
        <v>#DIV/0!</v>
      </c>
      <c r="C636" s="119">
        <v>409.29047619047611</v>
      </c>
      <c r="D636" s="119">
        <v>68.494285714285709</v>
      </c>
      <c r="E636" s="122" t="e">
        <f t="shared" si="107"/>
        <v>#DIV/0!</v>
      </c>
      <c r="F636" s="128" t="e">
        <f t="shared" si="102"/>
        <v>#DIV/0!</v>
      </c>
      <c r="G636" s="127" t="e">
        <f t="shared" si="104"/>
        <v>#DIV/0!</v>
      </c>
      <c r="H636" s="99">
        <f>A636</f>
        <v>44835</v>
      </c>
      <c r="J636" s="138">
        <v>13.751750000000001</v>
      </c>
      <c r="K636" s="138">
        <v>468.67499999999995</v>
      </c>
      <c r="L636" s="138">
        <v>72.67</v>
      </c>
      <c r="M636" s="119">
        <f t="shared" si="117"/>
        <v>4.5527999999999977</v>
      </c>
      <c r="N636" s="128">
        <f t="shared" si="118"/>
        <v>0.4367056278357021</v>
      </c>
      <c r="O636" s="124" t="e">
        <f t="shared" ref="O636:Q651" si="120">J636-B636</f>
        <v>#DIV/0!</v>
      </c>
      <c r="P636" s="124">
        <f t="shared" si="120"/>
        <v>59.384523809523841</v>
      </c>
      <c r="Q636" s="124">
        <f t="shared" si="120"/>
        <v>4.1757142857142924</v>
      </c>
      <c r="R636" s="124"/>
      <c r="S636" s="124"/>
      <c r="T636" s="124"/>
      <c r="U636" s="119">
        <v>13.5</v>
      </c>
      <c r="V636" s="129" t="e">
        <f t="shared" si="116"/>
        <v>#DIV/0!</v>
      </c>
      <c r="W636" s="134" t="e">
        <f t="shared" si="109"/>
        <v>#DIV/0!</v>
      </c>
      <c r="X636" s="135" t="e">
        <f t="shared" si="114"/>
        <v>#DIV/0!</v>
      </c>
      <c r="Y636" s="134"/>
      <c r="Z636" s="135">
        <f>'[8]Canola Complex'!$BL448</f>
        <v>59.847999999999999</v>
      </c>
      <c r="AA636" s="136">
        <f t="shared" si="110"/>
        <v>-24.324857142857155</v>
      </c>
      <c r="AB636" s="131">
        <f>'[9]Monthly Data'!$F49</f>
        <v>84.172857142857154</v>
      </c>
      <c r="AC636" s="131">
        <f t="shared" si="112"/>
        <v>11.502857142857152</v>
      </c>
      <c r="AD636" s="131"/>
      <c r="AE636" s="131"/>
      <c r="AF636" s="131"/>
      <c r="AG636" s="130">
        <f>'[6]Monthly Palm Oil'!$D263</f>
        <v>4898.3</v>
      </c>
      <c r="AH636" s="131">
        <f>'[6]Monthly Palm Oil'!$X263</f>
        <v>53.390141097956608</v>
      </c>
      <c r="AI636" s="131">
        <f t="shared" si="119"/>
        <v>10.813668425852917</v>
      </c>
      <c r="AK636" s="139" t="e" vm="1">
        <v>#REF!</v>
      </c>
      <c r="AL636" s="108" t="e" vm="1">
        <v>#REF!</v>
      </c>
      <c r="AM636" s="108">
        <v>0.3876350221000594</v>
      </c>
      <c r="AQ636" s="108">
        <v>13.525646778042963</v>
      </c>
      <c r="AR636" s="108">
        <v>468.67499999999995</v>
      </c>
      <c r="AS636" s="108">
        <v>72.67</v>
      </c>
    </row>
    <row r="637" spans="1:45">
      <c r="A637" s="99">
        <v>44866</v>
      </c>
      <c r="B637" s="119" t="e">
        <f>'[4]Monthly Prices'!$CF277</f>
        <v>#DIV/0!</v>
      </c>
      <c r="C637" s="119">
        <v>412.77619047619044</v>
      </c>
      <c r="D637" s="119">
        <v>74.968095238095245</v>
      </c>
      <c r="E637" s="122" t="e">
        <f t="shared" si="107"/>
        <v>#DIV/0!</v>
      </c>
      <c r="F637" s="128" t="e">
        <f t="shared" si="102"/>
        <v>#DIV/0!</v>
      </c>
      <c r="G637" s="127" t="e">
        <f t="shared" si="104"/>
        <v>#DIV/0!</v>
      </c>
      <c r="H637" s="99">
        <f t="shared" si="113"/>
        <v>44866</v>
      </c>
      <c r="J637" s="138">
        <v>14.581674999999999</v>
      </c>
      <c r="K637" s="138">
        <v>436.74999999999994</v>
      </c>
      <c r="L637" s="138">
        <v>79.180000000000007</v>
      </c>
      <c r="M637" s="119">
        <f t="shared" si="117"/>
        <v>3.7366250000000019</v>
      </c>
      <c r="N637" s="128">
        <f t="shared" si="118"/>
        <v>0.47546988530595091</v>
      </c>
      <c r="O637" s="124" t="e">
        <f t="shared" si="120"/>
        <v>#DIV/0!</v>
      </c>
      <c r="P637" s="124">
        <f t="shared" si="120"/>
        <v>23.973809523809507</v>
      </c>
      <c r="Q637" s="124">
        <f t="shared" si="120"/>
        <v>4.211904761904762</v>
      </c>
      <c r="R637" s="124"/>
      <c r="S637" s="124"/>
      <c r="T637" s="124"/>
      <c r="U637" s="119">
        <v>14</v>
      </c>
      <c r="V637" s="129" t="e">
        <f t="shared" si="116"/>
        <v>#DIV/0!</v>
      </c>
      <c r="W637" s="134" t="e">
        <f t="shared" si="109"/>
        <v>#DIV/0!</v>
      </c>
      <c r="X637" s="135" t="e">
        <f t="shared" si="114"/>
        <v>#DIV/0!</v>
      </c>
      <c r="Y637" s="134"/>
      <c r="Z637" s="135">
        <f>'[8]Canola Complex'!$BL449</f>
        <v>61.701000000000001</v>
      </c>
      <c r="AA637" s="136">
        <f t="shared" si="110"/>
        <v>-29.738047619047613</v>
      </c>
      <c r="AB637" s="131">
        <f>'[9]Monthly Data'!$F50</f>
        <v>91.439047619047614</v>
      </c>
      <c r="AC637" s="131">
        <f t="shared" si="112"/>
        <v>12.259047619047607</v>
      </c>
      <c r="AD637" s="131"/>
      <c r="AE637" s="131"/>
      <c r="AF637" s="131"/>
      <c r="AG637" s="130">
        <f>'[6]Monthly Palm Oil'!$D264</f>
        <v>4902.2857142857147</v>
      </c>
      <c r="AH637" s="131">
        <f>'[6]Monthly Palm Oil'!$X264</f>
        <v>53.223160726965055</v>
      </c>
      <c r="AI637" s="131">
        <f t="shared" si="119"/>
        <v>9.1608392730349379</v>
      </c>
      <c r="AK637" s="139" t="e" vm="1">
        <v>#REF!</v>
      </c>
      <c r="AL637" s="108" t="e" vm="1">
        <v>#REF!</v>
      </c>
      <c r="AM637" s="108">
        <v>0.3876350221000594</v>
      </c>
      <c r="AQ637" s="108">
        <v>14.266044047619053</v>
      </c>
      <c r="AR637" s="108">
        <v>436.74999999999994</v>
      </c>
      <c r="AS637" s="108">
        <v>79.180000000000007</v>
      </c>
    </row>
    <row r="638" spans="1:45">
      <c r="A638" s="99">
        <v>44896</v>
      </c>
      <c r="B638" s="119" t="e">
        <f>'[4]Monthly Prices'!$CF278</f>
        <v>#DIV/0!</v>
      </c>
      <c r="C638" s="119">
        <v>453.80000000000007</v>
      </c>
      <c r="D638" s="119">
        <v>64.203809523809525</v>
      </c>
      <c r="E638" s="122" t="e">
        <f t="shared" si="107"/>
        <v>#DIV/0!</v>
      </c>
      <c r="F638" s="128" t="e">
        <f t="shared" si="102"/>
        <v>#DIV/0!</v>
      </c>
      <c r="G638" s="127" t="e">
        <f t="shared" si="104"/>
        <v>#DIV/0!</v>
      </c>
      <c r="H638" s="99">
        <f>A638</f>
        <v>44896</v>
      </c>
      <c r="J638" s="138">
        <v>14.899500000000003</v>
      </c>
      <c r="K638" s="138">
        <v>462.85</v>
      </c>
      <c r="L638" s="138">
        <v>68.14</v>
      </c>
      <c r="M638" s="119">
        <f t="shared" si="117"/>
        <v>2.7785999999999973</v>
      </c>
      <c r="N638" s="128">
        <f t="shared" si="118"/>
        <v>0.42399352871632129</v>
      </c>
      <c r="O638" s="124" t="e">
        <f t="shared" si="120"/>
        <v>#DIV/0!</v>
      </c>
      <c r="P638" s="124">
        <f t="shared" si="120"/>
        <v>9.0499999999999545</v>
      </c>
      <c r="Q638" s="124">
        <f t="shared" si="120"/>
        <v>3.9361904761904754</v>
      </c>
      <c r="R638" s="124">
        <f>AVERAGE(J636:J638)</f>
        <v>14.410975000000001</v>
      </c>
      <c r="S638" s="124">
        <f>AVERAGE(K636:K638)</f>
        <v>456.0916666666667</v>
      </c>
      <c r="T638" s="124">
        <f>AVERAGE(L636:L638)</f>
        <v>73.33</v>
      </c>
      <c r="U638" s="119">
        <v>14.4</v>
      </c>
      <c r="V638" s="129" t="e">
        <f t="shared" si="116"/>
        <v>#DIV/0!</v>
      </c>
      <c r="W638" s="134" t="e">
        <f t="shared" si="109"/>
        <v>#DIV/0!</v>
      </c>
      <c r="X638" s="135" t="e">
        <f>V638-W638</f>
        <v>#DIV/0!</v>
      </c>
      <c r="Y638" s="134"/>
      <c r="Z638" s="135">
        <f>'[8]Canola Complex'!$BL450</f>
        <v>87.566999999999993</v>
      </c>
      <c r="AA638" s="136">
        <f t="shared" si="110"/>
        <v>8.8631904761904678</v>
      </c>
      <c r="AB638" s="131">
        <f>'[9]Monthly Data'!$F51</f>
        <v>78.703809523809525</v>
      </c>
      <c r="AC638" s="131">
        <f t="shared" si="112"/>
        <v>10.563809523809525</v>
      </c>
      <c r="AD638" s="131"/>
      <c r="AE638" s="131"/>
      <c r="AF638" s="131"/>
      <c r="AG638" s="130">
        <f>'[6]Monthly Palm Oil'!$D265</f>
        <v>4635.636363636364</v>
      </c>
      <c r="AH638" s="131">
        <f>'[6]Monthly Palm Oil'!$X265</f>
        <v>49.972440247078268</v>
      </c>
      <c r="AI638" s="131">
        <f>D640-AH638</f>
        <v>10.810717647658571</v>
      </c>
      <c r="AK638" s="139" t="e" vm="1">
        <v>#REF!</v>
      </c>
      <c r="AL638" s="108" t="e" vm="1">
        <v>#REF!</v>
      </c>
      <c r="AM638" s="108">
        <v>0.3876350221000594</v>
      </c>
      <c r="AQ638" s="108">
        <v>14.66097687074828</v>
      </c>
      <c r="AR638" s="108">
        <v>462.85</v>
      </c>
      <c r="AS638" s="108">
        <v>68.14</v>
      </c>
    </row>
    <row r="639" spans="1:45">
      <c r="A639" s="99">
        <v>44927</v>
      </c>
      <c r="B639" s="119" t="e">
        <f>'[4]Monthly Prices'!$CF279</f>
        <v>#DIV/0!</v>
      </c>
      <c r="C639" s="119">
        <v>472.3300000000001</v>
      </c>
      <c r="D639" s="119">
        <v>62.383999999999993</v>
      </c>
      <c r="E639" s="122" t="e">
        <f t="shared" si="107"/>
        <v>#DIV/0!</v>
      </c>
      <c r="F639" s="128" t="e">
        <f t="shared" si="102"/>
        <v>#DIV/0!</v>
      </c>
      <c r="G639" s="127" t="e">
        <f t="shared" si="104"/>
        <v>#DIV/0!</v>
      </c>
      <c r="H639" s="99">
        <f t="shared" si="113"/>
        <v>44927</v>
      </c>
      <c r="J639" s="138">
        <v>15.114574999999997</v>
      </c>
      <c r="K639" s="138">
        <v>482.40000000000003</v>
      </c>
      <c r="L639" s="138">
        <v>66</v>
      </c>
      <c r="M639" s="119">
        <f t="shared" si="117"/>
        <v>2.7582250000000048</v>
      </c>
      <c r="N639" s="128">
        <f t="shared" si="118"/>
        <v>0.40620384047267355</v>
      </c>
      <c r="O639" s="124" t="e">
        <f t="shared" si="120"/>
        <v>#DIV/0!</v>
      </c>
      <c r="P639" s="124">
        <f t="shared" si="120"/>
        <v>10.069999999999936</v>
      </c>
      <c r="Q639" s="124">
        <f t="shared" si="120"/>
        <v>3.6160000000000068</v>
      </c>
      <c r="U639" s="119">
        <v>14.5</v>
      </c>
      <c r="V639" s="129" t="e">
        <f t="shared" si="116"/>
        <v>#DIV/0!</v>
      </c>
      <c r="W639" s="134" t="e">
        <f t="shared" si="109"/>
        <v>#DIV/0!</v>
      </c>
      <c r="X639" s="135" t="e">
        <f t="shared" ref="X639:X671" si="121">V639-W639</f>
        <v>#DIV/0!</v>
      </c>
      <c r="Y639" s="134"/>
      <c r="Z639" s="135">
        <f>'[8]Canola Complex'!$BL451</f>
        <v>81.224000000000004</v>
      </c>
      <c r="AA639" s="136">
        <f t="shared" si="110"/>
        <v>6.4525000000000006</v>
      </c>
      <c r="AB639" s="131">
        <f>'[9]Monthly Data'!$F52</f>
        <v>74.771500000000003</v>
      </c>
      <c r="AC639" s="131">
        <f t="shared" si="112"/>
        <v>8.7715000000000032</v>
      </c>
      <c r="AG639" s="130">
        <v>3935.4210526315787</v>
      </c>
      <c r="AH639" s="131" t="e">
        <f ca="1">AG639/2204.622*100/Forecasts!$A$64</f>
        <v>#NAME?</v>
      </c>
      <c r="AI639" s="131" t="e">
        <f t="shared" ca="1" si="119"/>
        <v>#NAME?</v>
      </c>
      <c r="AK639" s="139" t="e" vm="1">
        <v>#REF!</v>
      </c>
      <c r="AL639" s="108" t="e" vm="1">
        <v>#REF!</v>
      </c>
      <c r="AM639" s="108">
        <v>0.3876350221000594</v>
      </c>
      <c r="AN639" s="108" t="e" vm="2">
        <f>AVERAGE(AL623:AL643)</f>
        <v>#VALUE!</v>
      </c>
      <c r="AQ639" s="108">
        <v>14.23781619047619</v>
      </c>
      <c r="AR639" s="108">
        <v>482.40000000000003</v>
      </c>
      <c r="AS639" s="108">
        <v>66</v>
      </c>
    </row>
    <row r="640" spans="1:45">
      <c r="A640" s="99">
        <v>44958</v>
      </c>
      <c r="B640" s="119" t="e">
        <f>'[4]Monthly Prices'!$CF280</f>
        <v>#DIV/0!</v>
      </c>
      <c r="C640" s="119">
        <v>492.92631578947379</v>
      </c>
      <c r="D640" s="119">
        <v>60.783157894736839</v>
      </c>
      <c r="E640" s="122" t="e">
        <f t="shared" si="107"/>
        <v>#DIV/0!</v>
      </c>
      <c r="F640" s="128" t="e">
        <f t="shared" si="102"/>
        <v>#DIV/0!</v>
      </c>
      <c r="G640" s="127" t="e">
        <f t="shared" si="104"/>
        <v>#DIV/0!</v>
      </c>
      <c r="H640" s="99">
        <f t="shared" si="113"/>
        <v>44958</v>
      </c>
      <c r="J640" s="138">
        <v>15.416684210526318</v>
      </c>
      <c r="K640" s="138">
        <v>500.52499999999998</v>
      </c>
      <c r="L640" s="138">
        <v>63.242500000000007</v>
      </c>
      <c r="M640" s="119">
        <f t="shared" si="117"/>
        <v>2.5515407894736821</v>
      </c>
      <c r="N640" s="128">
        <f t="shared" si="118"/>
        <v>0.38716539891948148</v>
      </c>
      <c r="O640" s="124" t="e">
        <f t="shared" si="120"/>
        <v>#DIV/0!</v>
      </c>
      <c r="P640" s="124">
        <f t="shared" si="120"/>
        <v>7.5986842105261871</v>
      </c>
      <c r="Q640" s="124">
        <f t="shared" si="120"/>
        <v>2.4593421052631683</v>
      </c>
      <c r="U640" s="119">
        <v>15.1</v>
      </c>
      <c r="V640" s="129" t="e">
        <f t="shared" si="116"/>
        <v>#DIV/0!</v>
      </c>
      <c r="W640" s="134" t="e">
        <f t="shared" si="109"/>
        <v>#DIV/0!</v>
      </c>
      <c r="X640" s="135" t="e">
        <f t="shared" si="121"/>
        <v>#DIV/0!</v>
      </c>
      <c r="Y640" s="134"/>
      <c r="Z640" s="135">
        <f>'[8]Canola Complex'!$BL452</f>
        <v>70.893000000000001</v>
      </c>
      <c r="AA640" s="136">
        <f t="shared" si="110"/>
        <v>-1.0348947368420909</v>
      </c>
      <c r="AB640" s="131">
        <f>'[9]Monthly Data'!$F53</f>
        <v>71.927894736842092</v>
      </c>
      <c r="AC640" s="131">
        <f t="shared" si="112"/>
        <v>8.6853947368420847</v>
      </c>
      <c r="AG640" s="130">
        <v>4026.8947368421054</v>
      </c>
      <c r="AH640" s="131" t="e">
        <f ca="1">AG640/2204.622*100/Forecasts!$A$64</f>
        <v>#NAME?</v>
      </c>
      <c r="AI640" s="131" t="e">
        <f t="shared" ca="1" si="119"/>
        <v>#NAME?</v>
      </c>
      <c r="AK640" s="139" t="e" vm="1">
        <v>#REF!</v>
      </c>
      <c r="AL640" s="108" t="e" vm="1">
        <v>#REF!</v>
      </c>
      <c r="AM640" s="108">
        <v>0.3876350221000594</v>
      </c>
      <c r="AN640" s="108" t="e" vm="2">
        <f>AN639/100</f>
        <v>#VALUE!</v>
      </c>
      <c r="AR640" s="108">
        <v>500.52499999999998</v>
      </c>
      <c r="AS640" s="108">
        <v>63.242500000000007</v>
      </c>
    </row>
    <row r="641" spans="1:44">
      <c r="A641" s="99">
        <v>44986</v>
      </c>
      <c r="B641" s="119" t="e">
        <f>'[4]Monthly Prices'!$CF281</f>
        <v>#DIV/0!</v>
      </c>
      <c r="C641" s="119">
        <v>469.07826086956527</v>
      </c>
      <c r="D641" s="119">
        <v>56.891304347826086</v>
      </c>
      <c r="E641" s="122" t="e">
        <f t="shared" si="107"/>
        <v>#DIV/0!</v>
      </c>
      <c r="F641" s="128" t="e">
        <f t="shared" si="102"/>
        <v>#DIV/0!</v>
      </c>
      <c r="G641" s="127" t="e">
        <f t="shared" si="104"/>
        <v>#DIV/0!</v>
      </c>
      <c r="H641" s="99">
        <f t="shared" si="113"/>
        <v>44986</v>
      </c>
      <c r="J641" s="138">
        <v>15.10413043478261</v>
      </c>
      <c r="K641" s="138">
        <v>484.4</v>
      </c>
      <c r="L641" s="138">
        <v>58.83</v>
      </c>
      <c r="M641" s="119">
        <f t="shared" si="117"/>
        <v>2.0239695652173904</v>
      </c>
      <c r="N641" s="128">
        <f t="shared" si="118"/>
        <v>0.37781773810288355</v>
      </c>
      <c r="O641" s="124" t="e">
        <f t="shared" si="120"/>
        <v>#DIV/0!</v>
      </c>
      <c r="P641" s="124">
        <f t="shared" si="120"/>
        <v>15.321739130434707</v>
      </c>
      <c r="Q641" s="124">
        <f t="shared" si="120"/>
        <v>1.9386956521739123</v>
      </c>
      <c r="R641" s="124">
        <f>AVERAGE(J639:J641)</f>
        <v>15.211796548436309</v>
      </c>
      <c r="S641" s="124">
        <f>AVERAGE(K639:K641)</f>
        <v>489.10833333333329</v>
      </c>
      <c r="T641" s="124">
        <f>AVERAGE(L639:L641)</f>
        <v>62.69083333333333</v>
      </c>
      <c r="U641" s="119">
        <v>14.9</v>
      </c>
      <c r="V641" s="129" t="e">
        <f t="shared" si="116"/>
        <v>#DIV/0!</v>
      </c>
      <c r="W641" s="134" t="e">
        <f t="shared" si="109"/>
        <v>#DIV/0!</v>
      </c>
      <c r="X641" s="135" t="e">
        <f t="shared" si="121"/>
        <v>#DIV/0!</v>
      </c>
      <c r="Y641" s="134"/>
      <c r="Z641" s="135">
        <f>'[8]Canola Complex'!$BL453</f>
        <v>74.091999999999999</v>
      </c>
      <c r="AA641" s="136">
        <f t="shared" si="110"/>
        <v>6.0485217391304502</v>
      </c>
      <c r="AB641" s="131">
        <f>'[9]Monthly Data'!$F54</f>
        <v>68.043478260869549</v>
      </c>
      <c r="AC641" s="131">
        <f t="shared" si="112"/>
        <v>9.2134782608695502</v>
      </c>
      <c r="AG641" s="141" t="e">
        <f>Forecasts!#REF!</f>
        <v>#REF!</v>
      </c>
      <c r="AH641" s="131" t="e">
        <f ca="1">AG641/2204.622*100/Forecasts!$A$64</f>
        <v>#REF!</v>
      </c>
      <c r="AI641" s="131" t="e">
        <f t="shared" ca="1" si="119"/>
        <v>#REF!</v>
      </c>
      <c r="AK641" s="139" t="e" vm="1">
        <v>#REF!</v>
      </c>
      <c r="AL641" s="108" t="e" vm="1">
        <v>#REF!</v>
      </c>
      <c r="AM641" s="108">
        <v>0.3876350221000594</v>
      </c>
      <c r="AR641" s="108">
        <v>484.4</v>
      </c>
    </row>
    <row r="642" spans="1:44">
      <c r="A642" s="99">
        <v>45017</v>
      </c>
      <c r="B642" s="119" t="e">
        <f>'[4]Monthly Prices'!$CF282</f>
        <v>#DIV/0!</v>
      </c>
      <c r="C642" s="119">
        <v>450.53684210526308</v>
      </c>
      <c r="D642" s="119">
        <v>53.917894736842108</v>
      </c>
      <c r="E642" s="122" t="e">
        <f t="shared" si="107"/>
        <v>#DIV/0!</v>
      </c>
      <c r="F642" s="128" t="e">
        <f t="shared" si="102"/>
        <v>#DIV/0!</v>
      </c>
      <c r="G642" s="127" t="e">
        <f t="shared" si="104"/>
        <v>#DIV/0!</v>
      </c>
      <c r="H642" s="99">
        <f t="shared" si="113"/>
        <v>45017</v>
      </c>
      <c r="I642" s="136">
        <f>L642-D642</f>
        <v>1.5571052631578866</v>
      </c>
      <c r="J642" s="138">
        <v>15.074473684210528</v>
      </c>
      <c r="K642" s="138">
        <v>457.25</v>
      </c>
      <c r="L642" s="138">
        <v>55.474999999999994</v>
      </c>
      <c r="M642" s="119">
        <f t="shared" si="117"/>
        <v>1.0872763157894703</v>
      </c>
      <c r="N642" s="128">
        <f t="shared" si="118"/>
        <v>0.37757359196869156</v>
      </c>
      <c r="O642" s="124" t="e">
        <f t="shared" si="120"/>
        <v>#DIV/0!</v>
      </c>
      <c r="P642" s="124">
        <f t="shared" si="120"/>
        <v>6.7131578947369235</v>
      </c>
      <c r="Q642" s="124">
        <f t="shared" si="120"/>
        <v>1.5571052631578866</v>
      </c>
      <c r="U642" s="119">
        <v>14.9</v>
      </c>
      <c r="V642" s="129" t="e">
        <f t="shared" si="116"/>
        <v>#DIV/0!</v>
      </c>
      <c r="W642" s="134" t="e">
        <f t="shared" si="109"/>
        <v>#DIV/0!</v>
      </c>
      <c r="X642" s="135" t="e">
        <f t="shared" si="121"/>
        <v>#DIV/0!</v>
      </c>
      <c r="Y642" s="134"/>
      <c r="Z642" s="135">
        <f>'[8]Canola Complex'!$BL454</f>
        <v>66.314999999999998</v>
      </c>
      <c r="AA642" s="136">
        <f t="shared" si="110"/>
        <v>0.26552631578948649</v>
      </c>
      <c r="AB642" s="131">
        <f>'[9]Monthly Data'!$F55</f>
        <v>66.049473684210511</v>
      </c>
      <c r="AC642" s="131">
        <f t="shared" si="112"/>
        <v>10.574473684210517</v>
      </c>
      <c r="AG642" s="141" t="e">
        <f>Forecasts!#REF!</f>
        <v>#REF!</v>
      </c>
      <c r="AH642" s="131" t="e">
        <f ca="1">AG642/2204.622*100/Forecasts!$A$64</f>
        <v>#REF!</v>
      </c>
      <c r="AI642" s="131" t="e">
        <f t="shared" ca="1" si="119"/>
        <v>#REF!</v>
      </c>
      <c r="AK642" s="139" t="e" vm="1">
        <v>#REF!</v>
      </c>
      <c r="AL642" s="108" t="e" vm="1">
        <v>#REF!</v>
      </c>
      <c r="AM642" s="108">
        <v>0.3876350221000594</v>
      </c>
      <c r="AR642" s="108">
        <v>457.25</v>
      </c>
    </row>
    <row r="643" spans="1:44">
      <c r="A643" s="99">
        <v>45047</v>
      </c>
      <c r="B643" s="119" t="e">
        <f>'[4]Monthly Prices'!$CF283</f>
        <v>#DIV/0!</v>
      </c>
      <c r="C643" s="119">
        <v>417.24090909090904</v>
      </c>
      <c r="D643" s="119">
        <v>49.765454545454553</v>
      </c>
      <c r="E643" s="122" t="e">
        <f t="shared" si="107"/>
        <v>#DIV/0!</v>
      </c>
      <c r="F643" s="128" t="e">
        <f t="shared" ref="F643:F706" si="122">D643/100*11/(B643+E643)</f>
        <v>#DIV/0!</v>
      </c>
      <c r="G643" s="127" t="e">
        <f t="shared" si="104"/>
        <v>#DIV/0!</v>
      </c>
      <c r="H643" s="99">
        <f t="shared" si="113"/>
        <v>45047</v>
      </c>
      <c r="I643" s="136">
        <f t="shared" ref="I643:I651" si="123">L643-D643</f>
        <v>2.7195454545454467</v>
      </c>
      <c r="J643" s="138">
        <v>14.137340909090909</v>
      </c>
      <c r="K643" s="138">
        <v>423.57499999999999</v>
      </c>
      <c r="L643" s="138">
        <v>52.484999999999999</v>
      </c>
      <c r="M643" s="119">
        <f t="shared" si="117"/>
        <v>0.95465909090909129</v>
      </c>
      <c r="N643" s="128">
        <f t="shared" si="118"/>
        <v>0.38254373177842571</v>
      </c>
      <c r="O643" s="124" t="e">
        <f t="shared" si="120"/>
        <v>#DIV/0!</v>
      </c>
      <c r="P643" s="124">
        <f t="shared" si="120"/>
        <v>6.3340909090909463</v>
      </c>
      <c r="Q643" s="124">
        <f t="shared" si="120"/>
        <v>2.7195454545454467</v>
      </c>
      <c r="U643" s="119">
        <v>14.4</v>
      </c>
      <c r="V643" s="129" t="e">
        <f t="shared" si="116"/>
        <v>#DIV/0!</v>
      </c>
      <c r="W643" s="134" t="e">
        <f t="shared" si="109"/>
        <v>#DIV/0!</v>
      </c>
      <c r="X643" s="135" t="e">
        <f t="shared" si="121"/>
        <v>#DIV/0!</v>
      </c>
      <c r="Y643" s="134"/>
      <c r="Z643" s="135">
        <f>'[8]Canola Complex'!$BL455</f>
        <v>71.325999999999993</v>
      </c>
      <c r="AA643" s="136">
        <f t="shared" si="110"/>
        <v>8.1969090909090809</v>
      </c>
      <c r="AB643" s="131">
        <f>'[9]Monthly Data'!$F56</f>
        <v>63.129090909090912</v>
      </c>
      <c r="AC643" s="131">
        <f t="shared" si="112"/>
        <v>10.644090909090913</v>
      </c>
      <c r="AG643" s="141" t="e">
        <f>Forecasts!#REF!</f>
        <v>#REF!</v>
      </c>
      <c r="AH643" s="142" t="e">
        <f ca="1">AG643/2204.622*100/Forecasts!$A$64</f>
        <v>#REF!</v>
      </c>
      <c r="AI643" s="142" t="e">
        <f t="shared" ca="1" si="119"/>
        <v>#REF!</v>
      </c>
      <c r="AK643" s="139" t="e" vm="1">
        <v>#REF!</v>
      </c>
      <c r="AL643" s="108" t="e" vm="1">
        <v>#REF!</v>
      </c>
      <c r="AM643" s="108">
        <v>0.3876350221000594</v>
      </c>
      <c r="AR643" s="108">
        <v>423.58</v>
      </c>
    </row>
    <row r="644" spans="1:44">
      <c r="A644" s="99">
        <v>45078</v>
      </c>
      <c r="B644" s="119" t="e">
        <f>'[4]Monthly Prices'!$CF284</f>
        <v>#DIV/0!</v>
      </c>
      <c r="C644" s="119">
        <v>406.28571428571428</v>
      </c>
      <c r="D644" s="119">
        <v>55.860952380952369</v>
      </c>
      <c r="E644" s="122" t="e">
        <f t="shared" si="107"/>
        <v>#DIV/0!</v>
      </c>
      <c r="F644" s="128" t="e">
        <f t="shared" si="122"/>
        <v>#DIV/0!</v>
      </c>
      <c r="G644" s="127" t="e">
        <f t="shared" ref="G644:G651" si="124">F644-F643</f>
        <v>#DIV/0!</v>
      </c>
      <c r="H644" s="99">
        <f t="shared" si="113"/>
        <v>45078</v>
      </c>
      <c r="I644" s="136">
        <f t="shared" si="123"/>
        <v>4.1470476190476262</v>
      </c>
      <c r="J644" s="138">
        <v>14.527309523809523</v>
      </c>
      <c r="K644" s="138">
        <v>413.46000000000004</v>
      </c>
      <c r="L644" s="138">
        <v>60.007999999999996</v>
      </c>
      <c r="M644" s="119">
        <f t="shared" si="117"/>
        <v>1.1696904761904765</v>
      </c>
      <c r="N644" s="128">
        <f t="shared" si="118"/>
        <v>0.42051857042747021</v>
      </c>
      <c r="O644" s="124" t="e">
        <f t="shared" si="120"/>
        <v>#DIV/0!</v>
      </c>
      <c r="P644" s="124">
        <f t="shared" si="120"/>
        <v>7.1742857142857588</v>
      </c>
      <c r="Q644" s="124">
        <f t="shared" si="120"/>
        <v>4.1470476190476262</v>
      </c>
      <c r="R644" s="124">
        <f>AVERAGE(J642:J644)</f>
        <v>14.579708039036987</v>
      </c>
      <c r="S644" s="124">
        <f>AVERAGE(K642:K644)</f>
        <v>431.42833333333334</v>
      </c>
      <c r="T644" s="124">
        <f>AVERAGE(L642:L644)</f>
        <v>55.989333333333327</v>
      </c>
      <c r="U644" s="119">
        <v>14.2</v>
      </c>
      <c r="V644" s="129" t="e">
        <f t="shared" si="116"/>
        <v>#DIV/0!</v>
      </c>
      <c r="W644" s="134" t="e">
        <f t="shared" si="109"/>
        <v>#DIV/0!</v>
      </c>
      <c r="X644" s="135" t="e">
        <f t="shared" si="121"/>
        <v>#DIV/0!</v>
      </c>
      <c r="Y644" s="134"/>
      <c r="Z644" s="135">
        <f>'[8]Canola Complex'!$BL456</f>
        <v>71.429000000000002</v>
      </c>
      <c r="AA644" s="136">
        <f t="shared" si="110"/>
        <v>-0.49147619047619173</v>
      </c>
      <c r="AB644" s="131">
        <f>'[9]Monthly Data'!$F57</f>
        <v>71.920476190476194</v>
      </c>
      <c r="AC644" s="131">
        <f t="shared" si="112"/>
        <v>11.912476190476198</v>
      </c>
      <c r="AG644" s="141" t="e">
        <f>Forecasts!#REF!</f>
        <v>#REF!</v>
      </c>
      <c r="AH644" s="142" t="e">
        <f ca="1">AG644/2204.622*100/Forecasts!$A$64</f>
        <v>#REF!</v>
      </c>
      <c r="AI644" s="142" t="e">
        <f t="shared" ca="1" si="119"/>
        <v>#REF!</v>
      </c>
      <c r="AK644" s="139" t="e" vm="1">
        <v>#REF!</v>
      </c>
      <c r="AL644" s="108" t="e" vm="1">
        <v>#REF!</v>
      </c>
      <c r="AM644" s="108">
        <v>0.3876350221000594</v>
      </c>
      <c r="AR644" s="108">
        <v>413.46</v>
      </c>
    </row>
    <row r="645" spans="1:44">
      <c r="A645" s="99">
        <v>45108</v>
      </c>
      <c r="B645" s="119" t="e">
        <f>'[4]Monthly Prices'!$CF285</f>
        <v>#DIV/0!</v>
      </c>
      <c r="C645" s="119">
        <v>432.63500000000005</v>
      </c>
      <c r="D645" s="119">
        <v>66.389999999999972</v>
      </c>
      <c r="E645" s="122" t="e">
        <f t="shared" si="107"/>
        <v>#DIV/0!</v>
      </c>
      <c r="F645" s="128" t="e">
        <f t="shared" si="122"/>
        <v>#DIV/0!</v>
      </c>
      <c r="G645" s="127" t="e">
        <f t="shared" si="124"/>
        <v>#DIV/0!</v>
      </c>
      <c r="H645" s="99">
        <f t="shared" si="113"/>
        <v>45108</v>
      </c>
      <c r="I645" s="136">
        <f t="shared" si="123"/>
        <v>4.4975000000000165</v>
      </c>
      <c r="J645" s="138">
        <v>15.166190000000004</v>
      </c>
      <c r="K645" s="138">
        <v>443.15</v>
      </c>
      <c r="L645" s="138">
        <v>70.887499999999989</v>
      </c>
      <c r="M645" s="119">
        <f t="shared" si="117"/>
        <v>2.3807349999999943</v>
      </c>
      <c r="N645" s="128">
        <f t="shared" si="118"/>
        <v>0.44438697948500949</v>
      </c>
      <c r="O645" s="124" t="e">
        <f t="shared" si="120"/>
        <v>#DIV/0!</v>
      </c>
      <c r="P645" s="124">
        <f t="shared" si="120"/>
        <v>10.51499999999993</v>
      </c>
      <c r="Q645" s="124">
        <f t="shared" si="120"/>
        <v>4.4975000000000165</v>
      </c>
      <c r="R645" s="124"/>
      <c r="S645" s="124"/>
      <c r="T645" s="124"/>
      <c r="U645" s="119">
        <v>14.7</v>
      </c>
      <c r="V645" s="129" t="e">
        <f t="shared" si="116"/>
        <v>#DIV/0!</v>
      </c>
      <c r="W645" s="134" t="e">
        <f t="shared" si="109"/>
        <v>#DIV/0!</v>
      </c>
      <c r="X645" s="135" t="e">
        <f t="shared" si="121"/>
        <v>#DIV/0!</v>
      </c>
      <c r="Y645" s="134"/>
      <c r="Z645" s="135">
        <f>'[8]Canola Complex'!$BL457</f>
        <v>46.087000000000003</v>
      </c>
      <c r="AA645" s="136">
        <f t="shared" si="110"/>
        <v>-37.127999999999986</v>
      </c>
      <c r="AB645" s="131">
        <f>'[9]Monthly Data'!$F58</f>
        <v>83.214999999999989</v>
      </c>
      <c r="AC645" s="131">
        <f t="shared" si="112"/>
        <v>12.327500000000001</v>
      </c>
      <c r="AG645" s="141" t="e">
        <f>Forecasts!#REF!</f>
        <v>#REF!</v>
      </c>
      <c r="AH645" s="142" t="e">
        <f ca="1">AG645/2204.622*100/Forecasts!$A$64</f>
        <v>#REF!</v>
      </c>
      <c r="AI645" s="142" t="e">
        <f t="shared" ca="1" si="119"/>
        <v>#REF!</v>
      </c>
      <c r="AK645" s="139" t="e" vm="1">
        <v>#REF!</v>
      </c>
      <c r="AL645" s="108" t="e" vm="1">
        <v>#REF!</v>
      </c>
      <c r="AM645" s="108">
        <v>0.3876350221000594</v>
      </c>
    </row>
    <row r="646" spans="1:44">
      <c r="A646" s="99">
        <v>45139</v>
      </c>
      <c r="B646" s="119" t="e">
        <f>'[4]Monthly Prices'!$CF286</f>
        <v>#DIV/0!</v>
      </c>
      <c r="C646" s="119">
        <v>415.89565217391305</v>
      </c>
      <c r="D646" s="119">
        <v>65.607391304347829</v>
      </c>
      <c r="E646" s="122" t="e">
        <f t="shared" si="107"/>
        <v>#DIV/0!</v>
      </c>
      <c r="F646" s="128" t="e">
        <f t="shared" si="122"/>
        <v>#DIV/0!</v>
      </c>
      <c r="G646" s="127" t="e">
        <f t="shared" si="124"/>
        <v>#DIV/0!</v>
      </c>
      <c r="H646" s="99">
        <f t="shared" si="113"/>
        <v>45139</v>
      </c>
      <c r="I646" s="136">
        <f t="shared" si="123"/>
        <v>5.3596086956521702</v>
      </c>
      <c r="J646" s="138">
        <v>14.416486956521743</v>
      </c>
      <c r="K646" s="138">
        <v>438.8</v>
      </c>
      <c r="L646" s="138">
        <v>70.966999999999999</v>
      </c>
      <c r="M646" s="119">
        <f t="shared" si="117"/>
        <v>3.0434830434782594</v>
      </c>
      <c r="N646" s="128">
        <f t="shared" si="118"/>
        <v>0.44710099730984643</v>
      </c>
      <c r="O646" s="124" t="e">
        <f t="shared" si="120"/>
        <v>#DIV/0!</v>
      </c>
      <c r="P646" s="124">
        <f t="shared" si="120"/>
        <v>22.904347826086962</v>
      </c>
      <c r="Q646" s="124">
        <f t="shared" si="120"/>
        <v>5.3596086956521702</v>
      </c>
      <c r="R646" s="124"/>
      <c r="S646" s="124"/>
      <c r="T646" s="124"/>
      <c r="U646" s="119">
        <v>14.1</v>
      </c>
      <c r="V646" s="129" t="e">
        <f t="shared" si="116"/>
        <v>#DIV/0!</v>
      </c>
      <c r="W646" s="134" t="e">
        <f t="shared" si="109"/>
        <v>#DIV/0!</v>
      </c>
      <c r="X646" s="135" t="e">
        <f t="shared" si="121"/>
        <v>#DIV/0!</v>
      </c>
      <c r="Y646" s="134"/>
      <c r="Z646" s="135">
        <f>'[8]Canola Complex'!$BL458</f>
        <v>44.484000000000002</v>
      </c>
      <c r="AA646" s="136">
        <f t="shared" si="110"/>
        <v>-35.340782608695655</v>
      </c>
      <c r="AB646" s="131">
        <f>'[9]Monthly Data'!$F59</f>
        <v>79.824782608695656</v>
      </c>
      <c r="AC646" s="131">
        <f t="shared" si="112"/>
        <v>8.8577826086956577</v>
      </c>
      <c r="AG646" s="141" t="e">
        <f>Forecasts!#REF!</f>
        <v>#REF!</v>
      </c>
      <c r="AH646" s="142" t="e">
        <f ca="1">AG646/2204.622*100/Forecasts!$A$64</f>
        <v>#REF!</v>
      </c>
      <c r="AI646" s="142" t="e">
        <f t="shared" ca="1" si="119"/>
        <v>#REF!</v>
      </c>
      <c r="AM646" s="108">
        <v>0.3876350221000594</v>
      </c>
    </row>
    <row r="647" spans="1:44">
      <c r="A647" s="99">
        <v>45170</v>
      </c>
      <c r="B647" s="119" t="e">
        <f>'[4]Monthly Prices'!$CF287</f>
        <v>#DIV/0!</v>
      </c>
      <c r="C647" s="119">
        <v>394.84</v>
      </c>
      <c r="D647" s="119">
        <v>61.316499999999984</v>
      </c>
      <c r="E647" s="122" t="e">
        <f t="shared" si="107"/>
        <v>#DIV/0!</v>
      </c>
      <c r="F647" s="128" t="e">
        <f t="shared" si="122"/>
        <v>#DIV/0!</v>
      </c>
      <c r="G647" s="127" t="e">
        <f t="shared" si="124"/>
        <v>#DIV/0!</v>
      </c>
      <c r="H647" s="99">
        <f t="shared" si="113"/>
        <v>45170</v>
      </c>
      <c r="I647" s="136">
        <f t="shared" si="123"/>
        <v>3.9115000000000109</v>
      </c>
      <c r="J647" s="119">
        <f>'[9]Monthly Data'!$EH60</f>
        <v>13.340275</v>
      </c>
      <c r="K647" s="143">
        <v>411.07</v>
      </c>
      <c r="L647" s="143">
        <v>65.227999999999994</v>
      </c>
      <c r="M647" s="119">
        <f t="shared" si="117"/>
        <v>2.8783450000000013</v>
      </c>
      <c r="N647" s="128">
        <f t="shared" si="118"/>
        <v>0.44239768858262901</v>
      </c>
      <c r="O647" s="124" t="e">
        <f t="shared" si="120"/>
        <v>#DIV/0!</v>
      </c>
      <c r="P647" s="124">
        <f t="shared" si="120"/>
        <v>16.230000000000018</v>
      </c>
      <c r="Q647" s="124">
        <f t="shared" si="120"/>
        <v>3.9115000000000109</v>
      </c>
      <c r="R647" s="124">
        <f>AVERAGE(J645:J647)</f>
        <v>14.307650652173914</v>
      </c>
      <c r="S647" s="124">
        <f>AVERAGE(K645:K647)</f>
        <v>431.00666666666666</v>
      </c>
      <c r="T647" s="124">
        <f>AVERAGE(L645:L647)</f>
        <v>69.027499999999989</v>
      </c>
      <c r="U647" s="119">
        <v>13.2</v>
      </c>
      <c r="V647" s="129" t="e">
        <f t="shared" si="116"/>
        <v>#DIV/0!</v>
      </c>
      <c r="W647" s="134" t="e">
        <f t="shared" si="109"/>
        <v>#DIV/0!</v>
      </c>
      <c r="X647" s="135" t="e">
        <f t="shared" si="121"/>
        <v>#DIV/0!</v>
      </c>
      <c r="Y647" s="134"/>
      <c r="Z647" s="135">
        <f>'[8]Canola Complex'!$BL459</f>
        <v>59.189</v>
      </c>
      <c r="AA647" s="136">
        <f t="shared" si="110"/>
        <v>-15.152499999999982</v>
      </c>
      <c r="AB647" s="131">
        <f>'[9]Monthly Data'!$F60</f>
        <v>74.341499999999982</v>
      </c>
      <c r="AC647" s="131">
        <f t="shared" si="112"/>
        <v>9.1134999999999877</v>
      </c>
      <c r="AG647" s="141" t="e">
        <f>Forecasts!#REF!</f>
        <v>#REF!</v>
      </c>
      <c r="AH647" s="142" t="e">
        <f ca="1">AG647/2204.622*100/Forecasts!$A$64</f>
        <v>#REF!</v>
      </c>
      <c r="AI647" s="142" t="e">
        <f t="shared" ca="1" si="119"/>
        <v>#REF!</v>
      </c>
      <c r="AM647" s="108">
        <v>0.3876350221000594</v>
      </c>
      <c r="AO647" s="108" t="e" vm="2">
        <f>AVERAGE(AL623:AL643)</f>
        <v>#VALUE!</v>
      </c>
    </row>
    <row r="648" spans="1:44">
      <c r="A648" s="99">
        <v>45200</v>
      </c>
      <c r="B648" s="119" t="e">
        <f>'[4]Monthly Prices'!$CF288</f>
        <v>#DIV/0!</v>
      </c>
      <c r="C648" s="119">
        <v>401.97272727272724</v>
      </c>
      <c r="D648" s="119">
        <v>53.868181818181831</v>
      </c>
      <c r="E648" s="122" t="e">
        <f t="shared" si="107"/>
        <v>#DIV/0!</v>
      </c>
      <c r="F648" s="128" t="e">
        <f t="shared" si="122"/>
        <v>#DIV/0!</v>
      </c>
      <c r="G648" s="127" t="e">
        <f t="shared" si="124"/>
        <v>#DIV/0!</v>
      </c>
      <c r="H648" s="99">
        <f t="shared" si="113"/>
        <v>45200</v>
      </c>
      <c r="I648" s="136">
        <f t="shared" si="123"/>
        <v>4.2954545454545467</v>
      </c>
      <c r="J648" s="119">
        <f>'[9]Monthly Data'!$EH61</f>
        <v>12.700249999999999</v>
      </c>
      <c r="K648" s="119">
        <f>'[9]Monthly Data'!$EE61</f>
        <v>430.15</v>
      </c>
      <c r="L648" s="119">
        <f>'[9]Monthly Data'!$K61</f>
        <v>58.163636363636378</v>
      </c>
      <c r="M648" s="119">
        <f t="shared" si="117"/>
        <v>3.161050000000003</v>
      </c>
      <c r="N648" s="128">
        <f t="shared" si="118"/>
        <v>0.40337172867293353</v>
      </c>
      <c r="O648" s="124" t="e">
        <f t="shared" si="120"/>
        <v>#DIV/0!</v>
      </c>
      <c r="P648" s="124">
        <f t="shared" si="120"/>
        <v>28.177272727272737</v>
      </c>
      <c r="Q648" s="124">
        <f t="shared" si="120"/>
        <v>4.2954545454545467</v>
      </c>
      <c r="U648" s="119">
        <v>12.7</v>
      </c>
      <c r="V648" s="129" t="e">
        <f t="shared" si="116"/>
        <v>#DIV/0!</v>
      </c>
      <c r="W648" s="134" t="e">
        <f t="shared" si="109"/>
        <v>#DIV/0!</v>
      </c>
      <c r="X648" s="135" t="e">
        <f t="shared" si="121"/>
        <v>#DIV/0!</v>
      </c>
      <c r="Y648" s="134"/>
      <c r="Z648" s="135">
        <f>'[8]Canola Complex'!$BM448</f>
        <v>57.856000000000002</v>
      </c>
      <c r="AA648" s="136">
        <f>Z648-AB648</f>
        <v>-7.8530909090909162</v>
      </c>
      <c r="AB648" s="131">
        <f>'[9]Monthly Data'!$F61</f>
        <v>65.709090909090918</v>
      </c>
      <c r="AC648" s="131">
        <f t="shared" si="112"/>
        <v>7.5454545454545396</v>
      </c>
      <c r="AG648" s="141" t="e">
        <f>Forecasts!#REF!</f>
        <v>#REF!</v>
      </c>
      <c r="AH648" s="142" t="e">
        <f ca="1">AG648/2204.622*100/Forecasts!$A$64</f>
        <v>#REF!</v>
      </c>
      <c r="AI648" s="142" t="e">
        <f t="shared" ca="1" si="119"/>
        <v>#REF!</v>
      </c>
      <c r="AM648" s="108">
        <v>0.3876350221000594</v>
      </c>
    </row>
    <row r="649" spans="1:44">
      <c r="A649" s="99">
        <v>45231</v>
      </c>
      <c r="B649" s="119" t="e">
        <f>'[4]Monthly Prices'!$CF289</f>
        <v>#DIV/0!</v>
      </c>
      <c r="C649" s="119">
        <v>452.15238095238101</v>
      </c>
      <c r="D649" s="119">
        <v>51.671428571428564</v>
      </c>
      <c r="E649" s="122" t="e">
        <f t="shared" si="107"/>
        <v>#DIV/0!</v>
      </c>
      <c r="F649" s="128" t="e">
        <f t="shared" si="122"/>
        <v>#DIV/0!</v>
      </c>
      <c r="G649" s="127" t="e">
        <f t="shared" si="124"/>
        <v>#DIV/0!</v>
      </c>
      <c r="H649" s="99">
        <f t="shared" si="113"/>
        <v>45231</v>
      </c>
      <c r="I649" s="136">
        <f t="shared" si="123"/>
        <v>3.75</v>
      </c>
      <c r="J649" s="119">
        <f>'[9]Monthly Data'!$EH62</f>
        <v>13.470238095238098</v>
      </c>
      <c r="K649" s="119">
        <f>'[9]Monthly Data'!$EE62</f>
        <v>496.79523809523812</v>
      </c>
      <c r="L649" s="119">
        <f>'[9]Monthly Data'!$K62</f>
        <v>55.421428571428564</v>
      </c>
      <c r="M649" s="119">
        <f t="shared" si="117"/>
        <v>3.555614285714281</v>
      </c>
      <c r="N649" s="128">
        <f t="shared" si="118"/>
        <v>0.35806472454074745</v>
      </c>
      <c r="O649" s="124" t="e">
        <f t="shared" si="120"/>
        <v>#DIV/0!</v>
      </c>
      <c r="P649" s="124">
        <f t="shared" si="120"/>
        <v>44.64285714285711</v>
      </c>
      <c r="Q649" s="124">
        <f t="shared" si="120"/>
        <v>3.75</v>
      </c>
      <c r="U649" s="119">
        <v>13</v>
      </c>
      <c r="V649" s="129" t="e">
        <f t="shared" si="116"/>
        <v>#DIV/0!</v>
      </c>
      <c r="W649" s="134" t="e">
        <f t="shared" si="109"/>
        <v>#DIV/0!</v>
      </c>
      <c r="X649" s="135" t="e">
        <f t="shared" si="121"/>
        <v>#DIV/0!</v>
      </c>
      <c r="Y649" s="134"/>
      <c r="Z649" s="135">
        <f>'[8]Canola Complex'!$BM449</f>
        <v>74.387</v>
      </c>
      <c r="AA649" s="136">
        <f t="shared" si="110"/>
        <v>11.114380952380948</v>
      </c>
      <c r="AB649" s="131">
        <f>'[9]Monthly Data'!$F62</f>
        <v>63.272619047619052</v>
      </c>
      <c r="AC649" s="131">
        <f t="shared" si="112"/>
        <v>7.8511904761904887</v>
      </c>
      <c r="AG649" s="141" t="e">
        <f>Forecasts!#REF!</f>
        <v>#REF!</v>
      </c>
      <c r="AH649" s="142" t="e">
        <f ca="1">AG649/2204.622*100/Forecasts!$A$64</f>
        <v>#REF!</v>
      </c>
      <c r="AI649" s="142" t="e">
        <f t="shared" ca="1" si="119"/>
        <v>#REF!</v>
      </c>
      <c r="AM649" s="108">
        <v>0.3876350221000594</v>
      </c>
    </row>
    <row r="650" spans="1:44">
      <c r="A650" s="99">
        <v>45261</v>
      </c>
      <c r="B650" s="119" t="e">
        <f>'[4]Monthly Prices'!$CF290</f>
        <v>#DIV/0!</v>
      </c>
      <c r="C650" s="119">
        <v>404.28999999999991</v>
      </c>
      <c r="D650" s="119">
        <v>49.773000000000003</v>
      </c>
      <c r="E650" s="122" t="e">
        <f t="shared" si="107"/>
        <v>#DIV/0!</v>
      </c>
      <c r="F650" s="128" t="e">
        <f t="shared" si="122"/>
        <v>#DIV/0!</v>
      </c>
      <c r="G650" s="127" t="e">
        <f t="shared" si="124"/>
        <v>#DIV/0!</v>
      </c>
      <c r="H650" s="99">
        <f t="shared" si="113"/>
        <v>45261</v>
      </c>
      <c r="I650" s="136">
        <f t="shared" si="123"/>
        <v>2.3125</v>
      </c>
      <c r="J650" s="119">
        <f>'[9]Monthly Data'!$EH63</f>
        <v>13.045750000000002</v>
      </c>
      <c r="K650" s="119">
        <f>'[9]Monthly Data'!$EE63</f>
        <v>442.3</v>
      </c>
      <c r="L650" s="119">
        <f>'[9]Monthly Data'!$K63</f>
        <v>52.085500000000003</v>
      </c>
      <c r="M650" s="119">
        <f t="shared" si="117"/>
        <v>2.4142550000000007</v>
      </c>
      <c r="N650" s="128">
        <f t="shared" si="118"/>
        <v>0.3705952876470609</v>
      </c>
      <c r="O650" s="124" t="e">
        <f t="shared" si="120"/>
        <v>#DIV/0!</v>
      </c>
      <c r="P650" s="124">
        <f t="shared" si="120"/>
        <v>38.010000000000105</v>
      </c>
      <c r="Q650" s="124">
        <f t="shared" si="120"/>
        <v>2.3125</v>
      </c>
      <c r="R650" s="124">
        <f>AVERAGE(J648:J650)</f>
        <v>13.072079365079366</v>
      </c>
      <c r="S650" s="124">
        <f>AVERAGE(K648:K650)</f>
        <v>456.41507936507941</v>
      </c>
      <c r="T650" s="124">
        <f>AVERAGE(L648:L650)</f>
        <v>55.223521645021641</v>
      </c>
      <c r="U650" s="119">
        <v>13.1</v>
      </c>
      <c r="V650" s="129" t="e">
        <f t="shared" si="116"/>
        <v>#DIV/0!</v>
      </c>
      <c r="W650" s="134" t="e">
        <f t="shared" si="109"/>
        <v>#DIV/0!</v>
      </c>
      <c r="X650" s="135" t="e">
        <f t="shared" si="121"/>
        <v>#DIV/0!</v>
      </c>
      <c r="Y650" s="134"/>
      <c r="Z650" s="135">
        <f>'[8]Canola Complex'!$BM450</f>
        <v>92.734999999999999</v>
      </c>
      <c r="AA650" s="136">
        <f t="shared" si="110"/>
        <v>32.411999999999999</v>
      </c>
      <c r="AB650" s="131">
        <f>'[9]Monthly Data'!$F63</f>
        <v>60.323</v>
      </c>
      <c r="AC650" s="131">
        <f t="shared" si="112"/>
        <v>8.2374999999999972</v>
      </c>
      <c r="AG650" s="141" t="e">
        <f>Forecasts!#REF!</f>
        <v>#REF!</v>
      </c>
      <c r="AH650" s="142" t="e">
        <f ca="1">AG650/2204.622*100/Forecasts!$A$64</f>
        <v>#REF!</v>
      </c>
      <c r="AI650" s="142">
        <v>20</v>
      </c>
      <c r="AM650" s="108">
        <v>0.3876350221000594</v>
      </c>
    </row>
    <row r="651" spans="1:44">
      <c r="A651" s="99">
        <v>45292</v>
      </c>
      <c r="B651" s="119" t="e">
        <f>'[4]Monthly Prices'!$CF291</f>
        <v>#DIV/0!</v>
      </c>
      <c r="C651" s="119">
        <v>364.32380952380953</v>
      </c>
      <c r="D651" s="119">
        <v>47.540476190476184</v>
      </c>
      <c r="E651" s="122" t="e">
        <f t="shared" si="107"/>
        <v>#DIV/0!</v>
      </c>
      <c r="F651" s="128" t="e">
        <f t="shared" si="122"/>
        <v>#DIV/0!</v>
      </c>
      <c r="G651" s="127" t="e">
        <f t="shared" si="124"/>
        <v>#DIV/0!</v>
      </c>
      <c r="H651" s="99">
        <f t="shared" si="113"/>
        <v>45292</v>
      </c>
      <c r="I651" s="136">
        <f t="shared" si="123"/>
        <v>0.8809523809523796</v>
      </c>
      <c r="J651" s="119">
        <f>'[9]Monthly Data'!$EH64</f>
        <v>12.331785714285715</v>
      </c>
      <c r="K651" s="119">
        <f>'[9]Monthly Data'!$EE64</f>
        <v>400.99523809523805</v>
      </c>
      <c r="L651" s="119">
        <f>'[9]Monthly Data'!$K64</f>
        <v>48.421428571428564</v>
      </c>
      <c r="M651" s="119">
        <f t="shared" si="117"/>
        <v>1.8164666666666633</v>
      </c>
      <c r="N651" s="128">
        <f t="shared" si="118"/>
        <v>0.37646749573310923</v>
      </c>
      <c r="O651" s="124" t="e">
        <f t="shared" si="120"/>
        <v>#DIV/0!</v>
      </c>
      <c r="P651" s="124">
        <f t="shared" si="120"/>
        <v>36.671428571428521</v>
      </c>
      <c r="Q651" s="124">
        <f t="shared" si="120"/>
        <v>0.8809523809523796</v>
      </c>
      <c r="U651" s="119">
        <v>12.8</v>
      </c>
      <c r="V651" s="129" t="e">
        <f t="shared" si="116"/>
        <v>#DIV/0!</v>
      </c>
      <c r="W651" s="134" t="e">
        <f t="shared" si="109"/>
        <v>#DIV/0!</v>
      </c>
      <c r="X651" s="135" t="e">
        <f t="shared" si="121"/>
        <v>#DIV/0!</v>
      </c>
      <c r="Y651" s="134"/>
      <c r="Z651" s="135">
        <f>'[8]Canola Complex'!$BM451</f>
        <v>74.296999999999997</v>
      </c>
      <c r="AA651" s="136">
        <f t="shared" si="110"/>
        <v>18.161285714285718</v>
      </c>
      <c r="AB651" s="131">
        <f>'[9]Monthly Data'!$F64</f>
        <v>56.135714285714279</v>
      </c>
      <c r="AC651" s="131">
        <f t="shared" si="112"/>
        <v>7.7142857142857153</v>
      </c>
      <c r="AG651" s="141" t="e">
        <f>Forecasts!#REF!</f>
        <v>#REF!</v>
      </c>
      <c r="AH651" s="142" t="e">
        <f ca="1">AG651/2204.622*100/Forecasts!$A$64</f>
        <v>#REF!</v>
      </c>
      <c r="AI651" s="142">
        <v>20</v>
      </c>
      <c r="AM651" s="108">
        <v>0.3876350221000594</v>
      </c>
    </row>
    <row r="652" spans="1:44">
      <c r="A652" s="99">
        <v>45323</v>
      </c>
      <c r="B652" s="119" t="e">
        <f>'[4]Monthly Prices'!$CF292</f>
        <v>#DIV/0!</v>
      </c>
      <c r="C652" s="119">
        <v>344.42</v>
      </c>
      <c r="D652" s="119">
        <v>45.639999999999993</v>
      </c>
      <c r="E652" s="122" t="e">
        <f t="shared" si="107"/>
        <v>#DIV/0!</v>
      </c>
      <c r="F652" s="128" t="e">
        <f t="shared" si="122"/>
        <v>#DIV/0!</v>
      </c>
      <c r="G652" s="127" t="e">
        <f>F652-F651</f>
        <v>#DIV/0!</v>
      </c>
      <c r="H652" s="99">
        <f t="shared" si="113"/>
        <v>45323</v>
      </c>
      <c r="I652" s="136">
        <f>L652-D652</f>
        <v>-1.6499999999999986</v>
      </c>
      <c r="J652" s="119">
        <f>'[9]Monthly Data'!$EH65</f>
        <v>11.743875000000001</v>
      </c>
      <c r="K652" s="119">
        <f>'[9]Monthly Data'!$EE65</f>
        <v>389.42</v>
      </c>
      <c r="L652" s="119">
        <f>'[9]Monthly Data'!$K65</f>
        <v>43.989999999999995</v>
      </c>
      <c r="M652" s="119">
        <f t="shared" si="117"/>
        <v>1.6622649999999997</v>
      </c>
      <c r="N652" s="128">
        <f t="shared" si="118"/>
        <v>0.36094655135631881</v>
      </c>
      <c r="O652" s="124" t="e">
        <f t="shared" ref="O652:Q664" si="125">J652-B652</f>
        <v>#DIV/0!</v>
      </c>
      <c r="P652" s="124">
        <f t="shared" si="125"/>
        <v>45</v>
      </c>
      <c r="Q652" s="124">
        <f t="shared" si="125"/>
        <v>-1.6499999999999986</v>
      </c>
      <c r="U652" s="119">
        <v>11.9</v>
      </c>
      <c r="V652" s="129" t="e">
        <f t="shared" si="116"/>
        <v>#DIV/0!</v>
      </c>
      <c r="W652" s="134" t="e">
        <f t="shared" si="109"/>
        <v>#DIV/0!</v>
      </c>
      <c r="X652" s="135" t="e">
        <f t="shared" si="121"/>
        <v>#DIV/0!</v>
      </c>
      <c r="Y652" s="134"/>
      <c r="Z652" s="135">
        <f>'[8]Canola Complex'!$BM452</f>
        <v>57.5</v>
      </c>
      <c r="AA652" s="136">
        <f t="shared" si="110"/>
        <v>4.4100000000000037</v>
      </c>
      <c r="AB652" s="131">
        <f>'[9]Monthly Data'!$F65</f>
        <v>53.089999999999996</v>
      </c>
      <c r="AC652" s="131">
        <f t="shared" si="112"/>
        <v>9.1000000000000014</v>
      </c>
      <c r="AG652" s="141" t="e">
        <f>Forecasts!#REF!</f>
        <v>#REF!</v>
      </c>
      <c r="AH652" s="142">
        <f>D654-AI652</f>
        <v>26.189999999999991</v>
      </c>
      <c r="AI652" s="142">
        <v>20</v>
      </c>
      <c r="AM652" s="108">
        <v>0.3876350221000594</v>
      </c>
    </row>
    <row r="653" spans="1:44">
      <c r="A653" s="99">
        <v>45352</v>
      </c>
      <c r="B653" s="119" t="e">
        <f>'[4]Monthly Prices'!$CF293</f>
        <v>#DIV/0!</v>
      </c>
      <c r="C653" s="119">
        <v>336.83499999999998</v>
      </c>
      <c r="D653" s="119">
        <v>47.468999999999994</v>
      </c>
      <c r="E653" s="122" t="e">
        <f t="shared" si="107"/>
        <v>#DIV/0!</v>
      </c>
      <c r="F653" s="128" t="e">
        <f t="shared" si="122"/>
        <v>#DIV/0!</v>
      </c>
      <c r="G653" s="127" t="e">
        <f t="shared" ref="G653:G716" si="126">F653-F652</f>
        <v>#DIV/0!</v>
      </c>
      <c r="H653" s="99">
        <f t="shared" si="113"/>
        <v>45352</v>
      </c>
      <c r="I653" s="136">
        <f>L653-D653</f>
        <v>-2.6124999999999972</v>
      </c>
      <c r="J653" s="119">
        <f>'[9]Monthly Data'!$EH66</f>
        <v>11.897375</v>
      </c>
      <c r="K653" s="119">
        <f>'[9]Monthly Data'!$EE66</f>
        <v>381.83499999999998</v>
      </c>
      <c r="L653" s="119">
        <f>'[9]Monthly Data'!$K66</f>
        <v>44.856499999999997</v>
      </c>
      <c r="M653" s="119">
        <f t="shared" si="117"/>
        <v>1.4372099999999985</v>
      </c>
      <c r="N653" s="128">
        <f t="shared" si="118"/>
        <v>0.37003138830342303</v>
      </c>
      <c r="O653" s="124" t="e">
        <f t="shared" si="125"/>
        <v>#DIV/0!</v>
      </c>
      <c r="P653" s="124">
        <f t="shared" si="125"/>
        <v>45</v>
      </c>
      <c r="Q653" s="124">
        <f t="shared" si="125"/>
        <v>-2.6124999999999972</v>
      </c>
      <c r="R653" s="124">
        <f>AVERAGE(J651:J653)</f>
        <v>11.991011904761905</v>
      </c>
      <c r="S653" s="124">
        <f>AVERAGE(K651:K653)</f>
        <v>390.75007936507933</v>
      </c>
      <c r="T653" s="124">
        <f>AVERAGE(L651:L653)</f>
        <v>45.75597619047619</v>
      </c>
      <c r="U653" s="119">
        <v>11.8</v>
      </c>
      <c r="V653" s="129" t="e">
        <f t="shared" si="116"/>
        <v>#DIV/0!</v>
      </c>
      <c r="W653" s="134" t="e">
        <f t="shared" si="109"/>
        <v>#DIV/0!</v>
      </c>
      <c r="X653" s="135" t="e">
        <f t="shared" si="121"/>
        <v>#DIV/0!</v>
      </c>
      <c r="Y653" s="134"/>
      <c r="Z653" s="135">
        <f>'[8]Canola Complex'!$BM453</f>
        <v>58.930999999999997</v>
      </c>
      <c r="AA653" s="136">
        <f t="shared" si="110"/>
        <v>5.6245000000000047</v>
      </c>
      <c r="AB653" s="131">
        <f>'[9]Monthly Data'!$F66</f>
        <v>53.306499999999993</v>
      </c>
      <c r="AC653" s="131">
        <f t="shared" si="112"/>
        <v>8.4499999999999957</v>
      </c>
      <c r="AG653" s="141" t="e">
        <f>Forecasts!#REF!</f>
        <v>#REF!</v>
      </c>
      <c r="AH653" s="142">
        <f t="shared" ref="AH653:AH669" si="127">D655-AI653</f>
        <v>24.612272727272725</v>
      </c>
      <c r="AI653" s="142">
        <v>20</v>
      </c>
      <c r="AM653" s="108">
        <v>0.3876350221000594</v>
      </c>
    </row>
    <row r="654" spans="1:44">
      <c r="A654" s="99">
        <v>45383</v>
      </c>
      <c r="B654" s="119" t="e">
        <f>'[4]Monthly Prices'!$CF294</f>
        <v>#DIV/0!</v>
      </c>
      <c r="C654" s="119">
        <v>338.59090909090907</v>
      </c>
      <c r="D654" s="119">
        <v>46.189999999999991</v>
      </c>
      <c r="E654" s="122" t="e">
        <f t="shared" si="107"/>
        <v>#DIV/0!</v>
      </c>
      <c r="F654" s="128" t="e">
        <f t="shared" si="122"/>
        <v>#DIV/0!</v>
      </c>
      <c r="G654" s="127" t="e">
        <f t="shared" si="126"/>
        <v>#DIV/0!</v>
      </c>
      <c r="H654" s="99">
        <f t="shared" si="113"/>
        <v>45383</v>
      </c>
      <c r="I654" s="136">
        <f t="shared" ref="I654:I657" si="128">L654-D654</f>
        <v>-3.0409090909090963</v>
      </c>
      <c r="J654" s="119">
        <f>'[9]Monthly Data'!$EH67</f>
        <v>11.706136363636364</v>
      </c>
      <c r="K654" s="119">
        <f>'[9]Monthly Data'!$EE67</f>
        <v>363.91363636363633</v>
      </c>
      <c r="L654" s="119">
        <f>'[9]Monthly Data'!$K67</f>
        <v>43.149090909090894</v>
      </c>
      <c r="M654" s="119">
        <f t="shared" si="117"/>
        <v>1.0463636363636333</v>
      </c>
      <c r="N654" s="128">
        <f t="shared" si="118"/>
        <v>0.3721936875122524</v>
      </c>
      <c r="O654" s="124" t="e">
        <f t="shared" si="125"/>
        <v>#DIV/0!</v>
      </c>
      <c r="P654" s="124">
        <f t="shared" si="125"/>
        <v>25.322727272727263</v>
      </c>
      <c r="Q654" s="124">
        <f t="shared" si="125"/>
        <v>-3.0409090909090963</v>
      </c>
      <c r="U654" s="119">
        <v>11.8</v>
      </c>
      <c r="V654" s="129" t="e">
        <f t="shared" si="116"/>
        <v>#DIV/0!</v>
      </c>
      <c r="W654" s="134" t="e">
        <f t="shared" si="109"/>
        <v>#DIV/0!</v>
      </c>
      <c r="X654" s="135" t="e">
        <f t="shared" si="121"/>
        <v>#DIV/0!</v>
      </c>
      <c r="Y654" s="134"/>
      <c r="Z654" s="135">
        <f>'[8]Canola Complex'!$BM454</f>
        <v>49.27</v>
      </c>
      <c r="AA654" s="136">
        <f t="shared" si="110"/>
        <v>-1.5268181818181645</v>
      </c>
      <c r="AB654" s="131">
        <f>'[9]Monthly Data'!$F67</f>
        <v>50.796818181818168</v>
      </c>
      <c r="AC654" s="131">
        <f t="shared" si="112"/>
        <v>7.6477272727272734</v>
      </c>
      <c r="AG654" s="141" t="e">
        <f>Forecasts!#REF!</f>
        <v>#REF!</v>
      </c>
      <c r="AH654" s="142">
        <f t="shared" si="127"/>
        <v>24.706842105263163</v>
      </c>
      <c r="AI654" s="142">
        <v>19</v>
      </c>
      <c r="AM654" s="108">
        <v>0.3876350221000594</v>
      </c>
    </row>
    <row r="655" spans="1:44">
      <c r="A655" s="99">
        <v>45413</v>
      </c>
      <c r="B655" s="119" t="e">
        <f>'[4]Monthly Prices'!$CF295</f>
        <v>#DIV/0!</v>
      </c>
      <c r="C655" s="119">
        <v>372.27272727272731</v>
      </c>
      <c r="D655" s="119">
        <v>44.612272727272725</v>
      </c>
      <c r="E655" s="122" t="e">
        <f t="shared" si="107"/>
        <v>#DIV/0!</v>
      </c>
      <c r="F655" s="128" t="e">
        <f t="shared" si="122"/>
        <v>#DIV/0!</v>
      </c>
      <c r="G655" s="127" t="e">
        <f t="shared" si="126"/>
        <v>#DIV/0!</v>
      </c>
      <c r="H655" s="99">
        <f t="shared" si="113"/>
        <v>45413</v>
      </c>
      <c r="I655" s="136">
        <f t="shared" si="128"/>
        <v>-2.7727272727272734</v>
      </c>
      <c r="J655" s="119">
        <f>'[9]Monthly Data'!$EH68</f>
        <v>12.282045454545456</v>
      </c>
      <c r="K655" s="119">
        <f>'[9]Monthly Data'!$EE68</f>
        <v>394.77272727272737</v>
      </c>
      <c r="L655" s="119">
        <f>'[9]Monthly Data'!$K68</f>
        <v>41.839545454545451</v>
      </c>
      <c r="M655" s="119">
        <f t="shared" si="117"/>
        <v>1.0053045454545462</v>
      </c>
      <c r="N655" s="128">
        <f t="shared" si="118"/>
        <v>0.34637079628368328</v>
      </c>
      <c r="O655" s="124" t="e">
        <f t="shared" si="125"/>
        <v>#DIV/0!</v>
      </c>
      <c r="P655" s="124">
        <f t="shared" si="125"/>
        <v>22.500000000000057</v>
      </c>
      <c r="Q655" s="124">
        <f t="shared" si="125"/>
        <v>-2.7727272727272734</v>
      </c>
      <c r="U655" s="119">
        <v>11.9</v>
      </c>
      <c r="V655" s="129" t="e">
        <f t="shared" si="116"/>
        <v>#DIV/0!</v>
      </c>
      <c r="W655" s="134" t="e">
        <f t="shared" si="109"/>
        <v>#DIV/0!</v>
      </c>
      <c r="X655" s="135" t="e">
        <f t="shared" si="121"/>
        <v>#DIV/0!</v>
      </c>
      <c r="Y655" s="134"/>
      <c r="Z655" s="144">
        <f>'[8]Canola Complex'!$BM455</f>
        <v>51.295999999999999</v>
      </c>
      <c r="AA655" s="140">
        <f t="shared" si="110"/>
        <v>2.7064545454545481</v>
      </c>
      <c r="AB655" s="142">
        <f t="shared" ref="AB655:AB662" si="129">L655+AC655</f>
        <v>48.589545454545451</v>
      </c>
      <c r="AC655" s="142">
        <v>6.75</v>
      </c>
      <c r="AG655" s="141" t="e">
        <f>Forecasts!#REF!</f>
        <v>#REF!</v>
      </c>
      <c r="AH655" s="142">
        <f t="shared" si="127"/>
        <v>27.263181818181813</v>
      </c>
      <c r="AI655" s="142">
        <v>19</v>
      </c>
      <c r="AM655" s="108">
        <v>0.3876350221000594</v>
      </c>
    </row>
    <row r="656" spans="1:44">
      <c r="A656" s="99">
        <v>45444</v>
      </c>
      <c r="B656" s="119" t="e">
        <f>'[4]Monthly Prices'!$CF296</f>
        <v>#DIV/0!</v>
      </c>
      <c r="C656" s="119">
        <v>362.45789473684221</v>
      </c>
      <c r="D656" s="119">
        <v>43.706842105263163</v>
      </c>
      <c r="E656" s="122" t="e">
        <f t="shared" si="107"/>
        <v>#DIV/0!</v>
      </c>
      <c r="F656" s="128" t="e">
        <f t="shared" si="122"/>
        <v>#DIV/0!</v>
      </c>
      <c r="G656" s="127" t="e">
        <f t="shared" si="126"/>
        <v>#DIV/0!</v>
      </c>
      <c r="H656" s="99">
        <f t="shared" si="113"/>
        <v>45444</v>
      </c>
      <c r="I656" s="136">
        <f t="shared" si="128"/>
        <v>-1.6052631578947398</v>
      </c>
      <c r="J656" s="119">
        <f>'[9]Monthly Data'!$EH69</f>
        <v>11.91013157894737</v>
      </c>
      <c r="K656" s="119">
        <f>'[9]Monthly Data'!$EE69</f>
        <v>384.95789473684221</v>
      </c>
      <c r="L656" s="119">
        <f>'[9]Monthly Data'!$K69</f>
        <v>42.101578947368424</v>
      </c>
      <c r="M656" s="119">
        <f t="shared" si="117"/>
        <v>1.1901157894736851</v>
      </c>
      <c r="N656" s="128">
        <f t="shared" si="118"/>
        <v>0.35351803320708686</v>
      </c>
      <c r="O656" s="124" t="e">
        <f t="shared" si="125"/>
        <v>#DIV/0!</v>
      </c>
      <c r="P656" s="124">
        <f t="shared" si="125"/>
        <v>22.5</v>
      </c>
      <c r="Q656" s="124">
        <f t="shared" si="125"/>
        <v>-1.6052631578947398</v>
      </c>
      <c r="R656" s="124">
        <f>AVERAGE(J654:J656)</f>
        <v>11.966104465709732</v>
      </c>
      <c r="S656" s="124">
        <f>AVERAGE(K654:K656)</f>
        <v>381.21475279106863</v>
      </c>
      <c r="T656" s="124">
        <f>AVERAGE(L654:L656)</f>
        <v>42.363405103668256</v>
      </c>
      <c r="U656" s="119">
        <v>11.8</v>
      </c>
      <c r="V656" s="129" t="e">
        <f t="shared" si="116"/>
        <v>#DIV/0!</v>
      </c>
      <c r="W656" s="134" t="e">
        <f t="shared" si="109"/>
        <v>#DIV/0!</v>
      </c>
      <c r="X656" s="135" t="e">
        <f t="shared" si="121"/>
        <v>#DIV/0!</v>
      </c>
      <c r="Y656" s="134"/>
      <c r="Z656" s="144">
        <f>'[8]Canola Complex'!$BM456</f>
        <v>53.292000000000002</v>
      </c>
      <c r="AA656" s="140">
        <f t="shared" si="110"/>
        <v>4.6904210526315779</v>
      </c>
      <c r="AB656" s="142">
        <f t="shared" si="129"/>
        <v>48.601578947368424</v>
      </c>
      <c r="AC656" s="142">
        <v>6.5</v>
      </c>
      <c r="AG656" s="141" t="e">
        <f>Forecasts!#REF!</f>
        <v>#REF!</v>
      </c>
      <c r="AH656" s="142">
        <f t="shared" si="127"/>
        <v>22.318181818181813</v>
      </c>
      <c r="AI656" s="142">
        <v>19</v>
      </c>
      <c r="AM656" s="108">
        <v>0.3876350221000594</v>
      </c>
    </row>
    <row r="657" spans="1:39">
      <c r="A657" s="99">
        <v>45474</v>
      </c>
      <c r="B657" s="119" t="e">
        <f>'[4]Monthly Prices'!$CF297</f>
        <v>#DIV/0!</v>
      </c>
      <c r="C657" s="119">
        <v>365</v>
      </c>
      <c r="D657" s="119">
        <v>46.263181818181813</v>
      </c>
      <c r="E657" s="122" t="e">
        <f t="shared" si="107"/>
        <v>#DIV/0!</v>
      </c>
      <c r="F657" s="128" t="e">
        <f t="shared" si="122"/>
        <v>#DIV/0!</v>
      </c>
      <c r="G657" s="127" t="e">
        <f t="shared" si="126"/>
        <v>#DIV/0!</v>
      </c>
      <c r="H657" s="99">
        <f t="shared" si="113"/>
        <v>45474</v>
      </c>
      <c r="I657" s="136">
        <f t="shared" si="128"/>
        <v>1.2159090909090935</v>
      </c>
      <c r="J657" s="119">
        <f>'[9]Monthly Data'!$EH70</f>
        <v>11.48068181818182</v>
      </c>
      <c r="K657" s="119">
        <f>'[9]Monthly Data'!$EE70</f>
        <v>390.59090909090907</v>
      </c>
      <c r="L657" s="119">
        <f>'[9]Monthly Data'!$K70</f>
        <v>47.479090909090907</v>
      </c>
      <c r="M657" s="119">
        <f t="shared" si="117"/>
        <v>2.3350181818181781</v>
      </c>
      <c r="N657" s="128">
        <f t="shared" si="118"/>
        <v>0.37802644817128345</v>
      </c>
      <c r="O657" s="124" t="e">
        <f t="shared" si="125"/>
        <v>#DIV/0!</v>
      </c>
      <c r="P657" s="124">
        <f t="shared" si="125"/>
        <v>25.590909090909065</v>
      </c>
      <c r="Q657" s="124">
        <f t="shared" si="125"/>
        <v>1.2159090909090935</v>
      </c>
      <c r="U657" s="119">
        <v>11.3</v>
      </c>
      <c r="V657" s="129" t="e">
        <f t="shared" si="116"/>
        <v>#DIV/0!</v>
      </c>
      <c r="W657" s="134" t="e">
        <f t="shared" si="109"/>
        <v>#DIV/0!</v>
      </c>
      <c r="X657" s="135" t="e">
        <f t="shared" si="121"/>
        <v>#DIV/0!</v>
      </c>
      <c r="Y657" s="134"/>
      <c r="Z657" s="144">
        <f>'[8]Canola Complex'!$BM457</f>
        <v>41.914000000000001</v>
      </c>
      <c r="AA657" s="140">
        <f t="shared" si="110"/>
        <v>-11.815090909090905</v>
      </c>
      <c r="AB657" s="142">
        <f t="shared" si="129"/>
        <v>53.729090909090907</v>
      </c>
      <c r="AC657" s="142">
        <v>6.25</v>
      </c>
      <c r="AG657" s="141" t="e">
        <f>Forecasts!#REF!</f>
        <v>#REF!</v>
      </c>
      <c r="AH657" s="142">
        <f t="shared" si="127"/>
        <v>23.493000000000002</v>
      </c>
      <c r="AI657" s="142">
        <v>18</v>
      </c>
      <c r="AM657" s="108">
        <v>0.3876350221000594</v>
      </c>
    </row>
    <row r="658" spans="1:39">
      <c r="A658" s="99">
        <v>45505</v>
      </c>
      <c r="B658" s="119" t="e">
        <f>'[4]Monthly Prices'!$CF298</f>
        <v>#DIV/0!</v>
      </c>
      <c r="C658" s="119">
        <v>314.43636363636369</v>
      </c>
      <c r="D658" s="119">
        <v>41.318181818181813</v>
      </c>
      <c r="E658" s="122" t="e">
        <f t="shared" si="107"/>
        <v>#DIV/0!</v>
      </c>
      <c r="F658" s="128" t="e">
        <f t="shared" si="122"/>
        <v>#DIV/0!</v>
      </c>
      <c r="G658" s="127" t="e">
        <f t="shared" si="126"/>
        <v>#DIV/0!</v>
      </c>
      <c r="H658" s="99">
        <f t="shared" si="113"/>
        <v>45505</v>
      </c>
      <c r="I658" s="127" t="e">
        <f t="shared" ref="I658:I673" si="130">F657+AVERAGE(F645-F644,F633-F632,F621-F620,F609-F608,F597-F596,F585-F584,F573-F572,F561-F560,F549-F548,F537-F536)</f>
        <v>#DIV/0!</v>
      </c>
      <c r="J658" s="119">
        <f>'[9]Monthly Data'!$EH71</f>
        <v>10.119642857142855</v>
      </c>
      <c r="K658" s="119">
        <f>'[9]Monthly Data'!$EE71</f>
        <v>353.94761904761907</v>
      </c>
      <c r="L658" s="119">
        <f>'[9]Monthly Data'!$K71</f>
        <v>42.688571428571422</v>
      </c>
      <c r="M658" s="119">
        <f t="shared" si="117"/>
        <v>2.3629476190476204</v>
      </c>
      <c r="N658" s="128">
        <f t="shared" si="118"/>
        <v>0.37618336242782324</v>
      </c>
      <c r="O658" s="124" t="e">
        <f t="shared" si="125"/>
        <v>#DIV/0!</v>
      </c>
      <c r="P658" s="124">
        <f t="shared" si="125"/>
        <v>39.511255411255377</v>
      </c>
      <c r="Q658" s="124">
        <f t="shared" si="125"/>
        <v>1.3703896103896085</v>
      </c>
      <c r="U658" s="119">
        <v>10.3</v>
      </c>
      <c r="V658" s="129" t="e">
        <f t="shared" si="116"/>
        <v>#DIV/0!</v>
      </c>
      <c r="W658" s="134" t="e">
        <f t="shared" si="109"/>
        <v>#DIV/0!</v>
      </c>
      <c r="X658" s="135" t="e">
        <f t="shared" si="121"/>
        <v>#DIV/0!</v>
      </c>
      <c r="Y658" s="134"/>
      <c r="Z658" s="144">
        <f>'[8]Canola Complex'!$BM458</f>
        <v>28.298999999999999</v>
      </c>
      <c r="AA658" s="140">
        <f t="shared" si="110"/>
        <v>-20.389571428571422</v>
      </c>
      <c r="AB658" s="142">
        <f t="shared" si="129"/>
        <v>48.688571428571422</v>
      </c>
      <c r="AC658" s="142">
        <v>6</v>
      </c>
      <c r="AG658" s="141" t="e">
        <f ca="1">AH658*2204.622/100*Forecasts!$A$64</f>
        <v>#NAME?</v>
      </c>
      <c r="AH658" s="131">
        <f t="shared" si="127"/>
        <v>25.290869565217378</v>
      </c>
      <c r="AI658" s="131">
        <v>18</v>
      </c>
      <c r="AM658" s="108">
        <v>0.3876350221000594</v>
      </c>
    </row>
    <row r="659" spans="1:39">
      <c r="A659" s="99">
        <v>45536</v>
      </c>
      <c r="B659" s="119" t="e">
        <f>'[4]Monthly Prices'!$CF299</f>
        <v>#DIV/0!</v>
      </c>
      <c r="C659" s="119">
        <v>322.77</v>
      </c>
      <c r="D659" s="119">
        <v>41.493000000000002</v>
      </c>
      <c r="E659" s="122" t="e">
        <f t="shared" si="107"/>
        <v>#DIV/0!</v>
      </c>
      <c r="F659" s="128" t="e">
        <f t="shared" si="122"/>
        <v>#DIV/0!</v>
      </c>
      <c r="G659" s="127" t="e">
        <f t="shared" si="126"/>
        <v>#DIV/0!</v>
      </c>
      <c r="H659" s="99">
        <f t="shared" si="113"/>
        <v>45536</v>
      </c>
      <c r="I659" s="127" t="e">
        <f t="shared" si="130"/>
        <v>#DIV/0!</v>
      </c>
      <c r="J659" s="119">
        <f>'[9]Monthly Data'!$EH72</f>
        <v>10.019500000000001</v>
      </c>
      <c r="K659" s="119">
        <f>'[9]Monthly Data'!$EE72</f>
        <v>347.70500000000004</v>
      </c>
      <c r="L659" s="119">
        <f>'[9]Monthly Data'!$K72</f>
        <v>42.549300000000002</v>
      </c>
      <c r="M659" s="119">
        <f t="shared" si="117"/>
        <v>2.3104329999999997</v>
      </c>
      <c r="N659" s="128">
        <f t="shared" si="118"/>
        <v>0.3795984130651805</v>
      </c>
      <c r="O659" s="124" t="e">
        <f t="shared" si="125"/>
        <v>#DIV/0!</v>
      </c>
      <c r="P659" s="124">
        <f t="shared" si="125"/>
        <v>24.935000000000059</v>
      </c>
      <c r="Q659" s="124">
        <f t="shared" si="125"/>
        <v>1.0563000000000002</v>
      </c>
      <c r="R659" s="124">
        <f>AVERAGE(J657:J659)</f>
        <v>10.539941558441559</v>
      </c>
      <c r="S659" s="124">
        <f>AVERAGE(K657:K659)</f>
        <v>364.0811760461761</v>
      </c>
      <c r="T659" s="124">
        <f>AVERAGE(L657:L659)</f>
        <v>44.238987445887439</v>
      </c>
      <c r="U659" s="119">
        <v>10.199999999999999</v>
      </c>
      <c r="V659" s="129" t="e">
        <f t="shared" si="116"/>
        <v>#DIV/0!</v>
      </c>
      <c r="W659" s="134" t="e">
        <f t="shared" si="109"/>
        <v>#DIV/0!</v>
      </c>
      <c r="X659" s="135" t="e">
        <f t="shared" si="121"/>
        <v>#DIV/0!</v>
      </c>
      <c r="Y659" s="134"/>
      <c r="Z659" s="144">
        <f>'[8]Canola Complex'!$BM459</f>
        <v>32.204999999999998</v>
      </c>
      <c r="AA659" s="140">
        <f t="shared" si="110"/>
        <v>-16.344300000000004</v>
      </c>
      <c r="AB659" s="142">
        <f t="shared" si="129"/>
        <v>48.549300000000002</v>
      </c>
      <c r="AC659" s="142">
        <v>6</v>
      </c>
      <c r="AD659" s="127" t="e">
        <f>AVERAGE(F591:F662)</f>
        <v>#DIV/0!</v>
      </c>
      <c r="AG659" s="141" t="e">
        <f ca="1">AH659*2204.622/100*Forecasts!$A$64</f>
        <v>#NAME?</v>
      </c>
      <c r="AH659" s="131">
        <f t="shared" si="127"/>
        <v>26.668500000000002</v>
      </c>
      <c r="AI659" s="131">
        <v>18</v>
      </c>
      <c r="AM659" s="108">
        <v>0.3876350221000594</v>
      </c>
    </row>
    <row r="660" spans="1:39">
      <c r="A660" s="99">
        <v>45566</v>
      </c>
      <c r="B660" s="119" t="e">
        <f>'[4]Monthly Prices'!$CF300</f>
        <v>#DIV/0!</v>
      </c>
      <c r="C660" s="119">
        <v>317.37826086956522</v>
      </c>
      <c r="D660" s="119">
        <v>43.290869565217378</v>
      </c>
      <c r="E660" s="122" t="e">
        <f t="shared" si="107"/>
        <v>#DIV/0!</v>
      </c>
      <c r="F660" s="128" t="e">
        <f t="shared" si="122"/>
        <v>#DIV/0!</v>
      </c>
      <c r="G660" s="127" t="e">
        <f t="shared" si="126"/>
        <v>#DIV/0!</v>
      </c>
      <c r="H660" s="99">
        <f t="shared" si="113"/>
        <v>45566</v>
      </c>
      <c r="I660" s="127" t="e">
        <f t="shared" si="130"/>
        <v>#DIV/0!</v>
      </c>
      <c r="J660" s="119">
        <f>'[9]Monthly Data'!$EH73</f>
        <v>9.9378260869565231</v>
      </c>
      <c r="K660" s="119">
        <f>'[9]Monthly Data'!$EE73</f>
        <v>346.84380445998039</v>
      </c>
      <c r="L660" s="119">
        <f>'[9]Monthly Data'!$K73</f>
        <v>43.915900000000001</v>
      </c>
      <c r="M660" s="119">
        <f t="shared" si="117"/>
        <v>2.5234866111630438</v>
      </c>
      <c r="N660" s="128">
        <f t="shared" si="118"/>
        <v>0.3876597206913015</v>
      </c>
      <c r="O660" s="124" t="e">
        <f t="shared" si="125"/>
        <v>#DIV/0!</v>
      </c>
      <c r="P660" s="124">
        <f t="shared" si="125"/>
        <v>29.465543590415166</v>
      </c>
      <c r="Q660" s="124">
        <f t="shared" si="125"/>
        <v>0.62503043478262299</v>
      </c>
      <c r="R660" s="145"/>
      <c r="S660" s="124"/>
      <c r="T660" s="124"/>
      <c r="U660" s="119">
        <v>10.1</v>
      </c>
      <c r="V660" s="129" t="e">
        <f t="shared" si="116"/>
        <v>#DIV/0!</v>
      </c>
      <c r="W660" s="134" t="e">
        <f t="shared" si="109"/>
        <v>#DIV/0!</v>
      </c>
      <c r="X660" s="135" t="e">
        <f t="shared" si="121"/>
        <v>#DIV/0!</v>
      </c>
      <c r="Y660" s="134"/>
      <c r="Z660" s="144">
        <f>'[8]Canola Complex'!$BN448</f>
        <v>27.056000000000001</v>
      </c>
      <c r="AA660" s="140">
        <f t="shared" si="110"/>
        <v>-22.8599</v>
      </c>
      <c r="AB660" s="142">
        <f t="shared" si="129"/>
        <v>49.915900000000001</v>
      </c>
      <c r="AC660" s="142">
        <v>6</v>
      </c>
      <c r="AG660" s="141" t="e">
        <f ca="1">AH660*2204.622/100*Forecasts!$A$64</f>
        <v>#NAME?</v>
      </c>
      <c r="AH660" s="131">
        <f t="shared" si="127"/>
        <v>24.116190476190482</v>
      </c>
      <c r="AI660" s="131">
        <v>17</v>
      </c>
      <c r="AM660" s="108">
        <v>0.3876350221000594</v>
      </c>
    </row>
    <row r="661" spans="1:39">
      <c r="A661" s="99">
        <v>45597</v>
      </c>
      <c r="B661" s="119" t="e">
        <f>'[4]Monthly Prices'!$CF301</f>
        <v>#DIV/0!</v>
      </c>
      <c r="C661" s="119">
        <v>292.41500000000002</v>
      </c>
      <c r="D661" s="119">
        <v>44.668500000000002</v>
      </c>
      <c r="E661" s="122" t="e">
        <f t="shared" si="107"/>
        <v>#DIV/0!</v>
      </c>
      <c r="F661" s="128" t="e">
        <f t="shared" si="122"/>
        <v>#DIV/0!</v>
      </c>
      <c r="G661" s="127" t="e">
        <f t="shared" si="126"/>
        <v>#DIV/0!</v>
      </c>
      <c r="H661" s="99">
        <f t="shared" si="113"/>
        <v>45597</v>
      </c>
      <c r="I661" s="127" t="e">
        <f t="shared" si="130"/>
        <v>#DIV/0!</v>
      </c>
      <c r="J661" s="119">
        <f>'[9]Monthly Data'!$EH74</f>
        <v>10.043499999999998</v>
      </c>
      <c r="K661" s="119">
        <f>'[9]Monthly Data'!$EE74</f>
        <v>309.65999999999997</v>
      </c>
      <c r="L661" s="119">
        <f>'[9]Monthly Data'!$K74</f>
        <v>45.168500000000002</v>
      </c>
      <c r="M661" s="119">
        <f t="shared" si="117"/>
        <v>1.7375550000000022</v>
      </c>
      <c r="N661" s="128">
        <f t="shared" si="118"/>
        <v>0.42173939430721613</v>
      </c>
      <c r="O661" s="124" t="e">
        <f t="shared" si="125"/>
        <v>#DIV/0!</v>
      </c>
      <c r="P661" s="124">
        <f t="shared" si="125"/>
        <v>17.244999999999948</v>
      </c>
      <c r="Q661" s="124">
        <f t="shared" si="125"/>
        <v>0.5</v>
      </c>
      <c r="R661" s="146"/>
      <c r="S661" s="147"/>
      <c r="T661" s="145"/>
      <c r="U661" s="119">
        <v>10.1</v>
      </c>
      <c r="V661" s="148" t="e">
        <f>(N$1001*Y984)+N$1001</f>
        <v>#DIV/0!</v>
      </c>
      <c r="W661" s="134" t="e">
        <f t="shared" si="109"/>
        <v>#DIV/0!</v>
      </c>
      <c r="X661" s="135" t="e">
        <f t="shared" si="121"/>
        <v>#DIV/0!</v>
      </c>
      <c r="Y661" s="120"/>
      <c r="Z661" s="144">
        <f>'[8]Canola Complex'!$BN449</f>
        <v>39.905000000000001</v>
      </c>
      <c r="AA661" s="140">
        <f t="shared" si="110"/>
        <v>-11.013500000000001</v>
      </c>
      <c r="AB661" s="142">
        <f t="shared" si="129"/>
        <v>50.918500000000002</v>
      </c>
      <c r="AC661" s="142">
        <v>5.75</v>
      </c>
      <c r="AG661" s="141" t="e">
        <f ca="1">AH661*2204.622/100*Forecasts!$A$64</f>
        <v>#NAME?</v>
      </c>
      <c r="AH661" s="131">
        <f t="shared" si="127"/>
        <v>29.11</v>
      </c>
      <c r="AI661" s="131">
        <v>17</v>
      </c>
      <c r="AM661" s="108">
        <v>0.3876350221000594</v>
      </c>
    </row>
    <row r="662" spans="1:39">
      <c r="A662" s="99">
        <v>45627</v>
      </c>
      <c r="B662" s="119" t="e">
        <f>'[4]Monthly Prices'!$CF302</f>
        <v>#DIV/0!</v>
      </c>
      <c r="C662" s="119">
        <v>291.83333333333331</v>
      </c>
      <c r="D662" s="119">
        <v>41.116190476190482</v>
      </c>
      <c r="E662" s="122" t="e">
        <f t="shared" si="107"/>
        <v>#DIV/0!</v>
      </c>
      <c r="F662" s="128" t="e">
        <f t="shared" si="122"/>
        <v>#DIV/0!</v>
      </c>
      <c r="G662" s="127" t="e">
        <f t="shared" si="126"/>
        <v>#DIV/0!</v>
      </c>
      <c r="H662" s="99">
        <f t="shared" si="113"/>
        <v>45627</v>
      </c>
      <c r="I662" s="127" t="e">
        <f t="shared" si="130"/>
        <v>#DIV/0!</v>
      </c>
      <c r="J662" s="119">
        <f>'[9]Monthly Data'!$EH75</f>
        <v>9.8849999999999998</v>
      </c>
      <c r="K662" s="119">
        <f>'[9]Monthly Data'!$EE75</f>
        <v>292.09523809523807</v>
      </c>
      <c r="L662" s="119">
        <f>'[9]Monthly Data'!$K75</f>
        <v>40.866199999999999</v>
      </c>
      <c r="M662" s="119">
        <f t="shared" si="117"/>
        <v>1.0363772380952376</v>
      </c>
      <c r="N662" s="128">
        <f t="shared" si="118"/>
        <v>0.41160394902575559</v>
      </c>
      <c r="O662" s="124" t="e">
        <f t="shared" si="125"/>
        <v>#DIV/0!</v>
      </c>
      <c r="P662" s="124">
        <f t="shared" si="125"/>
        <v>0.2619047619047592</v>
      </c>
      <c r="Q662" s="124">
        <f t="shared" si="125"/>
        <v>-0.24999047619048298</v>
      </c>
      <c r="R662" s="146"/>
      <c r="S662" s="147"/>
      <c r="T662" s="145"/>
      <c r="U662" s="119">
        <v>10</v>
      </c>
      <c r="V662" s="148" t="e">
        <f t="shared" ref="V662:V670" si="131">(N$1001*Y985)+N$1001</f>
        <v>#DIV/0!</v>
      </c>
      <c r="W662" s="134" t="e">
        <f t="shared" si="109"/>
        <v>#DIV/0!</v>
      </c>
      <c r="X662" s="135" t="e">
        <f t="shared" si="121"/>
        <v>#DIV/0!</v>
      </c>
      <c r="Y662" s="120"/>
      <c r="Z662" s="144">
        <f>'[8]Canola Complex'!$BN450</f>
        <v>28.529</v>
      </c>
      <c r="AA662" s="140">
        <f t="shared" si="110"/>
        <v>-18.087199999999999</v>
      </c>
      <c r="AB662" s="142">
        <f t="shared" si="129"/>
        <v>46.616199999999999</v>
      </c>
      <c r="AC662" s="142">
        <v>5.75</v>
      </c>
      <c r="AG662" s="141" t="e">
        <f ca="1">AH662*2204.622/100*Forecasts!$A$64</f>
        <v>#NAME?</v>
      </c>
      <c r="AH662" s="131">
        <f t="shared" si="127"/>
        <v>28.823157894736845</v>
      </c>
      <c r="AI662" s="131">
        <v>17</v>
      </c>
      <c r="AM662" s="108">
        <v>0.3876350221000594</v>
      </c>
    </row>
    <row r="663" spans="1:39">
      <c r="A663" s="99">
        <v>45658</v>
      </c>
      <c r="B663" s="119" t="e">
        <f>'[4]Monthly Prices'!$CF303</f>
        <v>#DIV/0!</v>
      </c>
      <c r="C663" s="119">
        <v>301.10000000000002</v>
      </c>
      <c r="D663" s="119">
        <v>46.11</v>
      </c>
      <c r="E663" s="122" t="e">
        <f t="shared" si="107"/>
        <v>#DIV/0!</v>
      </c>
      <c r="F663" s="128" t="e">
        <f t="shared" si="122"/>
        <v>#DIV/0!</v>
      </c>
      <c r="G663" s="127" t="e">
        <f t="shared" si="126"/>
        <v>#DIV/0!</v>
      </c>
      <c r="H663" s="99">
        <f t="shared" si="113"/>
        <v>45658</v>
      </c>
      <c r="I663" s="127" t="e">
        <f t="shared" si="130"/>
        <v>#DIV/0!</v>
      </c>
      <c r="J663" s="119">
        <f>'[9]Monthly Data'!$EH76</f>
        <v>10.284886363636366</v>
      </c>
      <c r="K663" s="119">
        <f>'[9]Monthly Data'!$EE76</f>
        <v>295.09090909090912</v>
      </c>
      <c r="L663" s="119">
        <f>'[9]Monthly Data'!$K76</f>
        <v>42.93</v>
      </c>
      <c r="M663" s="119">
        <f t="shared" si="117"/>
        <v>0.92941363636363583</v>
      </c>
      <c r="N663" s="128">
        <f t="shared" si="118"/>
        <v>0.42109627885824347</v>
      </c>
      <c r="O663" s="124" t="e">
        <f t="shared" si="125"/>
        <v>#DIV/0!</v>
      </c>
      <c r="P663" s="124">
        <f t="shared" si="125"/>
        <v>-6.0090909090909008</v>
      </c>
      <c r="Q663" s="124">
        <f t="shared" si="125"/>
        <v>-3.1799999999999997</v>
      </c>
      <c r="R663" s="146"/>
      <c r="S663" s="147"/>
      <c r="T663" s="145"/>
      <c r="U663" s="119">
        <v>10.199999999999999</v>
      </c>
      <c r="V663" s="148" t="e">
        <f t="shared" si="131"/>
        <v>#DIV/0!</v>
      </c>
      <c r="W663" s="134" t="e">
        <f t="shared" si="109"/>
        <v>#DIV/0!</v>
      </c>
      <c r="X663" s="135" t="e">
        <f t="shared" si="121"/>
        <v>#DIV/0!</v>
      </c>
      <c r="Y663" s="120"/>
      <c r="Z663" s="144">
        <f>'[8]Canola Complex'!$BN451</f>
        <v>34.773000000000003</v>
      </c>
      <c r="AA663" s="140">
        <f t="shared" si="110"/>
        <v>-13.656999999999996</v>
      </c>
      <c r="AB663" s="142">
        <f>L663+AC663</f>
        <v>48.43</v>
      </c>
      <c r="AC663" s="142">
        <v>5.5</v>
      </c>
      <c r="AG663" s="141" t="e">
        <f ca="1">AH663*2204.622/100*Forecasts!$A$64</f>
        <v>#NAME?</v>
      </c>
      <c r="AH663" s="131">
        <f t="shared" si="127"/>
        <v>28.490000000000002</v>
      </c>
      <c r="AI663" s="131">
        <v>15</v>
      </c>
      <c r="AM663" s="108">
        <v>0.3876350221000594</v>
      </c>
    </row>
    <row r="664" spans="1:39">
      <c r="A664" s="99">
        <v>45689</v>
      </c>
      <c r="B664" s="119" t="e">
        <f>'[4]Monthly Prices'!$CF304</f>
        <v>#DIV/0!</v>
      </c>
      <c r="C664" s="119">
        <v>297.60526315789468</v>
      </c>
      <c r="D664" s="119">
        <v>45.823157894736845</v>
      </c>
      <c r="E664" s="122" t="e">
        <f t="shared" si="107"/>
        <v>#DIV/0!</v>
      </c>
      <c r="F664" s="128" t="e">
        <f t="shared" si="122"/>
        <v>#DIV/0!</v>
      </c>
      <c r="G664" s="127" t="e">
        <f t="shared" si="126"/>
        <v>#DIV/0!</v>
      </c>
      <c r="H664" s="99">
        <f t="shared" si="113"/>
        <v>45689</v>
      </c>
      <c r="I664" s="127" t="e">
        <f t="shared" si="130"/>
        <v>#DIV/0!</v>
      </c>
      <c r="J664" s="119">
        <f>'[9]Monthly Data'!$EH77</f>
        <v>10.255875</v>
      </c>
      <c r="K664" s="119">
        <f>'[9]Monthly Data'!$EE77</f>
        <v>284.43999999999994</v>
      </c>
      <c r="L664" s="119">
        <f>'[9]Monthly Data'!$K77</f>
        <v>44.67</v>
      </c>
      <c r="M664" s="119">
        <f t="shared" si="117"/>
        <v>0.91550499999999957</v>
      </c>
      <c r="N664" s="128">
        <f t="shared" si="118"/>
        <v>0.43984718092124703</v>
      </c>
      <c r="O664" s="124" t="e">
        <f t="shared" si="125"/>
        <v>#DIV/0!</v>
      </c>
      <c r="P664" s="124">
        <f t="shared" si="125"/>
        <v>-13.165263157894742</v>
      </c>
      <c r="Q664" s="124">
        <f t="shared" si="125"/>
        <v>-1.153157894736843</v>
      </c>
      <c r="R664" s="146"/>
      <c r="S664" s="147"/>
      <c r="T664" s="145"/>
      <c r="U664" s="120" t="e">
        <f t="shared" ref="U664:U669" si="132">B664+V664</f>
        <v>#DIV/0!</v>
      </c>
      <c r="V664" s="148" t="e">
        <f t="shared" si="131"/>
        <v>#DIV/0!</v>
      </c>
      <c r="W664" s="134" t="e">
        <f t="shared" si="109"/>
        <v>#DIV/0!</v>
      </c>
      <c r="X664" s="135" t="e">
        <f t="shared" si="121"/>
        <v>#DIV/0!</v>
      </c>
      <c r="Y664" s="120"/>
      <c r="Z664" s="144">
        <f>'[8]Canola Complex'!$BN452</f>
        <v>126.74545722610721</v>
      </c>
      <c r="AA664" s="140">
        <f t="shared" si="110"/>
        <v>76.575457226107204</v>
      </c>
      <c r="AB664" s="142">
        <f t="shared" ref="AB664:AB670" si="133">L664+AC664</f>
        <v>50.17</v>
      </c>
      <c r="AC664" s="142">
        <v>5.5</v>
      </c>
      <c r="AD664" s="134"/>
      <c r="AE664" s="135"/>
      <c r="AF664" s="136"/>
      <c r="AG664" s="141" t="e">
        <f ca="1">AH664*2204.622/100*Forecasts!$A$64</f>
        <v>#NAME?</v>
      </c>
      <c r="AH664" s="131">
        <f t="shared" si="127"/>
        <v>32.49</v>
      </c>
      <c r="AI664" s="131">
        <v>15</v>
      </c>
      <c r="AM664" s="108">
        <v>0.3876350221000594</v>
      </c>
    </row>
    <row r="665" spans="1:39">
      <c r="A665" s="99">
        <v>45717</v>
      </c>
      <c r="B665" s="149">
        <f>11.7-0.35-0.4-0.65+0.2-0.55</f>
        <v>9.9499999999999975</v>
      </c>
      <c r="C665" s="120" t="e" vm="2">
        <f t="shared" ref="C665:C728" si="134">((B665+E665)-(D665*0.11))/(44/2000)</f>
        <v>#VALUE!</v>
      </c>
      <c r="D665" s="119">
        <v>43.49</v>
      </c>
      <c r="E665" s="149" t="e" vm="2">
        <f t="shared" ref="E665:E680" si="135">H665/100</f>
        <v>#VALUE!</v>
      </c>
      <c r="F665" s="150" t="e" vm="2">
        <f t="shared" si="122"/>
        <v>#VALUE!</v>
      </c>
      <c r="G665" s="127" t="e" vm="2">
        <f t="shared" si="126"/>
        <v>#VALUE!</v>
      </c>
      <c r="H665" s="151" t="e" cm="1" vm="1">
        <f t="array" ref="H665">[1]!'@bcxk5?Last'</f>
        <v>#REF!</v>
      </c>
      <c r="I665" s="127" t="e">
        <f t="shared" si="130"/>
        <v>#DIV/0!</v>
      </c>
      <c r="J665" s="120" t="e">
        <f t="shared" ref="J665:J669" si="136">$N$1000*Q988</f>
        <v>#DIV/0!</v>
      </c>
      <c r="K665" s="120" t="e" vm="2">
        <f t="shared" ref="K665:K671" si="137">C665+P665</f>
        <v>#VALUE!</v>
      </c>
      <c r="L665" s="152">
        <f>'[5]Monthly Prices'!$D305</f>
        <v>41.51</v>
      </c>
      <c r="M665" s="120" t="e" vm="2">
        <f t="shared" si="117"/>
        <v>#VALUE!</v>
      </c>
      <c r="N665" s="128" t="e">
        <f t="shared" si="118"/>
        <v>#DIV/0!</v>
      </c>
      <c r="O665" s="153" t="e">
        <f t="shared" ref="O665:O670" si="138">M$1001*Y988</f>
        <v>#DIV/0!</v>
      </c>
      <c r="P665" s="153" t="e">
        <f>N$1004*Z988</f>
        <v>#DIV/0!</v>
      </c>
      <c r="Q665" s="154">
        <f>L665-D665</f>
        <v>-1.980000000000004</v>
      </c>
      <c r="R665" s="146"/>
      <c r="S665" s="147"/>
      <c r="T665" s="145"/>
      <c r="U665" s="120" t="e">
        <f t="shared" si="132"/>
        <v>#DIV/0!</v>
      </c>
      <c r="V665" s="148" t="e">
        <f t="shared" si="131"/>
        <v>#DIV/0!</v>
      </c>
      <c r="W665" s="134" t="e">
        <f t="shared" si="109"/>
        <v>#DIV/0!</v>
      </c>
      <c r="X665" s="135" t="e">
        <f t="shared" si="121"/>
        <v>#DIV/0!</v>
      </c>
      <c r="Y665" s="120"/>
      <c r="Z665" s="144">
        <f>'[8]Canola Complex'!$BN453</f>
        <v>126.4029669515988</v>
      </c>
      <c r="AA665" s="140">
        <f t="shared" si="110"/>
        <v>79.642966951598794</v>
      </c>
      <c r="AB665" s="142">
        <f t="shared" si="133"/>
        <v>46.76</v>
      </c>
      <c r="AC665" s="142">
        <v>5.25</v>
      </c>
      <c r="AD665" s="134"/>
      <c r="AE665" s="135"/>
      <c r="AF665" s="136"/>
      <c r="AG665" s="141" t="e">
        <f ca="1">AH665*2204.622/100*Forecasts!$A$64</f>
        <v>#NAME?</v>
      </c>
      <c r="AH665" s="131">
        <f t="shared" si="127"/>
        <v>29.25</v>
      </c>
      <c r="AI665" s="131">
        <v>15</v>
      </c>
      <c r="AM665" s="108">
        <v>0.3876350221000594</v>
      </c>
    </row>
    <row r="666" spans="1:39">
      <c r="A666" s="99">
        <v>45748</v>
      </c>
      <c r="B666" s="149">
        <f>11.8-0.45-0.35-0.6-0.5</f>
        <v>9.9000000000000021</v>
      </c>
      <c r="C666" s="120" t="e" vm="2">
        <f t="shared" si="134"/>
        <v>#VALUE!</v>
      </c>
      <c r="D666" s="119">
        <v>47.49</v>
      </c>
      <c r="E666" s="149" t="e" vm="2">
        <f t="shared" si="135"/>
        <v>#VALUE!</v>
      </c>
      <c r="F666" s="150" t="e" vm="2">
        <f t="shared" si="122"/>
        <v>#VALUE!</v>
      </c>
      <c r="G666" s="127" t="e" vm="2">
        <f t="shared" si="126"/>
        <v>#VALUE!</v>
      </c>
      <c r="H666" s="151" t="e" cm="1" vm="1">
        <f t="array" ref="H666">[1]!'@bcxk5?Last'</f>
        <v>#REF!</v>
      </c>
      <c r="I666" s="127" t="e" vm="2">
        <f t="shared" si="130"/>
        <v>#VALUE!</v>
      </c>
      <c r="J666" s="120" t="e">
        <f t="shared" si="136"/>
        <v>#DIV/0!</v>
      </c>
      <c r="K666" s="120" t="e" vm="2">
        <f t="shared" si="137"/>
        <v>#VALUE!</v>
      </c>
      <c r="L666" s="152">
        <f>'[5]Monthly Prices'!$D306</f>
        <v>46.98</v>
      </c>
      <c r="M666" s="120" t="e" vm="2">
        <f t="shared" si="117"/>
        <v>#VALUE!</v>
      </c>
      <c r="N666" s="128" t="e">
        <f t="shared" si="118"/>
        <v>#DIV/0!</v>
      </c>
      <c r="O666" s="153" t="e">
        <f t="shared" si="138"/>
        <v>#DIV/0!</v>
      </c>
      <c r="P666" s="153" t="e">
        <f t="shared" ref="P666:P670" si="139">N$1004*Z989</f>
        <v>#DIV/0!</v>
      </c>
      <c r="Q666" s="154">
        <f t="shared" ref="Q666:Q729" si="140">L666-D666</f>
        <v>-0.51000000000000512</v>
      </c>
      <c r="R666" s="146"/>
      <c r="S666" s="146"/>
      <c r="T666" s="147"/>
      <c r="U666" s="120" t="e">
        <f t="shared" si="132"/>
        <v>#DIV/0!</v>
      </c>
      <c r="V666" s="148" t="e">
        <f t="shared" si="131"/>
        <v>#DIV/0!</v>
      </c>
      <c r="W666" s="134" t="e">
        <f t="shared" si="109"/>
        <v>#DIV/0!</v>
      </c>
      <c r="X666" s="135" t="e">
        <f t="shared" si="121"/>
        <v>#DIV/0!</v>
      </c>
      <c r="Y666" s="124"/>
      <c r="Z666" s="144">
        <f>'[8]Canola Complex'!$BN454</f>
        <v>110.07324533114669</v>
      </c>
      <c r="AA666" s="140">
        <f t="shared" si="110"/>
        <v>57.843245331146697</v>
      </c>
      <c r="AB666" s="142">
        <f t="shared" si="133"/>
        <v>52.23</v>
      </c>
      <c r="AC666" s="142">
        <v>5.25</v>
      </c>
      <c r="AD666" s="135"/>
      <c r="AE666" s="134"/>
      <c r="AF666" s="135"/>
      <c r="AG666" s="141" t="e">
        <f ca="1">AH666*2204.622/100*Forecasts!$A$64</f>
        <v>#NAME?</v>
      </c>
      <c r="AH666" s="131">
        <f t="shared" si="127"/>
        <v>34.75</v>
      </c>
      <c r="AI666" s="131">
        <v>10</v>
      </c>
      <c r="AM666" s="108">
        <v>0.3876350221000594</v>
      </c>
    </row>
    <row r="667" spans="1:39">
      <c r="A667" s="99">
        <v>45778</v>
      </c>
      <c r="B667" s="149">
        <f>11.95-0.55-0.3-0.55-0.45</f>
        <v>10.099999999999998</v>
      </c>
      <c r="C667" s="120" t="e" vm="2">
        <f t="shared" si="134"/>
        <v>#VALUE!</v>
      </c>
      <c r="D667" s="149">
        <f>59-9.5-4-0.4-0.5+10.5-5-0.1-5.75</f>
        <v>44.25</v>
      </c>
      <c r="E667" s="149" t="e" vm="2">
        <f t="shared" si="135"/>
        <v>#VALUE!</v>
      </c>
      <c r="F667" s="150" t="e" vm="2">
        <f t="shared" si="122"/>
        <v>#VALUE!</v>
      </c>
      <c r="G667" s="127" t="e" vm="2">
        <f t="shared" si="126"/>
        <v>#VALUE!</v>
      </c>
      <c r="H667" s="151" t="e" cm="1" vm="1">
        <f t="array" ref="H667">[1]!'@bcxn5?Last'</f>
        <v>#REF!</v>
      </c>
      <c r="I667" s="127" t="e" vm="2">
        <f t="shared" si="130"/>
        <v>#VALUE!</v>
      </c>
      <c r="J667" s="120" t="e">
        <f t="shared" si="136"/>
        <v>#DIV/0!</v>
      </c>
      <c r="K667" s="120" t="e" vm="2">
        <f t="shared" si="137"/>
        <v>#VALUE!</v>
      </c>
      <c r="L667" s="152">
        <f>'[5]Monthly Prices'!$D307</f>
        <v>48.585573661426288</v>
      </c>
      <c r="M667" s="120" t="e" vm="2">
        <f t="shared" si="117"/>
        <v>#VALUE!</v>
      </c>
      <c r="N667" s="128" t="e">
        <f t="shared" si="118"/>
        <v>#DIV/0!</v>
      </c>
      <c r="O667" s="153" t="e">
        <f t="shared" si="138"/>
        <v>#DIV/0!</v>
      </c>
      <c r="P667" s="153" t="e">
        <f t="shared" si="139"/>
        <v>#DIV/0!</v>
      </c>
      <c r="Q667" s="154">
        <f t="shared" si="140"/>
        <v>4.3355736614262881</v>
      </c>
      <c r="R667" s="146"/>
      <c r="S667" s="146"/>
      <c r="T667" s="147"/>
      <c r="U667" s="120" t="e">
        <f t="shared" si="132"/>
        <v>#DIV/0!</v>
      </c>
      <c r="V667" s="148" t="e">
        <f t="shared" si="131"/>
        <v>#DIV/0!</v>
      </c>
      <c r="W667" s="134" t="e">
        <f t="shared" ref="W667:W671" si="141">(SUM(V655,V643,V631,V619,V607)-MAX(V655,V643,V631,V619,V607)-MIN(V655,V643,V631,V619,V607))/3</f>
        <v>#DIV/0!</v>
      </c>
      <c r="X667" s="135" t="e">
        <f t="shared" si="121"/>
        <v>#DIV/0!</v>
      </c>
      <c r="Y667" s="124"/>
      <c r="Z667" s="144">
        <f>'[8]Canola Complex'!$BN455</f>
        <v>89.441038117173989</v>
      </c>
      <c r="AA667" s="140">
        <f t="shared" si="110"/>
        <v>35.8554644557477</v>
      </c>
      <c r="AB667" s="142">
        <f t="shared" si="133"/>
        <v>53.585573661426288</v>
      </c>
      <c r="AC667" s="142">
        <v>5</v>
      </c>
      <c r="AD667" s="135"/>
      <c r="AE667" s="134"/>
      <c r="AF667" s="135"/>
      <c r="AG667" s="141" t="e">
        <f ca="1">AH667*2204.622/100*Forecasts!$A$64</f>
        <v>#NAME?</v>
      </c>
      <c r="AH667" s="131">
        <f t="shared" si="127"/>
        <v>34.85</v>
      </c>
      <c r="AI667" s="131">
        <v>10</v>
      </c>
      <c r="AM667" s="108">
        <v>0.3876350221000594</v>
      </c>
    </row>
    <row r="668" spans="1:39">
      <c r="A668" s="99">
        <v>45809</v>
      </c>
      <c r="B668" s="149">
        <f>11.95-0.65-0.25-0.5-0.4</f>
        <v>10.149999999999999</v>
      </c>
      <c r="C668" s="120" t="e" vm="2">
        <f t="shared" si="134"/>
        <v>#VALUE!</v>
      </c>
      <c r="D668" s="149">
        <f>59.5-10.35-4-0.35-0.75+11+0.25-5-0.05-5.5</f>
        <v>44.75</v>
      </c>
      <c r="E668" s="149" t="e" vm="2">
        <f t="shared" si="135"/>
        <v>#VALUE!</v>
      </c>
      <c r="F668" s="150" t="e" vm="2">
        <f t="shared" si="122"/>
        <v>#VALUE!</v>
      </c>
      <c r="G668" s="127" t="e" vm="2">
        <f t="shared" si="126"/>
        <v>#VALUE!</v>
      </c>
      <c r="H668" s="151" t="e" cm="1" vm="1">
        <f t="array" ref="H668">[1]!'@bcxn5?Last'</f>
        <v>#REF!</v>
      </c>
      <c r="I668" s="127" t="e" vm="2">
        <f t="shared" si="130"/>
        <v>#VALUE!</v>
      </c>
      <c r="J668" s="120" t="e">
        <f t="shared" si="136"/>
        <v>#DIV/0!</v>
      </c>
      <c r="K668" s="120" t="e" vm="2">
        <f t="shared" si="137"/>
        <v>#VALUE!</v>
      </c>
      <c r="L668" s="152">
        <f>'[5]Monthly Prices'!$D308</f>
        <v>49.206002141717924</v>
      </c>
      <c r="M668" s="120" t="e" vm="2">
        <f t="shared" si="117"/>
        <v>#VALUE!</v>
      </c>
      <c r="N668" s="150" t="e">
        <f t="shared" si="118"/>
        <v>#DIV/0!</v>
      </c>
      <c r="O668" s="153" t="e">
        <f t="shared" si="138"/>
        <v>#DIV/0!</v>
      </c>
      <c r="P668" s="153" t="e">
        <f t="shared" si="139"/>
        <v>#DIV/0!</v>
      </c>
      <c r="Q668" s="154">
        <f t="shared" si="140"/>
        <v>4.4560021417179243</v>
      </c>
      <c r="R668" s="146"/>
      <c r="S668" s="146"/>
      <c r="T668" s="147"/>
      <c r="U668" s="120" t="e">
        <f t="shared" si="132"/>
        <v>#DIV/0!</v>
      </c>
      <c r="V668" s="148" t="e">
        <f t="shared" si="131"/>
        <v>#DIV/0!</v>
      </c>
      <c r="W668" s="134" t="e">
        <f t="shared" si="141"/>
        <v>#DIV/0!</v>
      </c>
      <c r="X668" s="135" t="e">
        <f t="shared" si="121"/>
        <v>#DIV/0!</v>
      </c>
      <c r="Y668" s="124"/>
      <c r="Z668" s="144">
        <f>'[8]Canola Complex'!$BN456</f>
        <v>90.414747432273415</v>
      </c>
      <c r="AA668" s="140">
        <f t="shared" si="110"/>
        <v>36.208745290555491</v>
      </c>
      <c r="AB668" s="142">
        <f t="shared" si="133"/>
        <v>54.206002141717924</v>
      </c>
      <c r="AC668" s="142">
        <v>5</v>
      </c>
      <c r="AD668" s="135"/>
      <c r="AE668" s="134"/>
      <c r="AF668" s="135"/>
      <c r="AG668" s="141" t="e">
        <f ca="1">AH668*2204.622/100*Forecasts!$A$64</f>
        <v>#NAME?</v>
      </c>
      <c r="AH668" s="131">
        <f t="shared" si="127"/>
        <v>33.65</v>
      </c>
      <c r="AI668" s="131">
        <v>10</v>
      </c>
      <c r="AM668" s="108">
        <v>0.3876350221000594</v>
      </c>
    </row>
    <row r="669" spans="1:39">
      <c r="A669" s="99">
        <v>45839</v>
      </c>
      <c r="B669" s="149">
        <f>11.8-0.75-0.2-0.45-0.35</f>
        <v>10.050000000000002</v>
      </c>
      <c r="C669" s="120" t="e" vm="2">
        <f t="shared" si="134"/>
        <v>#VALUE!</v>
      </c>
      <c r="D669" s="149">
        <f>60-11-4-0.3-0.75+10.5+0.25-5+0.15-5</f>
        <v>44.85</v>
      </c>
      <c r="E669" s="149" t="e" vm="2">
        <f t="shared" si="135"/>
        <v>#VALUE!</v>
      </c>
      <c r="F669" s="150" t="e" vm="2">
        <f t="shared" si="122"/>
        <v>#VALUE!</v>
      </c>
      <c r="G669" s="127" t="e" vm="2">
        <f t="shared" si="126"/>
        <v>#VALUE!</v>
      </c>
      <c r="H669" s="151" t="e" cm="1" vm="1">
        <f t="array" ref="H669">[1]!'@bcxq5?Last'</f>
        <v>#REF!</v>
      </c>
      <c r="I669" s="127" t="e" vm="2">
        <f t="shared" si="130"/>
        <v>#VALUE!</v>
      </c>
      <c r="J669" s="120" t="e">
        <f t="shared" si="136"/>
        <v>#DIV/0!</v>
      </c>
      <c r="K669" s="120" t="e" vm="2">
        <f t="shared" si="137"/>
        <v>#VALUE!</v>
      </c>
      <c r="L669" s="152">
        <f>'[5]Monthly Prices'!$D309</f>
        <v>49.166804039743617</v>
      </c>
      <c r="M669" s="120" t="e" vm="2">
        <f t="shared" si="117"/>
        <v>#VALUE!</v>
      </c>
      <c r="N669" s="150" t="e">
        <f t="shared" si="118"/>
        <v>#DIV/0!</v>
      </c>
      <c r="O669" s="153" t="e">
        <f t="shared" si="138"/>
        <v>#DIV/0!</v>
      </c>
      <c r="P669" s="153" t="e">
        <f t="shared" si="139"/>
        <v>#DIV/0!</v>
      </c>
      <c r="Q669" s="154">
        <f t="shared" si="140"/>
        <v>4.3168040397436158</v>
      </c>
      <c r="R669" s="146"/>
      <c r="S669" s="146"/>
      <c r="T669" s="147"/>
      <c r="U669" s="120" t="e">
        <f t="shared" si="132"/>
        <v>#DIV/0!</v>
      </c>
      <c r="V669" s="148" t="e">
        <f t="shared" si="131"/>
        <v>#DIV/0!</v>
      </c>
      <c r="W669" s="134" t="e">
        <f t="shared" si="141"/>
        <v>#DIV/0!</v>
      </c>
      <c r="X669" s="135" t="e">
        <f t="shared" si="121"/>
        <v>#DIV/0!</v>
      </c>
      <c r="Y669" s="124"/>
      <c r="Z669" s="144">
        <f>'[8]Canola Complex'!$BN457</f>
        <v>140.63684949519299</v>
      </c>
      <c r="AA669" s="140">
        <f t="shared" si="110"/>
        <v>85.970045455449366</v>
      </c>
      <c r="AB669" s="142">
        <f t="shared" si="133"/>
        <v>54.666804039743617</v>
      </c>
      <c r="AC669" s="142">
        <v>5.5</v>
      </c>
      <c r="AD669" s="135"/>
      <c r="AE669" s="134"/>
      <c r="AF669" s="135"/>
      <c r="AG669" s="141" t="e">
        <f ca="1">AH669*2204.622/100*Forecasts!$A$64</f>
        <v>#NAME?</v>
      </c>
      <c r="AH669" s="131">
        <f t="shared" si="127"/>
        <v>36.049999999999997</v>
      </c>
      <c r="AI669" s="131">
        <v>5</v>
      </c>
      <c r="AM669" s="108">
        <v>0.3876350221000594</v>
      </c>
    </row>
    <row r="670" spans="1:39">
      <c r="A670" s="99">
        <v>45870</v>
      </c>
      <c r="B670" s="149">
        <f>10.9-0.5-0.15-0.4-0.3</f>
        <v>9.5499999999999989</v>
      </c>
      <c r="C670" s="120" t="e" vm="2">
        <f t="shared" si="134"/>
        <v>#VALUE!</v>
      </c>
      <c r="D670" s="149">
        <f>57.25-9.35-4-0.25-0.75+9.5+0.25-5+0.5-4.5</f>
        <v>43.65</v>
      </c>
      <c r="E670" s="149" t="e" vm="2">
        <f t="shared" si="135"/>
        <v>#VALUE!</v>
      </c>
      <c r="F670" s="150" t="e" vm="2">
        <f t="shared" si="122"/>
        <v>#VALUE!</v>
      </c>
      <c r="G670" s="127" t="e" vm="2">
        <f t="shared" si="126"/>
        <v>#VALUE!</v>
      </c>
      <c r="H670" s="151" t="e" cm="1" vm="1">
        <f t="array" ref="H670">[1]!'@bcxu5?Last'</f>
        <v>#REF!</v>
      </c>
      <c r="I670" s="127" t="e" vm="2">
        <f t="shared" si="130"/>
        <v>#VALUE!</v>
      </c>
      <c r="J670" s="120" t="e">
        <f>$N$1000*Q993</f>
        <v>#DIV/0!</v>
      </c>
      <c r="K670" s="120" t="e" vm="2">
        <f t="shared" si="137"/>
        <v>#VALUE!</v>
      </c>
      <c r="L670" s="152">
        <f>'[5]Monthly Prices'!$D310</f>
        <v>49.268600049530924</v>
      </c>
      <c r="M670" s="120" t="e" vm="2">
        <f t="shared" si="117"/>
        <v>#VALUE!</v>
      </c>
      <c r="N670" s="150" t="e">
        <f t="shared" si="118"/>
        <v>#DIV/0!</v>
      </c>
      <c r="O670" s="153" t="e">
        <f t="shared" si="138"/>
        <v>#DIV/0!</v>
      </c>
      <c r="P670" s="153" t="e">
        <f t="shared" si="139"/>
        <v>#DIV/0!</v>
      </c>
      <c r="Q670" s="154">
        <f t="shared" si="140"/>
        <v>5.6186000495309258</v>
      </c>
      <c r="R670" s="146"/>
      <c r="S670" s="146"/>
      <c r="T670" s="147"/>
      <c r="U670" s="120" t="e">
        <f>B670+V670</f>
        <v>#DIV/0!</v>
      </c>
      <c r="V670" s="148" t="e">
        <f t="shared" si="131"/>
        <v>#DIV/0!</v>
      </c>
      <c r="W670" s="134" t="e">
        <f t="shared" si="141"/>
        <v>#DIV/0!</v>
      </c>
      <c r="X670" s="135" t="e">
        <f t="shared" si="121"/>
        <v>#DIV/0!</v>
      </c>
      <c r="Y670" s="124"/>
      <c r="Z670" s="144">
        <f>'[8]Canola Complex'!$BN458</f>
        <v>172.48503008433505</v>
      </c>
      <c r="AA670" s="140">
        <f t="shared" si="110"/>
        <v>117.21643003480412</v>
      </c>
      <c r="AB670" s="142">
        <f t="shared" si="133"/>
        <v>55.268600049530924</v>
      </c>
      <c r="AC670" s="142">
        <v>6</v>
      </c>
      <c r="AD670" s="135"/>
      <c r="AE670" s="134"/>
      <c r="AF670" s="135"/>
      <c r="AG670" s="141" t="e">
        <f ca="1">AH670*2204.622/100*Forecasts!$A$64</f>
        <v>#NAME?</v>
      </c>
      <c r="AH670" s="131">
        <f>D672-AI670</f>
        <v>36.1</v>
      </c>
      <c r="AI670" s="131">
        <v>5</v>
      </c>
      <c r="AM670" s="108">
        <v>0.3876350221000594</v>
      </c>
    </row>
    <row r="671" spans="1:39">
      <c r="A671" s="99">
        <v>45901</v>
      </c>
      <c r="B671" s="149">
        <v>8.9</v>
      </c>
      <c r="C671" s="120" t="e" vm="2">
        <f t="shared" si="134"/>
        <v>#VALUE!</v>
      </c>
      <c r="D671" s="149">
        <f>55-6.25-4-0.2-2+8.5+0.25-5+0.75-6</f>
        <v>41.05</v>
      </c>
      <c r="E671" s="149" t="e" vm="2">
        <f t="shared" si="135"/>
        <v>#VALUE!</v>
      </c>
      <c r="F671" s="150" t="e" vm="2">
        <f t="shared" si="122"/>
        <v>#VALUE!</v>
      </c>
      <c r="G671" s="127" t="e" vm="2">
        <f t="shared" si="126"/>
        <v>#VALUE!</v>
      </c>
      <c r="H671" s="151" t="e" cm="1" vm="1">
        <f t="array" ref="H671">[1]!'@bcxv5?Last'</f>
        <v>#REF!</v>
      </c>
      <c r="I671" s="127" t="e" vm="2">
        <f t="shared" si="130"/>
        <v>#VALUE!</v>
      </c>
      <c r="J671" s="155">
        <f>$O$1000*Q982</f>
        <v>9.538624119178337</v>
      </c>
      <c r="K671" s="120" t="e" vm="2">
        <f t="shared" si="137"/>
        <v>#VALUE!</v>
      </c>
      <c r="L671" s="152">
        <f>'[5]Monthly Prices'!$D311</f>
        <v>48.162306128958747</v>
      </c>
      <c r="M671" s="120" t="e" vm="2">
        <f t="shared" si="117"/>
        <v>#VALUE!</v>
      </c>
      <c r="N671" s="156"/>
      <c r="O671" s="156"/>
      <c r="P671" s="153" t="e">
        <f>N$1004*Z994</f>
        <v>#DIV/0!</v>
      </c>
      <c r="Q671" s="154">
        <f t="shared" si="140"/>
        <v>7.1123061289587497</v>
      </c>
      <c r="R671" s="146"/>
      <c r="S671" s="146"/>
      <c r="T671" s="147"/>
      <c r="U671" s="120" t="e">
        <f>B671+V671</f>
        <v>#DIV/0!</v>
      </c>
      <c r="V671" s="148" t="e">
        <f>(O$1001*Y982)+O$1001</f>
        <v>#DIV/0!</v>
      </c>
      <c r="W671" s="134" t="e">
        <f t="shared" si="141"/>
        <v>#DIV/0!</v>
      </c>
      <c r="X671" s="135" t="e">
        <f t="shared" si="121"/>
        <v>#DIV/0!</v>
      </c>
      <c r="Y671" s="124"/>
      <c r="Z671" s="144">
        <f>'[8]Canola Complex'!$BN459</f>
        <v>120.52850515260913</v>
      </c>
      <c r="AA671" s="140">
        <f t="shared" si="110"/>
        <v>65.866199023650381</v>
      </c>
      <c r="AB671" s="142">
        <f>L671+AC671</f>
        <v>54.662306128958747</v>
      </c>
      <c r="AC671" s="142">
        <v>6.5</v>
      </c>
      <c r="AD671" s="135"/>
      <c r="AE671" s="134"/>
      <c r="AF671" s="135"/>
      <c r="AG671" s="141" t="e">
        <f ca="1">AH671*2204.622/100*Forecasts!$A$64</f>
        <v>#NAME?</v>
      </c>
      <c r="AH671" s="131">
        <f t="shared" ref="AH671:AH682" si="142">D673-AI671</f>
        <v>37.450000000000003</v>
      </c>
      <c r="AI671" s="131">
        <v>5</v>
      </c>
      <c r="AM671" s="108">
        <v>0.3876350221000594</v>
      </c>
    </row>
    <row r="672" spans="1:39">
      <c r="A672" s="99">
        <v>45931</v>
      </c>
      <c r="B672" s="149">
        <v>8.75</v>
      </c>
      <c r="C672" s="120" t="e" vm="2">
        <f t="shared" si="134"/>
        <v>#VALUE!</v>
      </c>
      <c r="D672" s="149">
        <f>50.75-5+1.1-5.75</f>
        <v>41.1</v>
      </c>
      <c r="E672" s="149" t="e" vm="2">
        <f t="shared" si="135"/>
        <v>#VALUE!</v>
      </c>
      <c r="F672" s="150" t="e" vm="2">
        <f t="shared" si="122"/>
        <v>#VALUE!</v>
      </c>
      <c r="G672" s="127" t="e" vm="2">
        <f t="shared" si="126"/>
        <v>#VALUE!</v>
      </c>
      <c r="H672" s="151" t="e" cm="1" vm="1">
        <f t="array" ref="H672">[1]!'@bcxz5?Last'</f>
        <v>#REF!</v>
      </c>
      <c r="I672" s="127" t="e" vm="2">
        <f t="shared" si="130"/>
        <v>#VALUE!</v>
      </c>
      <c r="J672" s="155">
        <f t="shared" ref="J672:J682" si="143">$O$1000*Q983</f>
        <v>9.0982092564237345</v>
      </c>
      <c r="K672" s="155">
        <f>$O$1003*R983</f>
        <v>85.443675557497428</v>
      </c>
      <c r="L672" s="152">
        <f>'[5]Monthly Prices'!$D312</f>
        <v>47.550407502947088</v>
      </c>
      <c r="M672" s="120">
        <f t="shared" si="117"/>
        <v>-1.9879035688346107</v>
      </c>
      <c r="N672" s="156"/>
      <c r="O672" s="156"/>
      <c r="P672" s="157"/>
      <c r="Q672" s="154">
        <f t="shared" si="140"/>
        <v>6.4504075029470869</v>
      </c>
      <c r="R672" s="146"/>
      <c r="S672" s="146"/>
      <c r="T672" s="147"/>
      <c r="U672" s="120" t="e">
        <f t="shared" ref="U672:U735" si="144">B672+V672</f>
        <v>#DIV/0!</v>
      </c>
      <c r="V672" s="148" t="e">
        <f t="shared" ref="V672:V682" si="145">(O$1001*Y983)+O$1001</f>
        <v>#DIV/0!</v>
      </c>
      <c r="W672" s="124"/>
      <c r="X672" s="124"/>
      <c r="Y672" s="124"/>
      <c r="Z672" s="120"/>
      <c r="AA672" s="148"/>
      <c r="AB672" s="142">
        <f>L672+AC672</f>
        <v>54.050407502947088</v>
      </c>
      <c r="AC672" s="142">
        <v>6.5</v>
      </c>
      <c r="AD672" s="135"/>
      <c r="AE672" s="134"/>
      <c r="AF672" s="135"/>
      <c r="AG672" s="141" t="e">
        <f ca="1">AH672*2204.622/100*Forecasts!$A$64</f>
        <v>#NAME?</v>
      </c>
      <c r="AH672" s="131">
        <f t="shared" si="142"/>
        <v>37.950000000000003</v>
      </c>
      <c r="AI672" s="131">
        <v>5</v>
      </c>
      <c r="AM672" s="108">
        <v>0.3876350221000594</v>
      </c>
    </row>
    <row r="673" spans="1:39">
      <c r="A673" s="99">
        <v>45962</v>
      </c>
      <c r="B673" s="149">
        <v>9</v>
      </c>
      <c r="C673" s="120" t="e" vm="2">
        <f t="shared" si="134"/>
        <v>#VALUE!</v>
      </c>
      <c r="D673" s="149">
        <f>51.75-5+0.95-5.25</f>
        <v>42.45</v>
      </c>
      <c r="E673" s="149" t="e" vm="2">
        <f t="shared" si="135"/>
        <v>#VALUE!</v>
      </c>
      <c r="F673" s="150" t="e" vm="2">
        <f t="shared" si="122"/>
        <v>#VALUE!</v>
      </c>
      <c r="G673" s="127" t="e" vm="2">
        <f t="shared" si="126"/>
        <v>#VALUE!</v>
      </c>
      <c r="H673" s="151" t="e" cm="1" vm="1">
        <f t="array" ref="H673">[1]!'@bcxz5?Last'</f>
        <v>#REF!</v>
      </c>
      <c r="I673" s="127" t="e" vm="2">
        <f t="shared" si="130"/>
        <v>#VALUE!</v>
      </c>
      <c r="J673" s="155">
        <f t="shared" si="143"/>
        <v>9.3410635652107246</v>
      </c>
      <c r="K673" s="155">
        <f t="shared" ref="K673:K683" si="146">$O$1003*R984</f>
        <v>87.802752261044404</v>
      </c>
      <c r="L673" s="152">
        <f>'[5]Monthly Prices'!$D313</f>
        <v>48.925001367053994</v>
      </c>
      <c r="M673" s="120">
        <f t="shared" si="117"/>
        <v>-2.0276528650918078</v>
      </c>
      <c r="N673" s="156"/>
      <c r="O673" s="156"/>
      <c r="P673" s="157"/>
      <c r="Q673" s="154">
        <f t="shared" si="140"/>
        <v>6.4750013670539914</v>
      </c>
      <c r="R673" s="146"/>
      <c r="S673" s="146"/>
      <c r="T673" s="147"/>
      <c r="U673" s="120" t="e">
        <f t="shared" si="144"/>
        <v>#DIV/0!</v>
      </c>
      <c r="V673" s="148" t="e">
        <f t="shared" si="145"/>
        <v>#DIV/0!</v>
      </c>
      <c r="W673" s="124"/>
      <c r="X673" s="124"/>
      <c r="Y673" s="124"/>
      <c r="Z673" s="120"/>
      <c r="AA673" s="148"/>
      <c r="AB673" s="142">
        <f t="shared" ref="AB673:AB679" si="147">L673+AC673</f>
        <v>55.425001367053994</v>
      </c>
      <c r="AC673" s="142">
        <v>6.5</v>
      </c>
      <c r="AD673" s="135"/>
      <c r="AE673" s="134"/>
      <c r="AF673" s="135"/>
      <c r="AG673" s="141" t="e">
        <f ca="1">AH673*2204.622/100*Forecasts!$A$64</f>
        <v>#NAME?</v>
      </c>
      <c r="AH673" s="131">
        <f t="shared" si="142"/>
        <v>37.450000000000003</v>
      </c>
      <c r="AI673" s="131">
        <v>5</v>
      </c>
      <c r="AM673" s="108">
        <v>0.3876350221000594</v>
      </c>
    </row>
    <row r="674" spans="1:39">
      <c r="A674" s="99">
        <v>45992</v>
      </c>
      <c r="B674" s="149">
        <v>9.15</v>
      </c>
      <c r="C674" s="120" t="e" vm="2">
        <f t="shared" si="134"/>
        <v>#VALUE!</v>
      </c>
      <c r="D674" s="149">
        <f>51.25-5+1.2-4.5</f>
        <v>42.95</v>
      </c>
      <c r="E674" s="149" t="e" vm="2">
        <f t="shared" si="135"/>
        <v>#VALUE!</v>
      </c>
      <c r="F674" s="150" t="e" vm="2">
        <f t="shared" si="122"/>
        <v>#VALUE!</v>
      </c>
      <c r="G674" s="127" t="e" vm="2">
        <f t="shared" si="126"/>
        <v>#VALUE!</v>
      </c>
      <c r="H674" s="151" t="e" cm="1" vm="1">
        <f t="array" ref="H674">[1]!'@bcxf6?Last'</f>
        <v>#REF!</v>
      </c>
      <c r="J674" s="155">
        <f t="shared" si="143"/>
        <v>9.496633353065592</v>
      </c>
      <c r="K674" s="155">
        <f t="shared" si="146"/>
        <v>88.434345109724973</v>
      </c>
      <c r="L674" s="152">
        <f>'[5]Monthly Prices'!$D314</f>
        <v>45.214199202551832</v>
      </c>
      <c r="M674" s="120">
        <f t="shared" si="117"/>
        <v>-2.5775158483709415</v>
      </c>
      <c r="N674" s="156"/>
      <c r="O674" s="156"/>
      <c r="P674" s="157"/>
      <c r="Q674" s="154">
        <f t="shared" si="140"/>
        <v>2.2641992025518292</v>
      </c>
      <c r="R674" s="146"/>
      <c r="S674" s="146"/>
      <c r="T674" s="147"/>
      <c r="U674" s="120" t="e">
        <f t="shared" si="144"/>
        <v>#DIV/0!</v>
      </c>
      <c r="V674" s="148" t="e">
        <f t="shared" si="145"/>
        <v>#DIV/0!</v>
      </c>
      <c r="W674" s="124"/>
      <c r="X674" s="124"/>
      <c r="Y674" s="124"/>
      <c r="Z674" s="120"/>
      <c r="AA674" s="148"/>
      <c r="AB674" s="142">
        <f t="shared" si="147"/>
        <v>51.714199202551832</v>
      </c>
      <c r="AC674" s="142">
        <v>6.5</v>
      </c>
      <c r="AD674" s="135"/>
      <c r="AE674" s="134"/>
      <c r="AF674" s="135"/>
      <c r="AG674" s="141" t="e">
        <f ca="1">AH674*2204.622/100*Forecasts!$A$64</f>
        <v>#NAME?</v>
      </c>
      <c r="AH674" s="131">
        <f t="shared" si="142"/>
        <v>35.75</v>
      </c>
      <c r="AI674" s="131">
        <v>5</v>
      </c>
      <c r="AM674" s="108">
        <v>0.3876350221000594</v>
      </c>
    </row>
    <row r="675" spans="1:39">
      <c r="A675" s="99">
        <v>46023</v>
      </c>
      <c r="B675" s="149">
        <v>9.3000000000000007</v>
      </c>
      <c r="C675" s="120" t="e" vm="2">
        <f t="shared" si="134"/>
        <v>#VALUE!</v>
      </c>
      <c r="D675" s="149">
        <f>51.25-5+1.2-5</f>
        <v>42.45</v>
      </c>
      <c r="E675" s="149" t="e" vm="2">
        <f t="shared" si="135"/>
        <v>#VALUE!</v>
      </c>
      <c r="F675" s="150" t="e" vm="2">
        <f t="shared" si="122"/>
        <v>#VALUE!</v>
      </c>
      <c r="G675" s="127" t="e" vm="2">
        <f t="shared" si="126"/>
        <v>#VALUE!</v>
      </c>
      <c r="H675" s="151" t="e" cm="1" vm="1">
        <f t="array" ref="H675">[1]!'@bcxh6?Last'</f>
        <v>#REF!</v>
      </c>
      <c r="J675" s="155">
        <f t="shared" si="143"/>
        <v>9.6083390296368787</v>
      </c>
      <c r="K675" s="155">
        <f t="shared" si="146"/>
        <v>87.236911083430698</v>
      </c>
      <c r="L675" s="152">
        <f>'[5]Monthly Prices'!$D315</f>
        <v>45.521136956026417</v>
      </c>
      <c r="M675" s="120">
        <f t="shared" si="117"/>
        <v>-2.6818019206384971</v>
      </c>
      <c r="N675" s="156"/>
      <c r="O675" s="156"/>
      <c r="P675" s="157"/>
      <c r="Q675" s="154">
        <f t="shared" si="140"/>
        <v>3.0711369560264146</v>
      </c>
      <c r="R675" s="146"/>
      <c r="S675" s="146"/>
      <c r="T675" s="147"/>
      <c r="U675" s="120" t="e">
        <f t="shared" si="144"/>
        <v>#DIV/0!</v>
      </c>
      <c r="V675" s="148" t="e">
        <f t="shared" si="145"/>
        <v>#DIV/0!</v>
      </c>
      <c r="W675" s="124"/>
      <c r="X675" s="124"/>
      <c r="Y675" s="124"/>
      <c r="Z675" s="120"/>
      <c r="AA675" s="148"/>
      <c r="AB675" s="142">
        <f t="shared" si="147"/>
        <v>52.021136956026417</v>
      </c>
      <c r="AC675" s="142">
        <v>6.5</v>
      </c>
      <c r="AD675" s="135"/>
      <c r="AE675" s="134"/>
      <c r="AF675" s="135"/>
      <c r="AG675" s="141" t="e">
        <f ca="1">AH675*2204.622/100*Forecasts!$A$64</f>
        <v>#NAME?</v>
      </c>
      <c r="AH675" s="131">
        <f t="shared" si="142"/>
        <v>36.799999999999997</v>
      </c>
      <c r="AI675" s="131">
        <v>5</v>
      </c>
    </row>
    <row r="676" spans="1:39">
      <c r="A676" s="99">
        <v>46054</v>
      </c>
      <c r="B676" s="149">
        <v>9.1</v>
      </c>
      <c r="C676" s="120" t="e" vm="2">
        <f t="shared" si="134"/>
        <v>#VALUE!</v>
      </c>
      <c r="D676" s="149">
        <f>49.25-5+1.5-5</f>
        <v>40.75</v>
      </c>
      <c r="E676" s="149" t="e" vm="2">
        <f t="shared" si="135"/>
        <v>#VALUE!</v>
      </c>
      <c r="F676" s="150" t="e" vm="2">
        <f t="shared" si="122"/>
        <v>#VALUE!</v>
      </c>
      <c r="G676" s="127" t="e" vm="2">
        <f t="shared" si="126"/>
        <v>#VALUE!</v>
      </c>
      <c r="H676" s="151" t="e" cm="1" vm="1">
        <f t="array" ref="H676">[1]!'@bcxh6?Last'</f>
        <v>#REF!</v>
      </c>
      <c r="J676" s="155">
        <f t="shared" si="143"/>
        <v>8.8714489887467884</v>
      </c>
      <c r="K676" s="155">
        <f t="shared" si="146"/>
        <v>82.854399590639645</v>
      </c>
      <c r="L676" s="152">
        <f>'[5]Monthly Prices'!$D316</f>
        <v>46.506722920938699</v>
      </c>
      <c r="M676" s="120">
        <f t="shared" si="117"/>
        <v>-1.9329126764494591</v>
      </c>
      <c r="N676" s="156"/>
      <c r="O676" s="156"/>
      <c r="P676" s="157"/>
      <c r="Q676" s="154">
        <f t="shared" si="140"/>
        <v>5.7567229209386994</v>
      </c>
      <c r="R676" s="146"/>
      <c r="S676" s="146"/>
      <c r="T676" s="147"/>
      <c r="U676" s="120" t="e">
        <f t="shared" si="144"/>
        <v>#DIV/0!</v>
      </c>
      <c r="V676" s="148" t="e">
        <f t="shared" si="145"/>
        <v>#DIV/0!</v>
      </c>
      <c r="W676" s="124"/>
      <c r="X676" s="124"/>
      <c r="Y676" s="124"/>
      <c r="Z676" s="120"/>
      <c r="AA676" s="148"/>
      <c r="AB676" s="142">
        <f t="shared" si="147"/>
        <v>53.006722920938699</v>
      </c>
      <c r="AC676" s="142">
        <v>6.5</v>
      </c>
      <c r="AD676" s="135"/>
      <c r="AE676" s="134"/>
      <c r="AF676" s="135"/>
      <c r="AG676" s="141" t="e">
        <f ca="1">AH676*2204.622/100*Forecasts!$A$64</f>
        <v>#NAME?</v>
      </c>
      <c r="AH676" s="131">
        <f t="shared" si="142"/>
        <v>37.5</v>
      </c>
      <c r="AI676" s="131">
        <v>5</v>
      </c>
    </row>
    <row r="677" spans="1:39">
      <c r="A677" s="99">
        <v>46082</v>
      </c>
      <c r="B677" s="149">
        <v>9.3000000000000007</v>
      </c>
      <c r="C677" s="120" t="e" vm="2">
        <f t="shared" si="134"/>
        <v>#VALUE!</v>
      </c>
      <c r="D677" s="149">
        <f>50.25-5+1.55-5</f>
        <v>41.8</v>
      </c>
      <c r="E677" s="149" t="e" vm="2">
        <f t="shared" si="135"/>
        <v>#VALUE!</v>
      </c>
      <c r="F677" s="150" t="e" vm="2">
        <f t="shared" si="122"/>
        <v>#VALUE!</v>
      </c>
      <c r="G677" s="127" t="e" vm="2">
        <f t="shared" si="126"/>
        <v>#VALUE!</v>
      </c>
      <c r="H677" s="151" t="e" cm="1" vm="1">
        <f t="array" ref="H677">[1]!'@bcxk6?Last'</f>
        <v>#REF!</v>
      </c>
      <c r="J677" s="155">
        <f t="shared" si="143"/>
        <v>8.9401511257197974</v>
      </c>
      <c r="K677" s="155">
        <f t="shared" si="146"/>
        <v>83.464557626109425</v>
      </c>
      <c r="L677" s="152">
        <f>'[5]Monthly Prices'!$D317</f>
        <v>48.879648779062272</v>
      </c>
      <c r="M677" s="120">
        <f t="shared" si="117"/>
        <v>-1.7271694922485405</v>
      </c>
      <c r="N677" s="156"/>
      <c r="O677" s="156"/>
      <c r="P677" s="157"/>
      <c r="Q677" s="154">
        <f t="shared" si="140"/>
        <v>7.0796487790622749</v>
      </c>
      <c r="R677" s="146"/>
      <c r="S677" s="146"/>
      <c r="T677" s="147"/>
      <c r="U677" s="120" t="e">
        <f t="shared" si="144"/>
        <v>#DIV/0!</v>
      </c>
      <c r="V677" s="148" t="e">
        <f t="shared" si="145"/>
        <v>#DIV/0!</v>
      </c>
      <c r="W677" s="124"/>
      <c r="X677" s="124"/>
      <c r="Y677" s="124"/>
      <c r="Z677" s="120"/>
      <c r="AA677" s="148"/>
      <c r="AB677" s="142">
        <f t="shared" si="147"/>
        <v>55.379648779062272</v>
      </c>
      <c r="AC677" s="142">
        <v>6.5</v>
      </c>
      <c r="AD677" s="135"/>
      <c r="AE677" s="134"/>
      <c r="AF677" s="135"/>
      <c r="AG677" s="141" t="e">
        <f ca="1">AH677*2204.622/100*Forecasts!$A$64</f>
        <v>#NAME?</v>
      </c>
      <c r="AH677" s="131">
        <f t="shared" si="142"/>
        <v>38.5</v>
      </c>
      <c r="AI677" s="131">
        <v>5</v>
      </c>
    </row>
    <row r="678" spans="1:39">
      <c r="A678" s="99">
        <v>46113</v>
      </c>
      <c r="B678" s="149">
        <v>9.4</v>
      </c>
      <c r="C678" s="120" t="e" vm="2">
        <f t="shared" si="134"/>
        <v>#VALUE!</v>
      </c>
      <c r="D678" s="149">
        <f>50.75-1-2.25-5</f>
        <v>42.5</v>
      </c>
      <c r="E678" s="149" t="e" vm="2">
        <f t="shared" si="135"/>
        <v>#VALUE!</v>
      </c>
      <c r="F678" s="150" t="e" vm="2">
        <f t="shared" si="122"/>
        <v>#VALUE!</v>
      </c>
      <c r="G678" s="127" t="e" vm="2">
        <f t="shared" si="126"/>
        <v>#VALUE!</v>
      </c>
      <c r="H678" s="151" t="e" cm="1" vm="1">
        <f t="array" ref="H678">[1]!'@bcxk6?Last'</f>
        <v>#REF!</v>
      </c>
      <c r="J678" s="155">
        <f t="shared" si="143"/>
        <v>9.135751958787143</v>
      </c>
      <c r="K678" s="155">
        <f t="shared" si="146"/>
        <v>83.214681277948387</v>
      </c>
      <c r="L678" s="152">
        <f>'[5]Monthly Prices'!$D318</f>
        <v>51.245428571428562</v>
      </c>
      <c r="M678" s="120">
        <f t="shared" si="117"/>
        <v>-1.6680318278151365</v>
      </c>
      <c r="N678" s="156"/>
      <c r="O678" s="156"/>
      <c r="P678" s="157"/>
      <c r="Q678" s="154">
        <f t="shared" si="140"/>
        <v>8.7454285714285618</v>
      </c>
      <c r="R678" s="146"/>
      <c r="S678" s="146"/>
      <c r="T678" s="147"/>
      <c r="U678" s="120" t="e">
        <f t="shared" si="144"/>
        <v>#DIV/0!</v>
      </c>
      <c r="V678" s="148" t="e">
        <f t="shared" si="145"/>
        <v>#DIV/0!</v>
      </c>
      <c r="W678" s="124"/>
      <c r="X678" s="124"/>
      <c r="Y678" s="124"/>
      <c r="Z678" s="120"/>
      <c r="AA678" s="148"/>
      <c r="AB678" s="142">
        <f t="shared" si="147"/>
        <v>57.745428571428562</v>
      </c>
      <c r="AC678" s="142">
        <v>6.5</v>
      </c>
      <c r="AD678" s="135"/>
      <c r="AE678" s="134"/>
      <c r="AF678" s="135"/>
      <c r="AG678" s="141" t="e">
        <f ca="1">AH678*2204.622/100*Forecasts!$A$64</f>
        <v>#NAME?</v>
      </c>
      <c r="AH678" s="131">
        <f t="shared" si="142"/>
        <v>39.5</v>
      </c>
      <c r="AI678" s="131">
        <v>5</v>
      </c>
    </row>
    <row r="679" spans="1:39">
      <c r="A679" s="99">
        <v>46143</v>
      </c>
      <c r="B679" s="149">
        <v>9.5</v>
      </c>
      <c r="C679" s="120" t="e" vm="2">
        <f t="shared" si="134"/>
        <v>#VALUE!</v>
      </c>
      <c r="D679" s="149">
        <f>51.5-1-2-5</f>
        <v>43.5</v>
      </c>
      <c r="E679" s="149" t="e" vm="2">
        <f t="shared" si="135"/>
        <v>#VALUE!</v>
      </c>
      <c r="F679" s="150" t="e" vm="2">
        <f t="shared" si="122"/>
        <v>#VALUE!</v>
      </c>
      <c r="G679" s="127" t="e" vm="2">
        <f t="shared" si="126"/>
        <v>#VALUE!</v>
      </c>
      <c r="H679" s="151" t="e" cm="1" vm="1">
        <f t="array" ref="H679">[1]!'@bcxn6?Last'</f>
        <v>#REF!</v>
      </c>
      <c r="J679" s="155">
        <f t="shared" si="143"/>
        <v>9.285178832335589</v>
      </c>
      <c r="K679" s="155">
        <f t="shared" si="146"/>
        <v>85.160533936980585</v>
      </c>
      <c r="L679" s="152">
        <f>'[5]Monthly Prices'!$D319</f>
        <v>53.248988393711542</v>
      </c>
      <c r="M679" s="120">
        <f t="shared" si="117"/>
        <v>-1.554258362413746</v>
      </c>
      <c r="N679" s="156"/>
      <c r="O679" s="156"/>
      <c r="P679" s="157"/>
      <c r="Q679" s="154">
        <f t="shared" si="140"/>
        <v>9.7489883937115422</v>
      </c>
      <c r="R679" s="146"/>
      <c r="S679" s="146"/>
      <c r="T679" s="147"/>
      <c r="U679" s="120" t="e">
        <f t="shared" si="144"/>
        <v>#DIV/0!</v>
      </c>
      <c r="V679" s="148" t="e">
        <f t="shared" si="145"/>
        <v>#DIV/0!</v>
      </c>
      <c r="W679" s="124"/>
      <c r="X679" s="124"/>
      <c r="Y679" s="124"/>
      <c r="Z679" s="120"/>
      <c r="AA679" s="148"/>
      <c r="AB679" s="142">
        <f t="shared" si="147"/>
        <v>59.748988393711542</v>
      </c>
      <c r="AC679" s="142">
        <v>6.5</v>
      </c>
      <c r="AD679" s="135"/>
      <c r="AE679" s="134"/>
      <c r="AF679" s="135"/>
      <c r="AG679" s="141" t="e">
        <f ca="1">AH679*2204.622/100*Forecasts!$A$64</f>
        <v>#NAME?</v>
      </c>
      <c r="AH679" s="131">
        <f t="shared" si="142"/>
        <v>39.5</v>
      </c>
      <c r="AI679" s="131">
        <v>5</v>
      </c>
    </row>
    <row r="680" spans="1:39">
      <c r="A680" s="99">
        <v>46174</v>
      </c>
      <c r="B680" s="149">
        <v>9.6</v>
      </c>
      <c r="C680" s="120" t="e" vm="2">
        <f t="shared" si="134"/>
        <v>#VALUE!</v>
      </c>
      <c r="D680" s="149">
        <f>51.5-5+2-4</f>
        <v>44.5</v>
      </c>
      <c r="E680" s="149" t="e" vm="2">
        <f t="shared" si="135"/>
        <v>#VALUE!</v>
      </c>
      <c r="F680" s="150" t="e" vm="2">
        <f t="shared" si="122"/>
        <v>#VALUE!</v>
      </c>
      <c r="G680" s="127" t="e" vm="2">
        <f t="shared" si="126"/>
        <v>#VALUE!</v>
      </c>
      <c r="H680" s="151" t="e" cm="1" vm="1">
        <f t="array" ref="H680">[1]!'@bcxn6?Last'</f>
        <v>#REF!</v>
      </c>
      <c r="J680" s="155">
        <f t="shared" si="143"/>
        <v>9.2589499827574624</v>
      </c>
      <c r="K680" s="155">
        <f t="shared" si="146"/>
        <v>86.267018677267401</v>
      </c>
      <c r="L680" s="152">
        <f>'[5]Monthly Prices'!$D320</f>
        <v>53.724384388243323</v>
      </c>
      <c r="M680" s="120">
        <f t="shared" si="117"/>
        <v>-1.4513932891508148</v>
      </c>
      <c r="Q680" s="154">
        <f t="shared" si="140"/>
        <v>9.2243843882433225</v>
      </c>
      <c r="U680" s="120" t="e">
        <f t="shared" si="144"/>
        <v>#DIV/0!</v>
      </c>
      <c r="V680" s="148" t="e">
        <f t="shared" si="145"/>
        <v>#DIV/0!</v>
      </c>
      <c r="AF680" s="135"/>
      <c r="AG680" s="141" t="e">
        <f ca="1">AH680*2204.622/100*Forecasts!$A$64</f>
        <v>#NAME?</v>
      </c>
      <c r="AH680" s="131">
        <f t="shared" si="142"/>
        <v>38.5</v>
      </c>
      <c r="AI680" s="131">
        <v>5</v>
      </c>
    </row>
    <row r="681" spans="1:39">
      <c r="A681" s="99">
        <v>46204</v>
      </c>
      <c r="B681" s="149">
        <v>9.4</v>
      </c>
      <c r="C681" s="120" t="e" vm="2">
        <f t="shared" si="134"/>
        <v>#VALUE!</v>
      </c>
      <c r="D681" s="149">
        <f>51.25-5+2-3.75</f>
        <v>44.5</v>
      </c>
      <c r="E681" s="149" t="e" vm="2">
        <f>H681/100</f>
        <v>#VALUE!</v>
      </c>
      <c r="F681" s="150" t="e" vm="2">
        <f t="shared" si="122"/>
        <v>#VALUE!</v>
      </c>
      <c r="G681" s="127" t="e" vm="2">
        <f t="shared" si="126"/>
        <v>#VALUE!</v>
      </c>
      <c r="H681" s="151" t="e" cm="1" vm="1">
        <f t="array" ref="H681">[1]!'@bcxq6?Last'</f>
        <v>#REF!</v>
      </c>
      <c r="J681" s="155">
        <f t="shared" si="143"/>
        <v>9.2860965700663396</v>
      </c>
      <c r="K681" s="155">
        <f t="shared" si="146"/>
        <v>88.845022026914933</v>
      </c>
      <c r="L681" s="152">
        <f>'[5]Monthly Prices'!$D321</f>
        <v>53.272947456387989</v>
      </c>
      <c r="M681" s="120">
        <f t="shared" si="117"/>
        <v>-1.4714818652715325</v>
      </c>
      <c r="Q681" s="154">
        <f t="shared" si="140"/>
        <v>8.772947456387989</v>
      </c>
      <c r="U681" s="120" t="e">
        <f t="shared" si="144"/>
        <v>#DIV/0!</v>
      </c>
      <c r="V681" s="148" t="e">
        <f t="shared" si="145"/>
        <v>#DIV/0!</v>
      </c>
      <c r="AF681" s="135"/>
      <c r="AG681" s="141" t="e">
        <f ca="1">AH681*2204.622/100*Forecasts!$A$64</f>
        <v>#NAME?</v>
      </c>
      <c r="AH681" s="131">
        <f t="shared" si="142"/>
        <v>40.75</v>
      </c>
      <c r="AI681" s="131">
        <v>5</v>
      </c>
    </row>
    <row r="682" spans="1:39">
      <c r="A682" s="99">
        <v>46235</v>
      </c>
      <c r="B682" s="149">
        <v>9</v>
      </c>
      <c r="C682" s="120" t="e" vm="2">
        <f t="shared" si="134"/>
        <v>#VALUE!</v>
      </c>
      <c r="D682" s="149">
        <f>51.25-5+2-4.75</f>
        <v>43.5</v>
      </c>
      <c r="E682" s="149" t="e" vm="2">
        <f>E681</f>
        <v>#VALUE!</v>
      </c>
      <c r="F682" s="150" t="e" vm="2">
        <f t="shared" si="122"/>
        <v>#VALUE!</v>
      </c>
      <c r="G682" s="127" t="e" vm="2">
        <f t="shared" si="126"/>
        <v>#VALUE!</v>
      </c>
      <c r="H682" s="151" t="e" cm="1" vm="1">
        <f t="array" ref="H682">[1]!'@bcxu6?Last'</f>
        <v>#REF!</v>
      </c>
      <c r="J682" s="155">
        <f t="shared" si="143"/>
        <v>8.9848972180716071</v>
      </c>
      <c r="K682" s="155">
        <f t="shared" si="146"/>
        <v>87.878229327351505</v>
      </c>
      <c r="L682" s="152">
        <f>'[5]Monthly Prices'!$D322</f>
        <v>52.723748630865678</v>
      </c>
      <c r="M682" s="120">
        <f t="shared" si="117"/>
        <v>-1.2519638234746493</v>
      </c>
      <c r="Q682" s="154">
        <f t="shared" si="140"/>
        <v>9.2237486308656784</v>
      </c>
      <c r="U682" s="120" t="e">
        <f t="shared" si="144"/>
        <v>#DIV/0!</v>
      </c>
      <c r="V682" s="148" t="e">
        <f t="shared" si="145"/>
        <v>#DIV/0!</v>
      </c>
      <c r="AF682" s="135"/>
      <c r="AG682" s="141" t="e">
        <f ca="1">AH682*2204.622/100*Forecasts!$A$64</f>
        <v>#NAME?</v>
      </c>
      <c r="AH682" s="131">
        <f t="shared" si="142"/>
        <v>36.519665546897777</v>
      </c>
      <c r="AI682" s="131">
        <v>5</v>
      </c>
    </row>
    <row r="683" spans="1:39">
      <c r="A683" s="99">
        <v>46266</v>
      </c>
      <c r="B683" s="155" t="e">
        <f>P$999*G982</f>
        <v>#DIV/0!</v>
      </c>
      <c r="C683" s="120" t="e">
        <f t="shared" si="134"/>
        <v>#DIV/0!</v>
      </c>
      <c r="D683" s="149">
        <f>50.5-1-2-1.75</f>
        <v>45.75</v>
      </c>
      <c r="E683" s="149" t="e" vm="2">
        <f>E682</f>
        <v>#VALUE!</v>
      </c>
      <c r="F683" s="150" t="e">
        <f t="shared" si="122"/>
        <v>#DIV/0!</v>
      </c>
      <c r="G683" s="127" t="e">
        <f t="shared" si="126"/>
        <v>#DIV/0!</v>
      </c>
      <c r="H683" s="151" t="e" cm="1" vm="1">
        <f t="array" ref="H683">[1]!'@bcxx6?Last'</f>
        <v>#REF!</v>
      </c>
      <c r="J683" s="155">
        <f>$P$1000*Q982</f>
        <v>9.8189738632181935</v>
      </c>
      <c r="K683" s="155">
        <f t="shared" si="146"/>
        <v>87.700961895927193</v>
      </c>
      <c r="L683" s="152">
        <f>'[5]Monthly Prices'!$D323</f>
        <v>50.981243545226683</v>
      </c>
      <c r="M683" s="120">
        <f t="shared" si="117"/>
        <v>-2.2816159115328603</v>
      </c>
      <c r="Q683" s="154">
        <f t="shared" si="140"/>
        <v>5.2312435452266826</v>
      </c>
      <c r="U683" s="120" t="e">
        <f t="shared" si="144"/>
        <v>#DIV/0!</v>
      </c>
      <c r="V683" s="148" t="e">
        <f>(P$1001*Y982)+P$1001</f>
        <v>#DIV/0!</v>
      </c>
      <c r="AF683" s="135"/>
    </row>
    <row r="684" spans="1:39">
      <c r="A684" s="99">
        <v>46296</v>
      </c>
      <c r="B684" s="155" t="e">
        <f t="shared" ref="B684:B694" si="148">P$999*G983</f>
        <v>#DIV/0!</v>
      </c>
      <c r="C684" s="120" t="e">
        <f t="shared" si="134"/>
        <v>#DIV/0!</v>
      </c>
      <c r="D684" s="155">
        <f>L684+(AVERAGE(Q660,Q648,Q636,Q624,Q612)-MIN(Q660,Q648,Q636,Q624,Q612)-MAX(Q660,Q648,Q636,Q624,Q612))</f>
        <v>41.519665546897777</v>
      </c>
      <c r="E684" s="155" t="e">
        <f>$P$1008*J983</f>
        <v>#DIV/0!</v>
      </c>
      <c r="F684" s="150" t="e">
        <f t="shared" si="122"/>
        <v>#DIV/0!</v>
      </c>
      <c r="G684" s="127" t="e">
        <f t="shared" si="126"/>
        <v>#DIV/0!</v>
      </c>
      <c r="H684" s="136"/>
      <c r="J684" s="155">
        <f t="shared" ref="J684:J694" si="149">$P$1000*Q983</f>
        <v>9.3656147652676207</v>
      </c>
      <c r="L684" s="152">
        <f>'[5]Monthly Prices'!$D324</f>
        <v>47.537867383901364</v>
      </c>
      <c r="Q684" s="154">
        <f t="shared" si="140"/>
        <v>6.0182018370035877</v>
      </c>
      <c r="U684" s="120" t="e">
        <f t="shared" si="144"/>
        <v>#DIV/0!</v>
      </c>
      <c r="V684" s="148" t="e">
        <f t="shared" ref="V684:V694" si="150">(P$1001*Y983)+P$1001</f>
        <v>#DIV/0!</v>
      </c>
      <c r="AF684" s="135"/>
    </row>
    <row r="685" spans="1:39">
      <c r="A685" s="99">
        <v>46327</v>
      </c>
      <c r="B685" s="155" t="e">
        <f t="shared" si="148"/>
        <v>#DIV/0!</v>
      </c>
      <c r="C685" s="120" t="e">
        <f t="shared" si="134"/>
        <v>#DIV/0!</v>
      </c>
      <c r="D685" s="155">
        <f t="shared" ref="D685:D748" si="151">L685+(AVERAGE(Q661,Q649,Q637,Q625,Q613)-MIN(Q661,Q649,Q637,Q625,Q613)-MAX(Q661,Q649,Q637,Q625,Q613))</f>
        <v>39.283177018123133</v>
      </c>
      <c r="E685" s="155" t="e">
        <f t="shared" ref="E685:E695" si="152">$P$1008*J984</f>
        <v>#DIV/0!</v>
      </c>
      <c r="F685" s="150" t="e">
        <f t="shared" si="122"/>
        <v>#DIV/0!</v>
      </c>
      <c r="G685" s="127" t="e">
        <f t="shared" si="126"/>
        <v>#DIV/0!</v>
      </c>
      <c r="J685" s="155">
        <f t="shared" si="149"/>
        <v>9.615606806127575</v>
      </c>
      <c r="L685" s="152">
        <f>'[5]Monthly Prices'!$D325</f>
        <v>43.685486541932661</v>
      </c>
      <c r="Q685" s="154">
        <f t="shared" si="140"/>
        <v>4.402309523809528</v>
      </c>
      <c r="U685" s="120" t="e">
        <f t="shared" si="144"/>
        <v>#DIV/0!</v>
      </c>
      <c r="V685" s="148" t="e">
        <f t="shared" si="150"/>
        <v>#DIV/0!</v>
      </c>
      <c r="AF685" s="135"/>
    </row>
    <row r="686" spans="1:39">
      <c r="A686" s="99">
        <v>46357</v>
      </c>
      <c r="B686" s="155" t="e">
        <f t="shared" si="148"/>
        <v>#DIV/0!</v>
      </c>
      <c r="C686" s="120" t="e">
        <f t="shared" si="134"/>
        <v>#DIV/0!</v>
      </c>
      <c r="D686" s="155">
        <f t="shared" si="151"/>
        <v>36.8504135085184</v>
      </c>
      <c r="E686" s="155" t="e">
        <f t="shared" si="152"/>
        <v>#DIV/0!</v>
      </c>
      <c r="F686" s="150" t="e">
        <f t="shared" si="122"/>
        <v>#DIV/0!</v>
      </c>
      <c r="G686" s="127" t="e">
        <f t="shared" si="126"/>
        <v>#DIV/0!</v>
      </c>
      <c r="J686" s="155">
        <f t="shared" si="149"/>
        <v>9.7757489463113032</v>
      </c>
      <c r="L686" s="152">
        <f>'[5]Monthly Prices'!$D326</f>
        <v>41.929319395964278</v>
      </c>
      <c r="Q686" s="154">
        <f t="shared" si="140"/>
        <v>5.0789058874458775</v>
      </c>
      <c r="U686" s="120" t="e">
        <f t="shared" si="144"/>
        <v>#DIV/0!</v>
      </c>
      <c r="V686" s="148" t="e">
        <f t="shared" si="150"/>
        <v>#DIV/0!</v>
      </c>
      <c r="AF686" s="135"/>
    </row>
    <row r="687" spans="1:39">
      <c r="A687" s="99">
        <v>46388</v>
      </c>
      <c r="B687" s="155" t="e">
        <f t="shared" si="148"/>
        <v>#DIV/0!</v>
      </c>
      <c r="C687" s="120" t="e">
        <f t="shared" si="134"/>
        <v>#DIV/0!</v>
      </c>
      <c r="D687" s="155">
        <f t="shared" si="151"/>
        <v>41.174899317876672</v>
      </c>
      <c r="E687" s="155" t="e">
        <f t="shared" si="152"/>
        <v>#DIV/0!</v>
      </c>
      <c r="F687" s="150" t="e">
        <f t="shared" si="122"/>
        <v>#DIV/0!</v>
      </c>
      <c r="G687" s="127" t="e">
        <f t="shared" si="126"/>
        <v>#DIV/0!</v>
      </c>
      <c r="J687" s="155">
        <f t="shared" si="149"/>
        <v>9.8907377649210311</v>
      </c>
      <c r="L687" s="152">
        <f>'[5]Monthly Prices'!$D327</f>
        <v>41.516350946949359</v>
      </c>
      <c r="Q687" s="154">
        <f t="shared" si="140"/>
        <v>0.34145162907268656</v>
      </c>
      <c r="U687" s="120" t="e">
        <f t="shared" si="144"/>
        <v>#DIV/0!</v>
      </c>
      <c r="V687" s="148" t="e">
        <f t="shared" si="150"/>
        <v>#DIV/0!</v>
      </c>
      <c r="AF687" s="135"/>
    </row>
    <row r="688" spans="1:39">
      <c r="A688" s="99">
        <v>46419</v>
      </c>
      <c r="B688" s="155" t="e">
        <f t="shared" si="148"/>
        <v>#DIV/0!</v>
      </c>
      <c r="C688" s="120" t="e">
        <f t="shared" si="134"/>
        <v>#DIV/0!</v>
      </c>
      <c r="D688" s="155">
        <f t="shared" si="151"/>
        <v>42.817200241323448</v>
      </c>
      <c r="E688" s="155" t="e">
        <f t="shared" si="152"/>
        <v>#DIV/0!</v>
      </c>
      <c r="F688" s="150" t="e">
        <f t="shared" si="122"/>
        <v>#DIV/0!</v>
      </c>
      <c r="G688" s="127" t="e">
        <f t="shared" si="126"/>
        <v>#DIV/0!</v>
      </c>
      <c r="J688" s="155">
        <f t="shared" si="149"/>
        <v>9.1321897855517733</v>
      </c>
      <c r="L688" s="152">
        <f>'[5]Monthly Prices'!$D328</f>
        <v>44.069121293955028</v>
      </c>
      <c r="Q688" s="154">
        <f t="shared" si="140"/>
        <v>1.2519210526315803</v>
      </c>
      <c r="U688" s="120" t="e">
        <f t="shared" si="144"/>
        <v>#DIV/0!</v>
      </c>
      <c r="V688" s="148" t="e">
        <f t="shared" si="150"/>
        <v>#DIV/0!</v>
      </c>
      <c r="AF688" s="135"/>
    </row>
    <row r="689" spans="1:32">
      <c r="A689" s="99">
        <v>46447</v>
      </c>
      <c r="B689" s="155" t="e">
        <f t="shared" si="148"/>
        <v>#DIV/0!</v>
      </c>
      <c r="C689" s="120" t="e">
        <f t="shared" si="134"/>
        <v>#DIV/0!</v>
      </c>
      <c r="D689" s="155">
        <f t="shared" si="151"/>
        <v>48.611506268743682</v>
      </c>
      <c r="E689" s="155" t="e">
        <f t="shared" si="152"/>
        <v>#DIV/0!</v>
      </c>
      <c r="F689" s="150" t="e">
        <f t="shared" si="122"/>
        <v>#DIV/0!</v>
      </c>
      <c r="G689" s="127" t="e">
        <f t="shared" si="126"/>
        <v>#DIV/0!</v>
      </c>
      <c r="J689" s="155">
        <f t="shared" si="149"/>
        <v>9.2029111473390461</v>
      </c>
      <c r="L689" s="152">
        <f>'[5]Monthly Prices'!$D329</f>
        <v>48.154071486134981</v>
      </c>
      <c r="Q689" s="154">
        <f t="shared" si="140"/>
        <v>-0.45743478260870063</v>
      </c>
      <c r="U689" s="120" t="e">
        <f t="shared" si="144"/>
        <v>#DIV/0!</v>
      </c>
      <c r="V689" s="148" t="e">
        <f t="shared" si="150"/>
        <v>#DIV/0!</v>
      </c>
      <c r="AF689" s="135"/>
    </row>
    <row r="690" spans="1:32">
      <c r="A690" s="99">
        <v>46478</v>
      </c>
      <c r="B690" s="155" t="e">
        <f t="shared" si="148"/>
        <v>#DIV/0!</v>
      </c>
      <c r="C690" s="120" t="e">
        <f t="shared" si="134"/>
        <v>#DIV/0!</v>
      </c>
      <c r="D690" s="155">
        <f t="shared" si="151"/>
        <v>51.702613392443375</v>
      </c>
      <c r="E690" s="155" t="e">
        <f t="shared" si="152"/>
        <v>#DIV/0!</v>
      </c>
      <c r="F690" s="150" t="e">
        <f t="shared" si="122"/>
        <v>#DIV/0!</v>
      </c>
      <c r="G690" s="127" t="e">
        <f t="shared" si="126"/>
        <v>#DIV/0!</v>
      </c>
      <c r="J690" s="155">
        <f t="shared" si="149"/>
        <v>9.4042608853636747</v>
      </c>
      <c r="L690" s="152">
        <f>'[5]Monthly Prices'!$D330</f>
        <v>51.84709363851308</v>
      </c>
      <c r="Q690" s="154">
        <f t="shared" si="140"/>
        <v>0.14448024606970478</v>
      </c>
      <c r="U690" s="120" t="e">
        <f t="shared" si="144"/>
        <v>#DIV/0!</v>
      </c>
      <c r="V690" s="148" t="e">
        <f t="shared" si="150"/>
        <v>#DIV/0!</v>
      </c>
      <c r="AF690" s="135"/>
    </row>
    <row r="691" spans="1:32">
      <c r="A691" s="99">
        <v>46508</v>
      </c>
      <c r="B691" s="155" t="e">
        <f t="shared" si="148"/>
        <v>#DIV/0!</v>
      </c>
      <c r="C691" s="120" t="e">
        <f t="shared" si="134"/>
        <v>#DIV/0!</v>
      </c>
      <c r="D691" s="155">
        <f t="shared" si="151"/>
        <v>49.338084784123339</v>
      </c>
      <c r="E691" s="155" t="e">
        <f t="shared" si="152"/>
        <v>#DIV/0!</v>
      </c>
      <c r="F691" s="150" t="e">
        <f t="shared" si="122"/>
        <v>#DIV/0!</v>
      </c>
      <c r="G691" s="127" t="e">
        <f t="shared" si="126"/>
        <v>#DIV/0!</v>
      </c>
      <c r="J691" s="155">
        <f t="shared" si="149"/>
        <v>9.558079564819197</v>
      </c>
      <c r="L691" s="152">
        <f>'[5]Monthly Prices'!$D331</f>
        <v>51.721231523699544</v>
      </c>
      <c r="Q691" s="154">
        <f t="shared" si="140"/>
        <v>2.3831467395762047</v>
      </c>
      <c r="U691" s="120" t="e">
        <f t="shared" si="144"/>
        <v>#DIV/0!</v>
      </c>
      <c r="V691" s="148" t="e">
        <f t="shared" si="150"/>
        <v>#DIV/0!</v>
      </c>
      <c r="AF691" s="135"/>
    </row>
    <row r="692" spans="1:32">
      <c r="A692" s="99">
        <v>46539</v>
      </c>
      <c r="B692" s="155" t="e">
        <f t="shared" si="148"/>
        <v>#DIV/0!</v>
      </c>
      <c r="C692" s="120" t="e">
        <f t="shared" si="134"/>
        <v>#DIV/0!</v>
      </c>
      <c r="D692" s="155">
        <f t="shared" si="151"/>
        <v>46.714083343590588</v>
      </c>
      <c r="E692" s="155" t="e">
        <f t="shared" si="152"/>
        <v>#DIV/0!</v>
      </c>
      <c r="F692" s="150" t="e">
        <f t="shared" si="122"/>
        <v>#DIV/0!</v>
      </c>
      <c r="G692" s="127" t="e">
        <f t="shared" si="126"/>
        <v>#DIV/0!</v>
      </c>
      <c r="J692" s="155">
        <f t="shared" si="149"/>
        <v>9.5310798230061096</v>
      </c>
      <c r="L692" s="152">
        <f>'[5]Monthly Prices'!$D332</f>
        <v>50.521217410576213</v>
      </c>
      <c r="Q692" s="154">
        <f t="shared" si="140"/>
        <v>3.8071340669856255</v>
      </c>
      <c r="U692" s="120" t="e">
        <f t="shared" si="144"/>
        <v>#DIV/0!</v>
      </c>
      <c r="V692" s="148" t="e">
        <f t="shared" si="150"/>
        <v>#DIV/0!</v>
      </c>
      <c r="AF692" s="135"/>
    </row>
    <row r="693" spans="1:32">
      <c r="A693" s="99">
        <v>46569</v>
      </c>
      <c r="B693" s="155" t="e">
        <f t="shared" si="148"/>
        <v>#DIV/0!</v>
      </c>
      <c r="C693" s="120" t="e">
        <f t="shared" si="134"/>
        <v>#DIV/0!</v>
      </c>
      <c r="D693" s="155">
        <f t="shared" si="151"/>
        <v>46.761598052260517</v>
      </c>
      <c r="E693" s="155" t="e">
        <f t="shared" si="152"/>
        <v>#DIV/0!</v>
      </c>
      <c r="F693" s="150" t="e">
        <f t="shared" si="122"/>
        <v>#DIV/0!</v>
      </c>
      <c r="G693" s="127" t="e">
        <f t="shared" si="126"/>
        <v>#DIV/0!</v>
      </c>
      <c r="J693" s="155">
        <f t="shared" si="149"/>
        <v>9.5590242757836847</v>
      </c>
      <c r="L693" s="152">
        <f>'[5]Monthly Prices'!$D333</f>
        <v>51.096512136086695</v>
      </c>
      <c r="Q693" s="154">
        <f t="shared" si="140"/>
        <v>4.3349140838261775</v>
      </c>
      <c r="U693" s="120" t="e">
        <f t="shared" si="144"/>
        <v>#DIV/0!</v>
      </c>
      <c r="V693" s="148" t="e">
        <f t="shared" si="150"/>
        <v>#DIV/0!</v>
      </c>
      <c r="AF693" s="135"/>
    </row>
    <row r="694" spans="1:32">
      <c r="A694" s="99">
        <v>46600</v>
      </c>
      <c r="B694" s="155" t="e">
        <f t="shared" si="148"/>
        <v>#DIV/0!</v>
      </c>
      <c r="C694" s="120" t="e">
        <f t="shared" si="134"/>
        <v>#DIV/0!</v>
      </c>
      <c r="D694" s="155">
        <f t="shared" si="151"/>
        <v>37.252180047916191</v>
      </c>
      <c r="E694" s="155" t="e">
        <f t="shared" si="152"/>
        <v>#DIV/0!</v>
      </c>
      <c r="F694" s="150" t="e">
        <f t="shared" si="122"/>
        <v>#DIV/0!</v>
      </c>
      <c r="G694" s="127" t="e">
        <f t="shared" si="126"/>
        <v>#DIV/0!</v>
      </c>
      <c r="J694" s="155">
        <f t="shared" si="149"/>
        <v>9.2489723722907868</v>
      </c>
      <c r="L694" s="152">
        <f>'[5]Monthly Prices'!$D334</f>
        <v>42.019968564266371</v>
      </c>
      <c r="Q694" s="154">
        <f t="shared" si="140"/>
        <v>4.7677885163501799</v>
      </c>
      <c r="U694" s="120" t="e">
        <f t="shared" si="144"/>
        <v>#DIV/0!</v>
      </c>
      <c r="V694" s="148" t="e">
        <f t="shared" si="150"/>
        <v>#DIV/0!</v>
      </c>
      <c r="AF694" s="135"/>
    </row>
    <row r="695" spans="1:32">
      <c r="A695" s="99">
        <v>46631</v>
      </c>
      <c r="B695" s="155" t="e">
        <f>Q$999*G982</f>
        <v>#DIV/0!</v>
      </c>
      <c r="C695" s="120" t="e">
        <f t="shared" si="134"/>
        <v>#DIV/0!</v>
      </c>
      <c r="D695" s="155">
        <f t="shared" si="151"/>
        <v>35.422011769698223</v>
      </c>
      <c r="E695" s="155" t="e">
        <f t="shared" si="152"/>
        <v>#DIV/0!</v>
      </c>
      <c r="F695" s="150" t="e">
        <f t="shared" si="122"/>
        <v>#DIV/0!</v>
      </c>
      <c r="G695" s="127" t="e">
        <f t="shared" si="126"/>
        <v>#DIV/0!</v>
      </c>
      <c r="J695" s="155">
        <f>$Q$1000*Q982</f>
        <v>9.8189738632181935</v>
      </c>
      <c r="L695" s="152">
        <f>'[5]Monthly Prices'!$D335</f>
        <v>40.291947686763621</v>
      </c>
      <c r="Q695" s="154">
        <f t="shared" si="140"/>
        <v>4.8699359170653977</v>
      </c>
      <c r="U695" s="120" t="e">
        <f t="shared" si="144"/>
        <v>#DIV/0!</v>
      </c>
      <c r="V695" s="148" t="e">
        <f>(Q$1001*Y982)+Q$1001</f>
        <v>#DIV/0!</v>
      </c>
      <c r="AF695" s="135"/>
    </row>
    <row r="696" spans="1:32">
      <c r="A696" s="99">
        <v>46661</v>
      </c>
      <c r="B696" s="155" t="e">
        <f t="shared" ref="B696:B706" si="153">Q$999*G983</f>
        <v>#DIV/0!</v>
      </c>
      <c r="C696" s="120" t="e">
        <f t="shared" si="134"/>
        <v>#DIV/0!</v>
      </c>
      <c r="D696" s="155">
        <f t="shared" si="151"/>
        <v>36.165811622276145</v>
      </c>
      <c r="E696" s="155" t="e">
        <f>$Q$1008*J983</f>
        <v>#DIV/0!</v>
      </c>
      <c r="F696" s="150" t="e">
        <f t="shared" si="122"/>
        <v>#DIV/0!</v>
      </c>
      <c r="G696" s="127" t="e">
        <f t="shared" si="126"/>
        <v>#DIV/0!</v>
      </c>
      <c r="J696" s="155">
        <f t="shared" ref="J696:J706" si="154">$Q$1000*Q983</f>
        <v>9.3656147652676207</v>
      </c>
      <c r="L696" s="152">
        <f>'[5]Monthly Prices'!$D336</f>
        <v>41.020568322326675</v>
      </c>
      <c r="Q696" s="154">
        <f t="shared" si="140"/>
        <v>4.8547567000505296</v>
      </c>
      <c r="U696" s="120" t="e">
        <f t="shared" si="144"/>
        <v>#DIV/0!</v>
      </c>
      <c r="V696" s="148" t="e">
        <f t="shared" ref="V696:V705" si="155">(Q$1001*Y983)+Q$1001</f>
        <v>#DIV/0!</v>
      </c>
      <c r="AF696" s="135"/>
    </row>
    <row r="697" spans="1:32">
      <c r="A697" s="99">
        <v>46692</v>
      </c>
      <c r="B697" s="155" t="e">
        <f t="shared" si="153"/>
        <v>#DIV/0!</v>
      </c>
      <c r="C697" s="120" t="e">
        <f t="shared" si="134"/>
        <v>#DIV/0!</v>
      </c>
      <c r="D697" s="155">
        <f t="shared" si="151"/>
        <v>32.634340652367783</v>
      </c>
      <c r="E697" s="155" t="e">
        <f t="shared" ref="E697:E707" si="156">$Q$1008*J984</f>
        <v>#DIV/0!</v>
      </c>
      <c r="F697" s="150" t="e">
        <f t="shared" si="122"/>
        <v>#DIV/0!</v>
      </c>
      <c r="G697" s="127" t="e">
        <f t="shared" si="126"/>
        <v>#DIV/0!</v>
      </c>
      <c r="J697" s="155">
        <f t="shared" si="154"/>
        <v>9.615606806127575</v>
      </c>
      <c r="L697" s="152">
        <f>'[5]Monthly Prices'!$D337</f>
        <v>35.927149902766509</v>
      </c>
      <c r="Q697" s="154">
        <f t="shared" si="140"/>
        <v>3.2928092503987259</v>
      </c>
      <c r="U697" s="120" t="e">
        <f t="shared" si="144"/>
        <v>#DIV/0!</v>
      </c>
      <c r="V697" s="148" t="e">
        <f t="shared" si="155"/>
        <v>#DIV/0!</v>
      </c>
      <c r="AF697" s="135"/>
    </row>
    <row r="698" spans="1:32">
      <c r="A698" s="99">
        <v>46722</v>
      </c>
      <c r="B698" s="155" t="e">
        <f t="shared" si="153"/>
        <v>#DIV/0!</v>
      </c>
      <c r="C698" s="120" t="e">
        <f t="shared" si="134"/>
        <v>#DIV/0!</v>
      </c>
      <c r="D698" s="155">
        <f t="shared" si="151"/>
        <v>36.774288146170747</v>
      </c>
      <c r="E698" s="155" t="e">
        <f t="shared" si="156"/>
        <v>#DIV/0!</v>
      </c>
      <c r="F698" s="150" t="e">
        <f t="shared" si="122"/>
        <v>#DIV/0!</v>
      </c>
      <c r="G698" s="127" t="e">
        <f t="shared" si="126"/>
        <v>#DIV/0!</v>
      </c>
      <c r="J698" s="155">
        <f t="shared" si="154"/>
        <v>9.7757489463113032</v>
      </c>
      <c r="L698" s="152">
        <f>'[5]Monthly Prices'!$D338</f>
        <v>41.65608146583353</v>
      </c>
      <c r="Q698" s="154">
        <f t="shared" si="140"/>
        <v>4.8817933196627834</v>
      </c>
      <c r="U698" s="120" t="e">
        <f t="shared" si="144"/>
        <v>#DIV/0!</v>
      </c>
      <c r="V698" s="148" t="e">
        <f t="shared" si="155"/>
        <v>#DIV/0!</v>
      </c>
      <c r="AF698" s="135"/>
    </row>
    <row r="699" spans="1:32">
      <c r="A699" s="99">
        <v>46753</v>
      </c>
      <c r="B699" s="155" t="e">
        <f t="shared" si="153"/>
        <v>#DIV/0!</v>
      </c>
      <c r="C699" s="120" t="e">
        <f t="shared" si="134"/>
        <v>#DIV/0!</v>
      </c>
      <c r="D699" s="155">
        <f t="shared" si="151"/>
        <v>42.280452962665976</v>
      </c>
      <c r="E699" s="155" t="e">
        <f t="shared" si="156"/>
        <v>#DIV/0!</v>
      </c>
      <c r="F699" s="150" t="e">
        <f t="shared" si="122"/>
        <v>#DIV/0!</v>
      </c>
      <c r="G699" s="127" t="e">
        <f t="shared" si="126"/>
        <v>#DIV/0!</v>
      </c>
      <c r="J699" s="155">
        <f t="shared" si="154"/>
        <v>9.8907377649210311</v>
      </c>
      <c r="L699" s="152">
        <f>'[5]Monthly Prices'!$D339</f>
        <v>42.238835095270225</v>
      </c>
      <c r="Q699" s="154">
        <f t="shared" si="140"/>
        <v>-4.1617867395750352E-2</v>
      </c>
      <c r="U699" s="120" t="e">
        <f t="shared" si="144"/>
        <v>#DIV/0!</v>
      </c>
      <c r="V699" s="148" t="e">
        <f t="shared" si="155"/>
        <v>#DIV/0!</v>
      </c>
      <c r="AF699" s="135"/>
    </row>
    <row r="700" spans="1:32">
      <c r="A700" s="99">
        <v>46784</v>
      </c>
      <c r="B700" s="155" t="e">
        <f t="shared" si="153"/>
        <v>#DIV/0!</v>
      </c>
      <c r="C700" s="120" t="e">
        <f t="shared" si="134"/>
        <v>#DIV/0!</v>
      </c>
      <c r="D700" s="155">
        <f t="shared" si="151"/>
        <v>37.453045705908949</v>
      </c>
      <c r="E700" s="155" t="e">
        <f t="shared" si="156"/>
        <v>#DIV/0!</v>
      </c>
      <c r="F700" s="150" t="e">
        <f t="shared" si="122"/>
        <v>#DIV/0!</v>
      </c>
      <c r="G700" s="127" t="e">
        <f t="shared" si="126"/>
        <v>#DIV/0!</v>
      </c>
      <c r="J700" s="155">
        <f t="shared" si="154"/>
        <v>9.1321897855517733</v>
      </c>
      <c r="L700" s="152">
        <f>'[5]Monthly Prices'!$D340</f>
        <v>39.697713516344116</v>
      </c>
      <c r="Q700" s="154">
        <f t="shared" si="140"/>
        <v>2.2446678104351676</v>
      </c>
      <c r="U700" s="120" t="e">
        <f t="shared" si="144"/>
        <v>#DIV/0!</v>
      </c>
      <c r="V700" s="148" t="e">
        <f t="shared" si="155"/>
        <v>#DIV/0!</v>
      </c>
      <c r="AF700" s="135"/>
    </row>
    <row r="701" spans="1:32">
      <c r="A701" s="99">
        <v>46813</v>
      </c>
      <c r="B701" s="155" t="e">
        <f t="shared" si="153"/>
        <v>#DIV/0!</v>
      </c>
      <c r="C701" s="120" t="e">
        <f t="shared" si="134"/>
        <v>#DIV/0!</v>
      </c>
      <c r="D701" s="155">
        <f t="shared" si="151"/>
        <v>37.512004353593291</v>
      </c>
      <c r="E701" s="155" t="e">
        <f t="shared" si="156"/>
        <v>#DIV/0!</v>
      </c>
      <c r="F701" s="150" t="e">
        <f t="shared" si="122"/>
        <v>#DIV/0!</v>
      </c>
      <c r="G701" s="127" t="e">
        <f t="shared" si="126"/>
        <v>#DIV/0!</v>
      </c>
      <c r="J701" s="155">
        <f t="shared" si="154"/>
        <v>9.2029111473390461</v>
      </c>
      <c r="L701" s="152">
        <f>'[5]Monthly Prices'!$D341</f>
        <v>40.614288594234424</v>
      </c>
      <c r="Q701" s="154">
        <f t="shared" si="140"/>
        <v>3.1022842406411328</v>
      </c>
      <c r="U701" s="120" t="e">
        <f t="shared" si="144"/>
        <v>#DIV/0!</v>
      </c>
      <c r="V701" s="148" t="e">
        <f t="shared" si="155"/>
        <v>#DIV/0!</v>
      </c>
      <c r="AF701" s="135"/>
    </row>
    <row r="702" spans="1:32">
      <c r="A702" s="99">
        <v>46844</v>
      </c>
      <c r="B702" s="155" t="e">
        <f t="shared" si="153"/>
        <v>#DIV/0!</v>
      </c>
      <c r="C702" s="120" t="e">
        <f t="shared" si="134"/>
        <v>#DIV/0!</v>
      </c>
      <c r="D702" s="155">
        <f t="shared" si="151"/>
        <v>36.274436127674406</v>
      </c>
      <c r="E702" s="155" t="e">
        <f t="shared" si="156"/>
        <v>#DIV/0!</v>
      </c>
      <c r="F702" s="150" t="e">
        <f t="shared" si="122"/>
        <v>#DIV/0!</v>
      </c>
      <c r="G702" s="127" t="e">
        <f t="shared" si="126"/>
        <v>#DIV/0!</v>
      </c>
      <c r="J702" s="155">
        <f t="shared" si="154"/>
        <v>9.4042608853636747</v>
      </c>
      <c r="L702" s="152">
        <f>'[5]Monthly Prices'!$D342</f>
        <v>39.699830659458399</v>
      </c>
      <c r="Q702" s="154">
        <f t="shared" si="140"/>
        <v>3.4253945317839936</v>
      </c>
      <c r="U702" s="120" t="e">
        <f t="shared" si="144"/>
        <v>#DIV/0!</v>
      </c>
      <c r="V702" s="148" t="e">
        <f t="shared" si="155"/>
        <v>#DIV/0!</v>
      </c>
      <c r="AF702" s="135"/>
    </row>
    <row r="703" spans="1:32">
      <c r="A703" s="99">
        <v>46874</v>
      </c>
      <c r="B703" s="155" t="e">
        <f t="shared" si="153"/>
        <v>#DIV/0!</v>
      </c>
      <c r="C703" s="120" t="e">
        <f t="shared" si="134"/>
        <v>#DIV/0!</v>
      </c>
      <c r="D703" s="155">
        <f t="shared" si="151"/>
        <v>41.611088163856074</v>
      </c>
      <c r="E703" s="155" t="e">
        <f t="shared" si="156"/>
        <v>#DIV/0!</v>
      </c>
      <c r="F703" s="150" t="e">
        <f t="shared" si="122"/>
        <v>#DIV/0!</v>
      </c>
      <c r="G703" s="127" t="e">
        <f t="shared" si="126"/>
        <v>#DIV/0!</v>
      </c>
      <c r="J703" s="155">
        <f t="shared" si="154"/>
        <v>9.558079564819197</v>
      </c>
      <c r="L703" s="152">
        <f>'[5]Monthly Prices'!$D343</f>
        <v>44.505025618401525</v>
      </c>
      <c r="Q703" s="154">
        <f t="shared" si="140"/>
        <v>2.8939374545454513</v>
      </c>
      <c r="U703" s="120" t="e">
        <f t="shared" si="144"/>
        <v>#DIV/0!</v>
      </c>
      <c r="V703" s="148" t="e">
        <f t="shared" si="155"/>
        <v>#DIV/0!</v>
      </c>
      <c r="AF703" s="135"/>
    </row>
    <row r="704" spans="1:32">
      <c r="A704" s="99">
        <v>46905</v>
      </c>
      <c r="B704" s="155" t="e">
        <f t="shared" si="153"/>
        <v>#DIV/0!</v>
      </c>
      <c r="C704" s="120" t="e">
        <f t="shared" si="134"/>
        <v>#DIV/0!</v>
      </c>
      <c r="D704" s="155">
        <f t="shared" si="151"/>
        <v>45.009635154033461</v>
      </c>
      <c r="E704" s="155" t="e">
        <f t="shared" si="156"/>
        <v>#DIV/0!</v>
      </c>
      <c r="F704" s="150" t="e">
        <f t="shared" si="122"/>
        <v>#DIV/0!</v>
      </c>
      <c r="G704" s="127" t="e">
        <f t="shared" si="126"/>
        <v>#DIV/0!</v>
      </c>
      <c r="J704" s="155">
        <f t="shared" si="154"/>
        <v>9.5310798230061096</v>
      </c>
      <c r="L704" s="152">
        <f>'[5]Monthly Prices'!$D344</f>
        <v>48.590822186159215</v>
      </c>
      <c r="Q704" s="154">
        <f t="shared" si="140"/>
        <v>3.5811870321257544</v>
      </c>
      <c r="U704" s="120" t="e">
        <f t="shared" si="144"/>
        <v>#DIV/0!</v>
      </c>
      <c r="V704" s="148" t="e">
        <f t="shared" si="155"/>
        <v>#DIV/0!</v>
      </c>
      <c r="AF704" s="135"/>
    </row>
    <row r="705" spans="1:32">
      <c r="A705" s="99">
        <v>46935</v>
      </c>
      <c r="B705" s="155" t="e">
        <f t="shared" si="153"/>
        <v>#DIV/0!</v>
      </c>
      <c r="C705" s="120" t="e">
        <f t="shared" si="134"/>
        <v>#DIV/0!</v>
      </c>
      <c r="D705" s="155">
        <f t="shared" si="151"/>
        <v>50.798439754066585</v>
      </c>
      <c r="E705" s="155" t="e">
        <f t="shared" si="156"/>
        <v>#DIV/0!</v>
      </c>
      <c r="F705" s="150" t="e">
        <f t="shared" si="122"/>
        <v>#DIV/0!</v>
      </c>
      <c r="G705" s="127" t="e">
        <f t="shared" si="126"/>
        <v>#DIV/0!</v>
      </c>
      <c r="J705" s="155">
        <f t="shared" si="154"/>
        <v>9.5590242757836847</v>
      </c>
      <c r="L705" s="152">
        <f>'[5]Monthly Prices'!$D345</f>
        <v>55.756664183955529</v>
      </c>
      <c r="Q705" s="154">
        <f t="shared" si="140"/>
        <v>4.9582244298889435</v>
      </c>
      <c r="U705" s="120" t="e">
        <f t="shared" si="144"/>
        <v>#DIV/0!</v>
      </c>
      <c r="V705" s="148" t="e">
        <f t="shared" si="155"/>
        <v>#DIV/0!</v>
      </c>
      <c r="AF705" s="135"/>
    </row>
    <row r="706" spans="1:32">
      <c r="A706" s="99">
        <v>46966</v>
      </c>
      <c r="B706" s="155" t="e">
        <f t="shared" si="153"/>
        <v>#DIV/0!</v>
      </c>
      <c r="C706" s="120" t="e">
        <f t="shared" si="134"/>
        <v>#DIV/0!</v>
      </c>
      <c r="D706" s="155">
        <f t="shared" si="151"/>
        <v>48.033689196123959</v>
      </c>
      <c r="E706" s="155" t="e">
        <f t="shared" si="156"/>
        <v>#DIV/0!</v>
      </c>
      <c r="F706" s="150" t="e">
        <f t="shared" si="122"/>
        <v>#DIV/0!</v>
      </c>
      <c r="G706" s="127" t="e">
        <f t="shared" si="126"/>
        <v>#DIV/0!</v>
      </c>
      <c r="J706" s="155">
        <f t="shared" si="154"/>
        <v>9.2489723722907868</v>
      </c>
      <c r="L706" s="152">
        <f>'[5]Monthly Prices'!$D346</f>
        <v>53.343749344439395</v>
      </c>
      <c r="Q706" s="154">
        <f t="shared" si="140"/>
        <v>5.3100601483154364</v>
      </c>
      <c r="U706" s="120" t="e">
        <f t="shared" si="144"/>
        <v>#DIV/0!</v>
      </c>
      <c r="V706" s="148" t="e">
        <f>(R$1001*Y982)+R$1001</f>
        <v>#DIV/0!</v>
      </c>
      <c r="AF706" s="135"/>
    </row>
    <row r="707" spans="1:32">
      <c r="A707" s="99">
        <v>46997</v>
      </c>
      <c r="B707" s="155" t="e">
        <f>R$999*G982</f>
        <v>#DIV/0!</v>
      </c>
      <c r="C707" s="120" t="e">
        <f t="shared" si="134"/>
        <v>#DIV/0!</v>
      </c>
      <c r="D707" s="155">
        <f t="shared" si="151"/>
        <v>38.280073083409334</v>
      </c>
      <c r="E707" s="155" t="e">
        <f t="shared" si="156"/>
        <v>#DIV/0!</v>
      </c>
      <c r="F707" s="150" t="e">
        <f t="shared" ref="F707:F770" si="157">D707/100*11/(B707+E707)</f>
        <v>#DIV/0!</v>
      </c>
      <c r="G707" s="127" t="e">
        <f t="shared" si="126"/>
        <v>#DIV/0!</v>
      </c>
      <c r="J707" s="155">
        <f>$R$1000*Q982</f>
        <v>10.480690462039284</v>
      </c>
      <c r="L707" s="152">
        <f>'[5]Monthly Prices'!$D347</f>
        <v>42.235875944197659</v>
      </c>
      <c r="Q707" s="154">
        <f t="shared" si="140"/>
        <v>3.9558028607883244</v>
      </c>
      <c r="U707" s="120" t="e">
        <f t="shared" si="144"/>
        <v>#DIV/0!</v>
      </c>
      <c r="V707" s="148" t="e">
        <f t="shared" ref="V707:V718" si="158">(R$1001*Y983)+R$1001</f>
        <v>#DIV/0!</v>
      </c>
      <c r="AF707" s="135"/>
    </row>
    <row r="708" spans="1:32">
      <c r="A708" s="99">
        <v>47027</v>
      </c>
      <c r="B708" s="155" t="e">
        <f t="shared" ref="B708:B718" si="159">R$999*G983</f>
        <v>#DIV/0!</v>
      </c>
      <c r="C708" s="120" t="e">
        <f t="shared" si="134"/>
        <v>#DIV/0!</v>
      </c>
      <c r="D708" s="155">
        <f t="shared" si="151"/>
        <v>39.127550029910559</v>
      </c>
      <c r="E708" s="155" t="e">
        <f t="shared" ref="E708:E719" si="160">$R$1008*J983</f>
        <v>#DIV/0!</v>
      </c>
      <c r="F708" s="150" t="e">
        <f t="shared" si="157"/>
        <v>#DIV/0!</v>
      </c>
      <c r="G708" s="127" t="e">
        <f t="shared" si="126"/>
        <v>#DIV/0!</v>
      </c>
      <c r="J708" s="155">
        <f t="shared" ref="J708:J718" si="161">$R$1000*Q983</f>
        <v>9.9967787580303291</v>
      </c>
      <c r="L708" s="152">
        <f>'[5]Monthly Prices'!$D348</f>
        <v>41.89002624645984</v>
      </c>
      <c r="Q708" s="154">
        <f t="shared" si="140"/>
        <v>2.7624762165492811</v>
      </c>
      <c r="U708" s="120" t="e">
        <f t="shared" si="144"/>
        <v>#DIV/0!</v>
      </c>
      <c r="V708" s="148" t="e">
        <f t="shared" si="158"/>
        <v>#DIV/0!</v>
      </c>
      <c r="AF708" s="135"/>
    </row>
    <row r="709" spans="1:32">
      <c r="A709" s="99">
        <v>47058</v>
      </c>
      <c r="B709" s="155" t="e">
        <f t="shared" si="159"/>
        <v>#DIV/0!</v>
      </c>
      <c r="C709" s="120" t="e">
        <f t="shared" si="134"/>
        <v>#DIV/0!</v>
      </c>
      <c r="D709" s="155">
        <f t="shared" si="151"/>
        <v>32.558011943560828</v>
      </c>
      <c r="E709" s="155" t="e">
        <f t="shared" si="160"/>
        <v>#DIV/0!</v>
      </c>
      <c r="F709" s="150" t="e">
        <f t="shared" si="157"/>
        <v>#DIV/0!</v>
      </c>
      <c r="G709" s="127" t="e">
        <f t="shared" si="126"/>
        <v>#DIV/0!</v>
      </c>
      <c r="J709" s="155">
        <f t="shared" si="161"/>
        <v>10.26361816861696</v>
      </c>
      <c r="L709" s="152">
        <f>'[5]Monthly Prices'!$D349</f>
        <v>35.66517018006116</v>
      </c>
      <c r="Q709" s="154">
        <f t="shared" si="140"/>
        <v>3.1071582365003323</v>
      </c>
      <c r="U709" s="120" t="e">
        <f t="shared" si="144"/>
        <v>#DIV/0!</v>
      </c>
      <c r="V709" s="148" t="e">
        <f t="shared" si="158"/>
        <v>#DIV/0!</v>
      </c>
      <c r="AF709" s="135"/>
    </row>
    <row r="710" spans="1:32">
      <c r="A710" s="99">
        <v>47088</v>
      </c>
      <c r="B710" s="155" t="e">
        <f t="shared" si="159"/>
        <v>#DIV/0!</v>
      </c>
      <c r="C710" s="120" t="e">
        <f t="shared" si="134"/>
        <v>#DIV/0!</v>
      </c>
      <c r="D710" s="155">
        <f t="shared" si="151"/>
        <v>34.134669551930507</v>
      </c>
      <c r="E710" s="155" t="e">
        <f t="shared" si="160"/>
        <v>#DIV/0!</v>
      </c>
      <c r="F710" s="150" t="e">
        <f t="shared" si="157"/>
        <v>#DIV/0!</v>
      </c>
      <c r="G710" s="127" t="e">
        <f t="shared" si="126"/>
        <v>#DIV/0!</v>
      </c>
      <c r="J710" s="155">
        <f t="shared" si="161"/>
        <v>10.434552547766437</v>
      </c>
      <c r="L710" s="152">
        <f>'[5]Monthly Prices'!$D350</f>
        <v>36.295223945186365</v>
      </c>
      <c r="Q710" s="154">
        <f t="shared" si="140"/>
        <v>2.1605543932558575</v>
      </c>
      <c r="U710" s="120" t="e">
        <f t="shared" si="144"/>
        <v>#DIV/0!</v>
      </c>
      <c r="V710" s="148" t="e">
        <f t="shared" si="158"/>
        <v>#DIV/0!</v>
      </c>
      <c r="AF710" s="135"/>
    </row>
    <row r="711" spans="1:32">
      <c r="A711" s="99">
        <v>47119</v>
      </c>
      <c r="B711" s="155" t="e">
        <f t="shared" si="159"/>
        <v>#DIV/0!</v>
      </c>
      <c r="C711" s="120" t="e">
        <f t="shared" si="134"/>
        <v>#DIV/0!</v>
      </c>
      <c r="D711" s="155">
        <f t="shared" si="151"/>
        <v>34.447682735299878</v>
      </c>
      <c r="E711" s="155" t="e">
        <f t="shared" si="160"/>
        <v>#DIV/0!</v>
      </c>
      <c r="F711" s="150" t="e">
        <f t="shared" si="157"/>
        <v>#DIV/0!</v>
      </c>
      <c r="G711" s="127" t="e">
        <f t="shared" si="126"/>
        <v>#DIV/0!</v>
      </c>
      <c r="J711" s="155">
        <f t="shared" si="161"/>
        <v>10.557290649652893</v>
      </c>
      <c r="L711" s="152">
        <f>'[5]Monthly Prices'!$D351</f>
        <v>33.937774542089585</v>
      </c>
      <c r="Q711" s="154">
        <f t="shared" si="140"/>
        <v>-0.50990819321029335</v>
      </c>
      <c r="U711" s="120" t="e">
        <f t="shared" si="144"/>
        <v>#DIV/0!</v>
      </c>
      <c r="V711" s="148" t="e">
        <f t="shared" si="158"/>
        <v>#DIV/0!</v>
      </c>
      <c r="AF711" s="135"/>
    </row>
    <row r="712" spans="1:32">
      <c r="A712" s="99">
        <v>47150</v>
      </c>
      <c r="B712" s="155" t="e">
        <f t="shared" si="159"/>
        <v>#DIV/0!</v>
      </c>
      <c r="C712" s="120" t="e">
        <f t="shared" si="134"/>
        <v>#DIV/0!</v>
      </c>
      <c r="D712" s="155">
        <f t="shared" si="151"/>
        <v>34.745477225641935</v>
      </c>
      <c r="E712" s="155" t="e">
        <f t="shared" si="160"/>
        <v>#DIV/0!</v>
      </c>
      <c r="F712" s="150" t="e">
        <f t="shared" si="157"/>
        <v>#DIV/0!</v>
      </c>
      <c r="G712" s="127" t="e">
        <f t="shared" si="126"/>
        <v>#DIV/0!</v>
      </c>
      <c r="J712" s="155">
        <f t="shared" si="161"/>
        <v>9.747622889750243</v>
      </c>
      <c r="L712" s="152">
        <f>'[5]Monthly Prices'!$D352</f>
        <v>37.519234509761311</v>
      </c>
      <c r="Q712" s="154">
        <f t="shared" si="140"/>
        <v>2.7737572841193767</v>
      </c>
      <c r="U712" s="120" t="e">
        <f t="shared" si="144"/>
        <v>#DIV/0!</v>
      </c>
      <c r="V712" s="148" t="e">
        <f t="shared" si="158"/>
        <v>#DIV/0!</v>
      </c>
      <c r="AF712" s="135"/>
    </row>
    <row r="713" spans="1:32">
      <c r="A713" s="99">
        <v>47178</v>
      </c>
      <c r="B713" s="155" t="e">
        <f t="shared" si="159"/>
        <v>#DIV/0!</v>
      </c>
      <c r="C713" s="120" t="e">
        <f t="shared" si="134"/>
        <v>#DIV/0!</v>
      </c>
      <c r="D713" s="155">
        <f t="shared" si="151"/>
        <v>41.147137125924438</v>
      </c>
      <c r="E713" s="155" t="e">
        <f t="shared" si="160"/>
        <v>#DIV/0!</v>
      </c>
      <c r="F713" s="150" t="e">
        <f t="shared" si="157"/>
        <v>#DIV/0!</v>
      </c>
      <c r="G713" s="127" t="e">
        <f t="shared" si="126"/>
        <v>#DIV/0!</v>
      </c>
      <c r="J713" s="155">
        <f t="shared" si="161"/>
        <v>9.8231102789898532</v>
      </c>
      <c r="L713" s="152">
        <f>'[5]Monthly Prices'!$D353</f>
        <v>44.820603975261221</v>
      </c>
      <c r="Q713" s="154">
        <f t="shared" si="140"/>
        <v>3.6734668493367835</v>
      </c>
      <c r="U713" s="120" t="e">
        <f t="shared" si="144"/>
        <v>#DIV/0!</v>
      </c>
      <c r="V713" s="148" t="e">
        <f t="shared" si="158"/>
        <v>#DIV/0!</v>
      </c>
      <c r="AF713" s="135"/>
    </row>
    <row r="714" spans="1:32">
      <c r="A714" s="99">
        <v>47209</v>
      </c>
      <c r="B714" s="155" t="e">
        <f t="shared" si="159"/>
        <v>#DIV/0!</v>
      </c>
      <c r="C714" s="120" t="e">
        <f t="shared" si="134"/>
        <v>#DIV/0!</v>
      </c>
      <c r="D714" s="155">
        <f t="shared" si="151"/>
        <v>45.927583026348834</v>
      </c>
      <c r="E714" s="155" t="e">
        <f t="shared" si="160"/>
        <v>#DIV/0!</v>
      </c>
      <c r="F714" s="150" t="e">
        <f t="shared" si="157"/>
        <v>#DIV/0!</v>
      </c>
      <c r="G714" s="127" t="e">
        <f t="shared" si="126"/>
        <v>#DIV/0!</v>
      </c>
      <c r="J714" s="155">
        <f t="shared" si="161"/>
        <v>10.03802930293735</v>
      </c>
      <c r="L714" s="152">
        <f>'[5]Monthly Prices'!$D354</f>
        <v>50.25288150891889</v>
      </c>
      <c r="Q714" s="154">
        <f t="shared" si="140"/>
        <v>4.3252984825700551</v>
      </c>
      <c r="U714" s="120" t="e">
        <f t="shared" si="144"/>
        <v>#DIV/0!</v>
      </c>
      <c r="V714" s="148" t="e">
        <f t="shared" si="158"/>
        <v>#DIV/0!</v>
      </c>
      <c r="AF714" s="135"/>
    </row>
    <row r="715" spans="1:32">
      <c r="A715" s="99">
        <v>47239</v>
      </c>
      <c r="B715" s="155" t="e">
        <f t="shared" si="159"/>
        <v>#DIV/0!</v>
      </c>
      <c r="C715" s="120" t="e">
        <f t="shared" si="134"/>
        <v>#DIV/0!</v>
      </c>
      <c r="D715" s="155">
        <f t="shared" si="151"/>
        <v>50.3169965418274</v>
      </c>
      <c r="E715" s="155" t="e">
        <f t="shared" si="160"/>
        <v>#DIV/0!</v>
      </c>
      <c r="F715" s="150" t="e">
        <f t="shared" si="157"/>
        <v>#DIV/0!</v>
      </c>
      <c r="G715" s="127" t="e">
        <f t="shared" si="126"/>
        <v>#DIV/0!</v>
      </c>
      <c r="J715" s="155">
        <f t="shared" si="161"/>
        <v>10.202214073068166</v>
      </c>
      <c r="L715" s="152">
        <f>'[5]Monthly Prices'!$D355</f>
        <v>54.010352267505226</v>
      </c>
      <c r="Q715" s="154">
        <f t="shared" si="140"/>
        <v>3.6933557256778258</v>
      </c>
      <c r="U715" s="120" t="e">
        <f t="shared" si="144"/>
        <v>#DIV/0!</v>
      </c>
      <c r="V715" s="148" t="e">
        <f t="shared" si="158"/>
        <v>#DIV/0!</v>
      </c>
      <c r="AF715" s="135"/>
    </row>
    <row r="716" spans="1:32">
      <c r="A716" s="99">
        <v>47270</v>
      </c>
      <c r="B716" s="155" t="e">
        <f t="shared" si="159"/>
        <v>#DIV/0!</v>
      </c>
      <c r="C716" s="120" t="e">
        <f t="shared" si="134"/>
        <v>#DIV/0!</v>
      </c>
      <c r="D716" s="155">
        <f t="shared" si="151"/>
        <v>52.664822629940282</v>
      </c>
      <c r="E716" s="155" t="e">
        <f t="shared" si="160"/>
        <v>#DIV/0!</v>
      </c>
      <c r="F716" s="150" t="e">
        <f t="shared" si="157"/>
        <v>#DIV/0!</v>
      </c>
      <c r="G716" s="127" t="e">
        <f t="shared" si="126"/>
        <v>#DIV/0!</v>
      </c>
      <c r="J716" s="155">
        <f t="shared" si="161"/>
        <v>10.173394774795261</v>
      </c>
      <c r="L716" s="152">
        <f>'[5]Monthly Prices'!$D356</f>
        <v>56.278082848668916</v>
      </c>
      <c r="Q716" s="154">
        <f t="shared" si="140"/>
        <v>3.6132602187286338</v>
      </c>
      <c r="U716" s="120" t="e">
        <f t="shared" si="144"/>
        <v>#DIV/0!</v>
      </c>
      <c r="V716" s="148" t="e">
        <f t="shared" si="158"/>
        <v>#DIV/0!</v>
      </c>
      <c r="AF716" s="135"/>
    </row>
    <row r="717" spans="1:32">
      <c r="A717" s="99">
        <v>47300</v>
      </c>
      <c r="B717" s="155" t="e">
        <f t="shared" si="159"/>
        <v>#DIV/0!</v>
      </c>
      <c r="C717" s="120" t="e">
        <f t="shared" si="134"/>
        <v>#DIV/0!</v>
      </c>
      <c r="D717" s="155">
        <f t="shared" si="151"/>
        <v>53.357804376927163</v>
      </c>
      <c r="E717" s="155" t="e">
        <f t="shared" si="160"/>
        <v>#DIV/0!</v>
      </c>
      <c r="F717" s="150" t="e">
        <f t="shared" si="157"/>
        <v>#DIV/0!</v>
      </c>
      <c r="G717" s="127" t="e">
        <f t="shared" ref="G717:G780" si="162">F717-F716</f>
        <v>#DIV/0!</v>
      </c>
      <c r="J717" s="155">
        <f t="shared" si="161"/>
        <v>10.203222449639162</v>
      </c>
      <c r="L717" s="152">
        <f>'[5]Monthly Prices'!$D357</f>
        <v>58.719045990050866</v>
      </c>
      <c r="Q717" s="154">
        <f t="shared" si="140"/>
        <v>5.3612416131237026</v>
      </c>
      <c r="U717" s="120" t="e">
        <f t="shared" si="144"/>
        <v>#DIV/0!</v>
      </c>
      <c r="V717" s="148" t="e">
        <f t="shared" si="158"/>
        <v>#DIV/0!</v>
      </c>
      <c r="AF717" s="135"/>
    </row>
    <row r="718" spans="1:32">
      <c r="A718" s="99">
        <v>47331</v>
      </c>
      <c r="B718" s="155" t="e">
        <f t="shared" si="159"/>
        <v>#DIV/0!</v>
      </c>
      <c r="C718" s="120" t="e">
        <f t="shared" si="134"/>
        <v>#DIV/0!</v>
      </c>
      <c r="D718" s="155">
        <f t="shared" si="151"/>
        <v>45.59955135887639</v>
      </c>
      <c r="E718" s="155" t="e">
        <f t="shared" si="160"/>
        <v>#DIV/0!</v>
      </c>
      <c r="F718" s="150" t="e">
        <f t="shared" si="157"/>
        <v>#DIV/0!</v>
      </c>
      <c r="G718" s="127" t="e">
        <f t="shared" si="162"/>
        <v>#DIV/0!</v>
      </c>
      <c r="J718" s="155">
        <f t="shared" si="161"/>
        <v>9.87227564471406</v>
      </c>
      <c r="L718" s="152">
        <f>'[5]Monthly Prices'!$D358</f>
        <v>50.925662499573967</v>
      </c>
      <c r="Q718" s="154">
        <f t="shared" si="140"/>
        <v>5.3261111406975772</v>
      </c>
      <c r="U718" s="120" t="e">
        <f t="shared" si="144"/>
        <v>#DIV/0!</v>
      </c>
      <c r="V718" s="148">
        <f t="shared" si="158"/>
        <v>0.14940000000000001</v>
      </c>
      <c r="AF718" s="135"/>
    </row>
    <row r="719" spans="1:32">
      <c r="A719" s="99">
        <v>47362</v>
      </c>
      <c r="B719" s="155" t="e">
        <f>S$999*G982</f>
        <v>#DIV/0!</v>
      </c>
      <c r="C719" s="120" t="e">
        <f t="shared" si="134"/>
        <v>#DIV/0!</v>
      </c>
      <c r="D719" s="155">
        <f t="shared" si="151"/>
        <v>35.280589275026216</v>
      </c>
      <c r="E719" s="155" t="e">
        <f t="shared" si="160"/>
        <v>#DIV/0!</v>
      </c>
      <c r="F719" s="150" t="e">
        <f t="shared" si="157"/>
        <v>#DIV/0!</v>
      </c>
      <c r="G719" s="127" t="e">
        <f t="shared" si="162"/>
        <v>#DIV/0!</v>
      </c>
      <c r="J719" s="155">
        <f>$S$1000*Q982</f>
        <v>10.887964223860504</v>
      </c>
      <c r="L719" s="152">
        <f>'[5]Monthly Prices'!$D359</f>
        <v>39.012938285734798</v>
      </c>
      <c r="Q719" s="154">
        <f t="shared" si="140"/>
        <v>3.7323490107085817</v>
      </c>
      <c r="U719" s="120" t="e">
        <f t="shared" si="144"/>
        <v>#DIV/0!</v>
      </c>
      <c r="V719" s="148" t="e">
        <f>(S$1001*Y982)+S$1001</f>
        <v>#DIV/0!</v>
      </c>
      <c r="AF719" s="135"/>
    </row>
    <row r="720" spans="1:32">
      <c r="A720" s="99">
        <v>47392</v>
      </c>
      <c r="B720" s="155" t="e">
        <f t="shared" ref="B720:B730" si="163">S$999*G983</f>
        <v>#DIV/0!</v>
      </c>
      <c r="C720" s="120" t="e">
        <f t="shared" si="134"/>
        <v>#DIV/0!</v>
      </c>
      <c r="D720" s="155">
        <f t="shared" si="151"/>
        <v>37.595635044971004</v>
      </c>
      <c r="E720" s="155" t="e">
        <f t="shared" ref="E720:E731" si="164">$S$1008*J983</f>
        <v>#DIV/0!</v>
      </c>
      <c r="F720" s="150" t="e">
        <f t="shared" si="157"/>
        <v>#DIV/0!</v>
      </c>
      <c r="G720" s="127" t="e">
        <f t="shared" si="162"/>
        <v>#DIV/0!</v>
      </c>
      <c r="J720" s="155">
        <f t="shared" ref="J720:J730" si="165">$S$1000*Q983</f>
        <v>10.385247982040335</v>
      </c>
      <c r="L720" s="152">
        <f>'[5]Monthly Prices'!$D360</f>
        <v>40.222302778653038</v>
      </c>
      <c r="Q720" s="154">
        <f t="shared" si="140"/>
        <v>2.6266677336820337</v>
      </c>
      <c r="U720" s="120" t="e">
        <f t="shared" si="144"/>
        <v>#DIV/0!</v>
      </c>
      <c r="V720" s="148" t="e">
        <f t="shared" ref="V720:V730" si="166">(S$1001*Y983)+S$1001</f>
        <v>#DIV/0!</v>
      </c>
      <c r="AF720" s="135"/>
    </row>
    <row r="721" spans="1:32" ht="14.1" customHeight="1">
      <c r="A721" s="99">
        <v>47423</v>
      </c>
      <c r="B721" s="155" t="e">
        <f t="shared" si="163"/>
        <v>#DIV/0!</v>
      </c>
      <c r="C721" s="120" t="e">
        <f t="shared" si="134"/>
        <v>#DIV/0!</v>
      </c>
      <c r="D721" s="155">
        <f t="shared" si="151"/>
        <v>31.457233863355039</v>
      </c>
      <c r="E721" s="155" t="e">
        <f t="shared" si="164"/>
        <v>#DIV/0!</v>
      </c>
      <c r="F721" s="150" t="e">
        <f t="shared" si="157"/>
        <v>#DIV/0!</v>
      </c>
      <c r="G721" s="127" t="e">
        <f t="shared" si="162"/>
        <v>#DIV/0!</v>
      </c>
      <c r="J721" s="155">
        <f t="shared" si="165"/>
        <v>10.662456622683457</v>
      </c>
      <c r="L721" s="152">
        <f>'[5]Monthly Prices'!$D361</f>
        <v>34.748211202156583</v>
      </c>
      <c r="Q721" s="154">
        <f t="shared" si="140"/>
        <v>3.2909773388015431</v>
      </c>
      <c r="U721" s="120" t="e">
        <f t="shared" si="144"/>
        <v>#DIV/0!</v>
      </c>
      <c r="V721" s="148" t="e">
        <f t="shared" si="166"/>
        <v>#DIV/0!</v>
      </c>
      <c r="AF721" s="135"/>
    </row>
    <row r="722" spans="1:32" ht="14.1" customHeight="1">
      <c r="A722" s="99">
        <v>47453</v>
      </c>
      <c r="B722" s="155" t="e">
        <f t="shared" si="163"/>
        <v>#DIV/0!</v>
      </c>
      <c r="C722" s="120" t="e">
        <f t="shared" si="134"/>
        <v>#DIV/0!</v>
      </c>
      <c r="D722" s="155">
        <f t="shared" si="151"/>
        <v>36.249587436233604</v>
      </c>
      <c r="E722" s="155" t="e">
        <f t="shared" si="164"/>
        <v>#DIV/0!</v>
      </c>
      <c r="F722" s="150" t="e">
        <f t="shared" si="157"/>
        <v>#DIV/0!</v>
      </c>
      <c r="G722" s="127" t="e">
        <f t="shared" si="162"/>
        <v>#DIV/0!</v>
      </c>
      <c r="J722" s="155">
        <f t="shared" si="165"/>
        <v>10.840033416077773</v>
      </c>
      <c r="L722" s="152">
        <f>'[5]Monthly Prices'!$D362</f>
        <v>38.221021260794998</v>
      </c>
      <c r="Q722" s="154">
        <f t="shared" si="140"/>
        <v>1.9714338245613945</v>
      </c>
      <c r="U722" s="120" t="e">
        <f t="shared" si="144"/>
        <v>#DIV/0!</v>
      </c>
      <c r="V722" s="148" t="e">
        <f t="shared" si="166"/>
        <v>#DIV/0!</v>
      </c>
      <c r="AF722" s="135"/>
    </row>
    <row r="723" spans="1:32" ht="14.1" customHeight="1">
      <c r="A723" s="99">
        <v>47484</v>
      </c>
      <c r="B723" s="155" t="e">
        <f t="shared" si="163"/>
        <v>#DIV/0!</v>
      </c>
      <c r="C723" s="120" t="e">
        <f t="shared" si="134"/>
        <v>#DIV/0!</v>
      </c>
      <c r="D723" s="155">
        <f t="shared" si="151"/>
        <v>42.243041169488109</v>
      </c>
      <c r="E723" s="155" t="e">
        <f t="shared" si="164"/>
        <v>#DIV/0!</v>
      </c>
      <c r="F723" s="150" t="e">
        <f t="shared" si="157"/>
        <v>#DIV/0!</v>
      </c>
      <c r="G723" s="127" t="e">
        <f t="shared" si="162"/>
        <v>#DIV/0!</v>
      </c>
      <c r="J723" s="155">
        <f t="shared" si="165"/>
        <v>10.967541051866137</v>
      </c>
      <c r="L723" s="152">
        <f>'[5]Monthly Prices'!$D363</f>
        <v>41.919793505783375</v>
      </c>
      <c r="Q723" s="154">
        <f t="shared" si="140"/>
        <v>-0.32324766370473412</v>
      </c>
      <c r="U723" s="120" t="e">
        <f t="shared" si="144"/>
        <v>#DIV/0!</v>
      </c>
      <c r="V723" s="148" t="e">
        <f t="shared" si="166"/>
        <v>#DIV/0!</v>
      </c>
      <c r="AF723" s="135"/>
    </row>
    <row r="724" spans="1:32" ht="14.1" customHeight="1">
      <c r="A724" s="99">
        <v>47515</v>
      </c>
      <c r="B724" s="155" t="e">
        <f t="shared" si="163"/>
        <v>#DIV/0!</v>
      </c>
      <c r="C724" s="120" t="e">
        <f t="shared" si="134"/>
        <v>#DIV/0!</v>
      </c>
      <c r="D724" s="155">
        <f t="shared" si="151"/>
        <v>40.104494825324451</v>
      </c>
      <c r="E724" s="155" t="e">
        <f t="shared" si="164"/>
        <v>#DIV/0!</v>
      </c>
      <c r="F724" s="150" t="e">
        <f t="shared" si="157"/>
        <v>#DIV/0!</v>
      </c>
      <c r="G724" s="127" t="e">
        <f t="shared" si="162"/>
        <v>#DIV/0!</v>
      </c>
      <c r="J724" s="155">
        <f t="shared" si="165"/>
        <v>10.12641005625442</v>
      </c>
      <c r="L724" s="152">
        <f>'[5]Monthly Prices'!$D364</f>
        <v>42.92118696840943</v>
      </c>
      <c r="Q724" s="154">
        <f t="shared" si="140"/>
        <v>2.8166921430849783</v>
      </c>
      <c r="U724" s="120" t="e">
        <f t="shared" si="144"/>
        <v>#DIV/0!</v>
      </c>
      <c r="V724" s="148" t="e">
        <f t="shared" si="166"/>
        <v>#DIV/0!</v>
      </c>
      <c r="AF724" s="135"/>
    </row>
    <row r="725" spans="1:32" ht="14.1" customHeight="1">
      <c r="A725" s="99">
        <v>47543</v>
      </c>
      <c r="B725" s="155" t="e">
        <f t="shared" si="163"/>
        <v>#DIV/0!</v>
      </c>
      <c r="C725" s="120" t="e">
        <f t="shared" si="134"/>
        <v>#DIV/0!</v>
      </c>
      <c r="D725" s="155">
        <f t="shared" si="151"/>
        <v>46.810104725984871</v>
      </c>
      <c r="E725" s="155" t="e">
        <f t="shared" si="164"/>
        <v>#DIV/0!</v>
      </c>
      <c r="F725" s="150" t="e">
        <f t="shared" si="157"/>
        <v>#DIV/0!</v>
      </c>
      <c r="G725" s="127" t="e">
        <f t="shared" si="162"/>
        <v>#DIV/0!</v>
      </c>
      <c r="J725" s="155">
        <f t="shared" si="165"/>
        <v>10.204830843164444</v>
      </c>
      <c r="L725" s="152">
        <f>'[5]Monthly Prices'!$D365</f>
        <v>50.250853857628208</v>
      </c>
      <c r="Q725" s="154">
        <f t="shared" si="140"/>
        <v>3.4407491316433365</v>
      </c>
      <c r="U725" s="120" t="e">
        <f t="shared" si="144"/>
        <v>#DIV/0!</v>
      </c>
      <c r="V725" s="148" t="e">
        <f t="shared" si="166"/>
        <v>#DIV/0!</v>
      </c>
      <c r="AF725" s="135"/>
    </row>
    <row r="726" spans="1:32" ht="14.1" customHeight="1">
      <c r="A726" s="99">
        <v>47574</v>
      </c>
      <c r="B726" s="155" t="e">
        <f t="shared" si="163"/>
        <v>#DIV/0!</v>
      </c>
      <c r="C726" s="120" t="e">
        <f t="shared" si="134"/>
        <v>#DIV/0!</v>
      </c>
      <c r="D726" s="155">
        <f t="shared" si="151"/>
        <v>51.497813173709019</v>
      </c>
      <c r="E726" s="155" t="e">
        <f t="shared" si="164"/>
        <v>#DIV/0!</v>
      </c>
      <c r="F726" s="150" t="e">
        <f t="shared" si="157"/>
        <v>#DIV/0!</v>
      </c>
      <c r="G726" s="127" t="e">
        <f t="shared" si="162"/>
        <v>#DIV/0!</v>
      </c>
      <c r="J726" s="155">
        <f t="shared" si="165"/>
        <v>10.428101500020771</v>
      </c>
      <c r="L726" s="152">
        <f>'[5]Monthly Prices'!$D366</f>
        <v>55.449453802553855</v>
      </c>
      <c r="Q726" s="154">
        <f t="shared" si="140"/>
        <v>3.9516406288448351</v>
      </c>
      <c r="U726" s="120" t="e">
        <f t="shared" si="144"/>
        <v>#DIV/0!</v>
      </c>
      <c r="V726" s="148" t="e">
        <f t="shared" si="166"/>
        <v>#DIV/0!</v>
      </c>
      <c r="AF726" s="135"/>
    </row>
    <row r="727" spans="1:32" ht="14.1" customHeight="1">
      <c r="A727" s="99">
        <v>47604</v>
      </c>
      <c r="B727" s="155" t="e">
        <f t="shared" si="163"/>
        <v>#DIV/0!</v>
      </c>
      <c r="C727" s="120" t="e">
        <f t="shared" si="134"/>
        <v>#DIV/0!</v>
      </c>
      <c r="D727" s="155">
        <f t="shared" si="151"/>
        <v>49.226003995251261</v>
      </c>
      <c r="E727" s="155" t="e">
        <f t="shared" si="164"/>
        <v>#DIV/0!</v>
      </c>
      <c r="F727" s="150" t="e">
        <f t="shared" si="157"/>
        <v>#DIV/0!</v>
      </c>
      <c r="G727" s="127" t="e">
        <f t="shared" si="162"/>
        <v>#DIV/0!</v>
      </c>
      <c r="J727" s="155">
        <f t="shared" si="165"/>
        <v>10.598666398369964</v>
      </c>
      <c r="L727" s="152">
        <f>'[5]Monthly Prices'!$D367</f>
        <v>52.88448132092909</v>
      </c>
      <c r="Q727" s="154">
        <f t="shared" si="140"/>
        <v>3.6584773256778291</v>
      </c>
      <c r="U727" s="120" t="e">
        <f t="shared" si="144"/>
        <v>#DIV/0!</v>
      </c>
      <c r="V727" s="148" t="e">
        <f t="shared" si="166"/>
        <v>#DIV/0!</v>
      </c>
      <c r="AF727" s="135"/>
    </row>
    <row r="728" spans="1:32" ht="14.1" customHeight="1">
      <c r="A728" s="99">
        <v>47635</v>
      </c>
      <c r="B728" s="155" t="e">
        <f t="shared" si="163"/>
        <v>#DIV/0!</v>
      </c>
      <c r="C728" s="120" t="e">
        <f t="shared" si="134"/>
        <v>#DIV/0!</v>
      </c>
      <c r="D728" s="155">
        <f t="shared" si="151"/>
        <v>52.276934116489223</v>
      </c>
      <c r="E728" s="155" t="e">
        <f t="shared" si="164"/>
        <v>#DIV/0!</v>
      </c>
      <c r="F728" s="150" t="e">
        <f t="shared" si="157"/>
        <v>#DIV/0!</v>
      </c>
      <c r="G728" s="127" t="e">
        <f t="shared" si="162"/>
        <v>#DIV/0!</v>
      </c>
      <c r="J728" s="155">
        <f t="shared" si="165"/>
        <v>10.568727198305936</v>
      </c>
      <c r="L728" s="152">
        <f>'[5]Monthly Prices'!$D368</f>
        <v>56.003366452602229</v>
      </c>
      <c r="Q728" s="154">
        <f t="shared" si="140"/>
        <v>3.7264323361130067</v>
      </c>
      <c r="U728" s="120" t="e">
        <f t="shared" si="144"/>
        <v>#DIV/0!</v>
      </c>
      <c r="V728" s="148" t="e">
        <f t="shared" si="166"/>
        <v>#DIV/0!</v>
      </c>
      <c r="AF728" s="135"/>
    </row>
    <row r="729" spans="1:32" ht="14.1" customHeight="1">
      <c r="A729" s="99">
        <v>47665</v>
      </c>
      <c r="B729" s="155" t="e">
        <f t="shared" si="163"/>
        <v>#DIV/0!</v>
      </c>
      <c r="C729" s="120" t="e">
        <f t="shared" ref="C729:C792" si="167">((B729+E729)-(D729*0.11))/(44/2000)</f>
        <v>#DIV/0!</v>
      </c>
      <c r="D729" s="155">
        <f t="shared" si="151"/>
        <v>55.629537626690521</v>
      </c>
      <c r="E729" s="155" t="e">
        <f t="shared" si="164"/>
        <v>#DIV/0!</v>
      </c>
      <c r="F729" s="150" t="e">
        <f t="shared" si="157"/>
        <v>#DIV/0!</v>
      </c>
      <c r="G729" s="127" t="e">
        <f t="shared" si="162"/>
        <v>#DIV/0!</v>
      </c>
      <c r="J729" s="155">
        <f t="shared" si="165"/>
        <v>10.599713959889785</v>
      </c>
      <c r="L729" s="152">
        <f>'[5]Monthly Prices'!$D369</f>
        <v>60.898634353836442</v>
      </c>
      <c r="Q729" s="154">
        <f t="shared" si="140"/>
        <v>5.2690967271459215</v>
      </c>
      <c r="U729" s="120" t="e">
        <f t="shared" si="144"/>
        <v>#DIV/0!</v>
      </c>
      <c r="V729" s="148" t="e">
        <f t="shared" si="166"/>
        <v>#DIV/0!</v>
      </c>
      <c r="AF729" s="135"/>
    </row>
    <row r="730" spans="1:32" ht="14.1" customHeight="1">
      <c r="A730" s="99">
        <v>47696</v>
      </c>
      <c r="B730" s="155" t="e">
        <f t="shared" si="163"/>
        <v>#DIV/0!</v>
      </c>
      <c r="C730" s="120" t="e">
        <f t="shared" si="167"/>
        <v>#DIV/0!</v>
      </c>
      <c r="D730" s="155">
        <f t="shared" si="151"/>
        <v>51.003081012125271</v>
      </c>
      <c r="E730" s="155" t="e">
        <f t="shared" si="164"/>
        <v>#DIV/0!</v>
      </c>
      <c r="F730" s="150" t="e">
        <f t="shared" si="157"/>
        <v>#DIV/0!</v>
      </c>
      <c r="G730" s="127" t="e">
        <f t="shared" si="162"/>
        <v>#DIV/0!</v>
      </c>
      <c r="J730" s="155">
        <f t="shared" si="165"/>
        <v>10.25590674746646</v>
      </c>
      <c r="L730" s="152">
        <f>'[5]Monthly Prices'!$D370</f>
        <v>56.339101862290192</v>
      </c>
      <c r="Q730" s="154">
        <f t="shared" ref="Q730:Q793" si="168">L730-D730</f>
        <v>5.3360208501649211</v>
      </c>
      <c r="U730" s="120" t="e">
        <f t="shared" si="144"/>
        <v>#DIV/0!</v>
      </c>
      <c r="V730" s="148" t="e">
        <f t="shared" si="166"/>
        <v>#DIV/0!</v>
      </c>
      <c r="AF730" s="135"/>
    </row>
    <row r="731" spans="1:32" ht="14.1" customHeight="1">
      <c r="A731" s="99">
        <v>47727</v>
      </c>
      <c r="B731" s="155" t="e">
        <f>T$999*G982</f>
        <v>#DIV/0!</v>
      </c>
      <c r="C731" s="120" t="e">
        <f t="shared" si="167"/>
        <v>#DIV/0!</v>
      </c>
      <c r="D731" s="155">
        <f t="shared" si="151"/>
        <v>39.484364797741698</v>
      </c>
      <c r="E731" s="155" t="e">
        <f t="shared" si="164"/>
        <v>#DIV/0!</v>
      </c>
      <c r="F731" s="150" t="e">
        <f t="shared" si="157"/>
        <v>#DIV/0!</v>
      </c>
      <c r="G731" s="127" t="e">
        <f t="shared" si="162"/>
        <v>#DIV/0!</v>
      </c>
      <c r="J731" s="155">
        <f>$T$1000*Q982</f>
        <v>11.404284915824526</v>
      </c>
      <c r="L731" s="152">
        <f>'[5]Monthly Prices'!$D371</f>
        <v>43.207853236292614</v>
      </c>
      <c r="Q731" s="154">
        <f t="shared" si="168"/>
        <v>3.7234884385509162</v>
      </c>
      <c r="U731" s="120" t="e">
        <f t="shared" si="144"/>
        <v>#DIV/0!</v>
      </c>
      <c r="V731" s="148" t="e">
        <f>(T$1001*Y982)+T$1001</f>
        <v>#DIV/0!</v>
      </c>
      <c r="AF731" s="135"/>
    </row>
    <row r="732" spans="1:32" ht="14.1" customHeight="1">
      <c r="A732" s="99">
        <v>47757</v>
      </c>
      <c r="B732" s="155" t="e">
        <f t="shared" ref="B732:B742" si="169">T$999*G983</f>
        <v>#DIV/0!</v>
      </c>
      <c r="C732" s="120" t="e">
        <f t="shared" si="167"/>
        <v>#DIV/0!</v>
      </c>
      <c r="D732" s="155">
        <f t="shared" si="151"/>
        <v>41.006358688033231</v>
      </c>
      <c r="E732" s="155" t="e">
        <f t="shared" ref="E732:E743" si="170">$T$1008*J983</f>
        <v>#DIV/0!</v>
      </c>
      <c r="F732" s="150" t="e">
        <f t="shared" si="157"/>
        <v>#DIV/0!</v>
      </c>
      <c r="G732" s="127" t="e">
        <f t="shared" si="162"/>
        <v>#DIV/0!</v>
      </c>
      <c r="J732" s="155">
        <f t="shared" ref="J732:J742" si="171">$T$1000*Q983</f>
        <v>10.877729249801501</v>
      </c>
      <c r="L732" s="152">
        <f>'[5]Monthly Prices'!$D372</f>
        <v>43.939622087496318</v>
      </c>
      <c r="Q732" s="154">
        <f t="shared" si="168"/>
        <v>2.9332633994630868</v>
      </c>
      <c r="U732" s="120" t="e">
        <f t="shared" si="144"/>
        <v>#DIV/0!</v>
      </c>
      <c r="V732" s="148" t="e">
        <f t="shared" ref="V732:V741" si="172">(T$1001*Y983)+T$1001</f>
        <v>#DIV/0!</v>
      </c>
      <c r="AF732" s="135"/>
    </row>
    <row r="733" spans="1:32" ht="14.1" customHeight="1">
      <c r="A733" s="99">
        <v>47788</v>
      </c>
      <c r="B733" s="155" t="e">
        <f t="shared" si="169"/>
        <v>#DIV/0!</v>
      </c>
      <c r="C733" s="120" t="e">
        <f t="shared" si="167"/>
        <v>#DIV/0!</v>
      </c>
      <c r="D733" s="155">
        <f t="shared" si="151"/>
        <v>32.419374964885407</v>
      </c>
      <c r="E733" s="155" t="e">
        <f t="shared" si="170"/>
        <v>#DIV/0!</v>
      </c>
      <c r="F733" s="150" t="e">
        <f t="shared" si="157"/>
        <v>#DIV/0!</v>
      </c>
      <c r="G733" s="127" t="e">
        <f t="shared" si="162"/>
        <v>#DIV/0!</v>
      </c>
      <c r="J733" s="155">
        <f t="shared" si="171"/>
        <v>11.16808346607405</v>
      </c>
      <c r="L733" s="152">
        <f>'[5]Monthly Prices'!$D373</f>
        <v>35.838920656386883</v>
      </c>
      <c r="Q733" s="154">
        <f t="shared" si="168"/>
        <v>3.4195456915014759</v>
      </c>
      <c r="U733" s="120" t="e">
        <f t="shared" si="144"/>
        <v>#DIV/0!</v>
      </c>
      <c r="V733" s="148" t="e">
        <f t="shared" si="172"/>
        <v>#DIV/0!</v>
      </c>
      <c r="AF733" s="135"/>
    </row>
    <row r="734" spans="1:32" ht="14.1" customHeight="1">
      <c r="A734" s="99">
        <v>47818</v>
      </c>
      <c r="B734" s="155" t="e">
        <f t="shared" si="169"/>
        <v>#DIV/0!</v>
      </c>
      <c r="C734" s="120" t="e">
        <f t="shared" si="167"/>
        <v>#DIV/0!</v>
      </c>
      <c r="D734" s="155">
        <f t="shared" si="151"/>
        <v>35.747605238698469</v>
      </c>
      <c r="E734" s="155" t="e">
        <f t="shared" si="170"/>
        <v>#DIV/0!</v>
      </c>
      <c r="F734" s="150" t="e">
        <f t="shared" si="157"/>
        <v>#DIV/0!</v>
      </c>
      <c r="G734" s="127" t="e">
        <f t="shared" si="162"/>
        <v>#DIV/0!</v>
      </c>
      <c r="J734" s="155">
        <f t="shared" si="171"/>
        <v>11.354081170022166</v>
      </c>
      <c r="L734" s="152">
        <f>'[5]Monthly Prices'!$D374</f>
        <v>37.749428184608689</v>
      </c>
      <c r="Q734" s="154">
        <f t="shared" si="168"/>
        <v>2.0018229459102201</v>
      </c>
      <c r="U734" s="120" t="e">
        <f t="shared" si="144"/>
        <v>#DIV/0!</v>
      </c>
      <c r="V734" s="148" t="e">
        <f t="shared" si="172"/>
        <v>#DIV/0!</v>
      </c>
      <c r="AF734" s="135"/>
    </row>
    <row r="735" spans="1:32" ht="14.1" customHeight="1">
      <c r="A735" s="99">
        <v>47849</v>
      </c>
      <c r="B735" s="155" t="e">
        <f t="shared" si="169"/>
        <v>#DIV/0!</v>
      </c>
      <c r="C735" s="120" t="e">
        <f t="shared" si="167"/>
        <v>#DIV/0!</v>
      </c>
      <c r="D735" s="155">
        <f t="shared" si="151"/>
        <v>36.750938105234439</v>
      </c>
      <c r="E735" s="155" t="e">
        <f t="shared" si="170"/>
        <v>#DIV/0!</v>
      </c>
      <c r="F735" s="150" t="e">
        <f t="shared" si="157"/>
        <v>#DIV/0!</v>
      </c>
      <c r="G735" s="127" t="e">
        <f t="shared" si="162"/>
        <v>#DIV/0!</v>
      </c>
      <c r="J735" s="155">
        <f t="shared" si="171"/>
        <v>11.48763537515879</v>
      </c>
      <c r="L735" s="152">
        <f>'[5]Monthly Prices'!$D375</f>
        <v>36.705862556362241</v>
      </c>
      <c r="Q735" s="154">
        <f t="shared" si="168"/>
        <v>-4.5075548872198112E-2</v>
      </c>
      <c r="U735" s="120" t="e">
        <f t="shared" si="144"/>
        <v>#DIV/0!</v>
      </c>
      <c r="V735" s="148" t="e">
        <f t="shared" si="172"/>
        <v>#DIV/0!</v>
      </c>
      <c r="AF735" s="135"/>
    </row>
    <row r="736" spans="1:32" ht="14.1" customHeight="1">
      <c r="A736" s="99">
        <v>47880</v>
      </c>
      <c r="B736" s="155" t="e">
        <f t="shared" si="169"/>
        <v>#DIV/0!</v>
      </c>
      <c r="C736" s="120" t="e">
        <f t="shared" si="167"/>
        <v>#DIV/0!</v>
      </c>
      <c r="D736" s="155">
        <f t="shared" si="151"/>
        <v>29.532407480607137</v>
      </c>
      <c r="E736" s="155" t="e">
        <f t="shared" si="170"/>
        <v>#DIV/0!</v>
      </c>
      <c r="F736" s="150" t="e">
        <f t="shared" si="157"/>
        <v>#DIV/0!</v>
      </c>
      <c r="G736" s="127" t="e">
        <f t="shared" si="162"/>
        <v>#DIV/0!</v>
      </c>
      <c r="J736" s="155">
        <f t="shared" si="171"/>
        <v>10.606616910341865</v>
      </c>
      <c r="L736" s="152">
        <f>'[5]Monthly Prices'!$D376</f>
        <v>31.961190272131397</v>
      </c>
      <c r="Q736" s="154">
        <f t="shared" si="168"/>
        <v>2.4287827915242595</v>
      </c>
      <c r="U736" s="120" t="e">
        <f t="shared" ref="U736:U790" si="173">B736+V736</f>
        <v>#DIV/0!</v>
      </c>
      <c r="V736" s="148" t="e">
        <f t="shared" si="172"/>
        <v>#DIV/0!</v>
      </c>
      <c r="AF736" s="135"/>
    </row>
    <row r="737" spans="1:32" ht="14.1" customHeight="1">
      <c r="A737" s="99">
        <v>47908</v>
      </c>
      <c r="B737" s="155" t="e">
        <f t="shared" si="169"/>
        <v>#DIV/0!</v>
      </c>
      <c r="C737" s="120" t="e">
        <f t="shared" si="167"/>
        <v>#DIV/0!</v>
      </c>
      <c r="D737" s="155">
        <f t="shared" si="151"/>
        <v>37.244266343719566</v>
      </c>
      <c r="E737" s="155" t="e">
        <f t="shared" si="170"/>
        <v>#DIV/0!</v>
      </c>
      <c r="F737" s="150" t="e">
        <f t="shared" si="157"/>
        <v>#DIV/0!</v>
      </c>
      <c r="G737" s="127" t="e">
        <f t="shared" si="162"/>
        <v>#DIV/0!</v>
      </c>
      <c r="J737" s="155">
        <f t="shared" si="171"/>
        <v>10.688756507685985</v>
      </c>
      <c r="L737" s="152">
        <f>'[5]Monthly Prices'!$D377</f>
        <v>40.060322105495537</v>
      </c>
      <c r="Q737" s="154">
        <f t="shared" si="168"/>
        <v>2.8160557617759707</v>
      </c>
      <c r="U737" s="120" t="e">
        <f t="shared" si="173"/>
        <v>#DIV/0!</v>
      </c>
      <c r="V737" s="148" t="e">
        <f t="shared" si="172"/>
        <v>#DIV/0!</v>
      </c>
      <c r="AF737" s="135"/>
    </row>
    <row r="738" spans="1:32" ht="14.1" customHeight="1">
      <c r="A738" s="99">
        <v>47939</v>
      </c>
      <c r="B738" s="155" t="e">
        <f t="shared" si="169"/>
        <v>#DIV/0!</v>
      </c>
      <c r="C738" s="120" t="e">
        <f t="shared" si="167"/>
        <v>#DIV/0!</v>
      </c>
      <c r="D738" s="155">
        <f t="shared" si="151"/>
        <v>40.303979563326152</v>
      </c>
      <c r="E738" s="155" t="e">
        <f t="shared" si="170"/>
        <v>#DIV/0!</v>
      </c>
      <c r="F738" s="150" t="e">
        <f t="shared" si="157"/>
        <v>#DIV/0!</v>
      </c>
      <c r="G738" s="127" t="e">
        <f t="shared" si="162"/>
        <v>#DIV/0!</v>
      </c>
      <c r="J738" s="155">
        <f t="shared" si="171"/>
        <v>10.92261493445716</v>
      </c>
      <c r="L738" s="152">
        <f>'[5]Monthly Prices'!$D378</f>
        <v>45.313287768384249</v>
      </c>
      <c r="Q738" s="154">
        <f t="shared" si="168"/>
        <v>5.0093082050580975</v>
      </c>
      <c r="U738" s="120" t="e">
        <f t="shared" si="173"/>
        <v>#DIV/0!</v>
      </c>
      <c r="V738" s="148" t="e">
        <f t="shared" si="172"/>
        <v>#DIV/0!</v>
      </c>
      <c r="AF738" s="135"/>
    </row>
    <row r="739" spans="1:32" ht="14.1" customHeight="1">
      <c r="A739" s="99">
        <v>47969</v>
      </c>
      <c r="B739" s="155" t="e">
        <f t="shared" si="169"/>
        <v>#DIV/0!</v>
      </c>
      <c r="C739" s="120" t="e">
        <f t="shared" si="167"/>
        <v>#DIV/0!</v>
      </c>
      <c r="D739" s="155">
        <f t="shared" si="151"/>
        <v>42.693098147358832</v>
      </c>
      <c r="E739" s="155" t="e">
        <f t="shared" si="170"/>
        <v>#DIV/0!</v>
      </c>
      <c r="F739" s="150" t="e">
        <f t="shared" si="157"/>
        <v>#DIV/0!</v>
      </c>
      <c r="G739" s="127" t="e">
        <f t="shared" si="162"/>
        <v>#DIV/0!</v>
      </c>
      <c r="J739" s="155">
        <f t="shared" si="171"/>
        <v>11.101268230649122</v>
      </c>
      <c r="L739" s="152">
        <f>'[5]Monthly Prices'!$D379</f>
        <v>50.214232885659115</v>
      </c>
      <c r="Q739" s="154">
        <f t="shared" si="168"/>
        <v>7.5211347383002831</v>
      </c>
      <c r="U739" s="120" t="e">
        <f t="shared" si="173"/>
        <v>#DIV/0!</v>
      </c>
      <c r="V739" s="148" t="e">
        <f t="shared" si="172"/>
        <v>#DIV/0!</v>
      </c>
      <c r="AF739" s="135"/>
    </row>
    <row r="740" spans="1:32" ht="14.1" customHeight="1">
      <c r="A740" s="99">
        <v>48000</v>
      </c>
      <c r="B740" s="155" t="e">
        <f t="shared" si="169"/>
        <v>#DIV/0!</v>
      </c>
      <c r="C740" s="120" t="e">
        <f t="shared" si="167"/>
        <v>#DIV/0!</v>
      </c>
      <c r="D740" s="155">
        <f t="shared" si="151"/>
        <v>46.239046362415024</v>
      </c>
      <c r="E740" s="155" t="e">
        <f t="shared" si="170"/>
        <v>#DIV/0!</v>
      </c>
      <c r="F740" s="150" t="e">
        <f t="shared" si="157"/>
        <v>#DIV/0!</v>
      </c>
      <c r="G740" s="127" t="e">
        <f t="shared" si="162"/>
        <v>#DIV/0!</v>
      </c>
      <c r="J740" s="155">
        <f t="shared" si="171"/>
        <v>11.0699092767931</v>
      </c>
      <c r="L740" s="152">
        <f>'[5]Monthly Prices'!$D380</f>
        <v>54.108224213223849</v>
      </c>
      <c r="Q740" s="154">
        <f t="shared" si="168"/>
        <v>7.8691778508088248</v>
      </c>
      <c r="U740" s="120" t="e">
        <f t="shared" si="173"/>
        <v>#DIV/0!</v>
      </c>
      <c r="V740" s="148" t="e">
        <f t="shared" si="172"/>
        <v>#DIV/0!</v>
      </c>
      <c r="AF740" s="135"/>
    </row>
    <row r="741" spans="1:32" ht="14.1" customHeight="1">
      <c r="A741" s="99">
        <v>48030</v>
      </c>
      <c r="B741" s="155" t="e">
        <f t="shared" si="169"/>
        <v>#DIV/0!</v>
      </c>
      <c r="C741" s="120" t="e">
        <f t="shared" si="167"/>
        <v>#DIV/0!</v>
      </c>
      <c r="D741" s="155">
        <f t="shared" si="151"/>
        <v>52.370580216030952</v>
      </c>
      <c r="E741" s="155" t="e">
        <f t="shared" si="170"/>
        <v>#DIV/0!</v>
      </c>
      <c r="F741" s="150" t="e">
        <f t="shared" si="157"/>
        <v>#DIV/0!</v>
      </c>
      <c r="G741" s="127" t="e">
        <f t="shared" si="162"/>
        <v>#DIV/0!</v>
      </c>
      <c r="J741" s="155">
        <f t="shared" si="171"/>
        <v>11.102365468828204</v>
      </c>
      <c r="L741" s="152">
        <f>'[5]Monthly Prices'!$D381</f>
        <v>59.911505387568468</v>
      </c>
      <c r="Q741" s="154">
        <f t="shared" si="168"/>
        <v>7.5409251715375163</v>
      </c>
      <c r="U741" s="120" t="e">
        <f t="shared" si="173"/>
        <v>#DIV/0!</v>
      </c>
      <c r="V741" s="148" t="e">
        <f t="shared" si="172"/>
        <v>#DIV/0!</v>
      </c>
      <c r="AF741" s="135"/>
    </row>
    <row r="742" spans="1:32" ht="14.1" customHeight="1">
      <c r="A742" s="99">
        <v>48061</v>
      </c>
      <c r="B742" s="155" t="e">
        <f t="shared" si="169"/>
        <v>#DIV/0!</v>
      </c>
      <c r="C742" s="120" t="e">
        <f t="shared" si="167"/>
        <v>#DIV/0!</v>
      </c>
      <c r="D742" s="155">
        <f t="shared" si="151"/>
        <v>31.284027662312486</v>
      </c>
      <c r="E742" s="155" t="e">
        <f t="shared" si="170"/>
        <v>#DIV/0!</v>
      </c>
      <c r="F742" s="150" t="e">
        <f t="shared" si="157"/>
        <v>#DIV/0!</v>
      </c>
      <c r="G742" s="127" t="e">
        <f t="shared" si="162"/>
        <v>#DIV/0!</v>
      </c>
      <c r="J742" s="155">
        <f t="shared" si="171"/>
        <v>10.742254494363522</v>
      </c>
      <c r="L742" s="152">
        <f>'[5]Monthly Prices'!$D382</f>
        <v>39.226303112376385</v>
      </c>
      <c r="Q742" s="154">
        <f t="shared" si="168"/>
        <v>7.9422754500638995</v>
      </c>
      <c r="U742" s="120" t="e">
        <f t="shared" si="173"/>
        <v>#DIV/0!</v>
      </c>
      <c r="V742" s="148" t="e">
        <f>(U$1001*Y982)+U$1001</f>
        <v>#DIV/0!</v>
      </c>
      <c r="AF742" s="135"/>
    </row>
    <row r="743" spans="1:32">
      <c r="A743" s="99">
        <v>48092</v>
      </c>
      <c r="B743" s="155" t="e">
        <f>U$999*G982</f>
        <v>#DIV/0!</v>
      </c>
      <c r="C743" s="120" t="e">
        <f t="shared" si="167"/>
        <v>#DIV/0!</v>
      </c>
      <c r="D743" s="155">
        <f t="shared" si="151"/>
        <v>35.121940828111661</v>
      </c>
      <c r="E743" s="155" t="e">
        <f t="shared" si="170"/>
        <v>#DIV/0!</v>
      </c>
      <c r="F743" s="150" t="e">
        <f t="shared" si="157"/>
        <v>#DIV/0!</v>
      </c>
      <c r="G743" s="127" t="e">
        <f t="shared" si="162"/>
        <v>#DIV/0!</v>
      </c>
      <c r="J743" s="155" t="e">
        <f>$U$1000*Q982</f>
        <v>#DIV/0!</v>
      </c>
      <c r="L743" s="152">
        <f>'[5]Monthly Prices'!$D383</f>
        <v>40.986268475229444</v>
      </c>
      <c r="Q743" s="154">
        <f t="shared" si="168"/>
        <v>5.8643276471177828</v>
      </c>
      <c r="U743" s="120" t="e">
        <f t="shared" si="173"/>
        <v>#DIV/0!</v>
      </c>
      <c r="V743" s="148" t="e">
        <f>(U$1001*Y982)+U$1001</f>
        <v>#DIV/0!</v>
      </c>
      <c r="AF743" s="135"/>
    </row>
    <row r="744" spans="1:32">
      <c r="A744" s="99">
        <v>48122</v>
      </c>
      <c r="B744" s="155" t="e">
        <f t="shared" ref="B744:B754" si="174">U$999*G983</f>
        <v>#DIV/0!</v>
      </c>
      <c r="C744" s="120" t="e">
        <f t="shared" si="167"/>
        <v>#DIV/0!</v>
      </c>
      <c r="D744" s="155">
        <f t="shared" si="151"/>
        <v>40.746098874621723</v>
      </c>
      <c r="E744" s="155" t="e">
        <f t="shared" ref="E744:E755" si="175">$U$1008*J983</f>
        <v>#DIV/0!</v>
      </c>
      <c r="F744" s="150" t="e">
        <f t="shared" si="157"/>
        <v>#DIV/0!</v>
      </c>
      <c r="G744" s="127" t="e">
        <f t="shared" si="162"/>
        <v>#DIV/0!</v>
      </c>
      <c r="J744" s="155" t="e">
        <f t="shared" ref="J744:J754" si="176">$U$1000*Q983</f>
        <v>#DIV/0!</v>
      </c>
      <c r="L744" s="152">
        <f>'[5]Monthly Prices'!$D384</f>
        <v>45.280672113204339</v>
      </c>
      <c r="Q744" s="154">
        <f t="shared" si="168"/>
        <v>4.5345732385826167</v>
      </c>
      <c r="U744" s="120" t="e">
        <f t="shared" si="173"/>
        <v>#DIV/0!</v>
      </c>
      <c r="V744" s="148" t="e">
        <f t="shared" ref="V744:V754" si="177">(U$1001*Y983)+U$1001</f>
        <v>#DIV/0!</v>
      </c>
      <c r="AF744" s="135"/>
    </row>
    <row r="745" spans="1:32">
      <c r="A745" s="99">
        <v>48153</v>
      </c>
      <c r="B745" s="155" t="e">
        <f t="shared" si="174"/>
        <v>#DIV/0!</v>
      </c>
      <c r="C745" s="120" t="e">
        <f t="shared" si="167"/>
        <v>#DIV/0!</v>
      </c>
      <c r="D745" s="155">
        <f t="shared" si="151"/>
        <v>28.734803523813135</v>
      </c>
      <c r="E745" s="155" t="e">
        <f t="shared" si="175"/>
        <v>#DIV/0!</v>
      </c>
      <c r="F745" s="150" t="e">
        <f t="shared" si="157"/>
        <v>#DIV/0!</v>
      </c>
      <c r="G745" s="127" t="e">
        <f t="shared" si="162"/>
        <v>#DIV/0!</v>
      </c>
      <c r="J745" s="155" t="e">
        <f t="shared" si="176"/>
        <v>#DIV/0!</v>
      </c>
      <c r="L745" s="152">
        <f>'[5]Monthly Prices'!$D385</f>
        <v>34.203311984054636</v>
      </c>
      <c r="Q745" s="154">
        <f t="shared" si="168"/>
        <v>5.4685084602415017</v>
      </c>
      <c r="U745" s="120" t="e">
        <f t="shared" si="173"/>
        <v>#DIV/0!</v>
      </c>
      <c r="V745" s="148" t="e">
        <f t="shared" si="177"/>
        <v>#DIV/0!</v>
      </c>
      <c r="AF745" s="135"/>
    </row>
    <row r="746" spans="1:32">
      <c r="A746" s="99">
        <v>48183</v>
      </c>
      <c r="B746" s="155" t="e">
        <f t="shared" si="174"/>
        <v>#DIV/0!</v>
      </c>
      <c r="C746" s="120" t="e">
        <f t="shared" si="167"/>
        <v>#DIV/0!</v>
      </c>
      <c r="D746" s="155">
        <f t="shared" si="151"/>
        <v>34.99612462834893</v>
      </c>
      <c r="E746" s="155" t="e">
        <f t="shared" si="175"/>
        <v>#DIV/0!</v>
      </c>
      <c r="F746" s="150" t="e">
        <f t="shared" si="157"/>
        <v>#DIV/0!</v>
      </c>
      <c r="G746" s="127" t="e">
        <f t="shared" si="162"/>
        <v>#DIV/0!</v>
      </c>
      <c r="J746" s="155" t="e">
        <f t="shared" si="176"/>
        <v>#DIV/0!</v>
      </c>
      <c r="L746" s="152">
        <f>'[5]Monthly Prices'!$D386</f>
        <v>38.775087014860652</v>
      </c>
      <c r="Q746" s="154">
        <f t="shared" si="168"/>
        <v>3.7789623865117221</v>
      </c>
      <c r="U746" s="120" t="e">
        <f t="shared" si="173"/>
        <v>#DIV/0!</v>
      </c>
      <c r="V746" s="148" t="e">
        <f t="shared" si="177"/>
        <v>#DIV/0!</v>
      </c>
      <c r="AF746" s="135"/>
    </row>
    <row r="747" spans="1:32">
      <c r="A747" s="99">
        <v>48214</v>
      </c>
      <c r="B747" s="155" t="e">
        <f t="shared" si="174"/>
        <v>#DIV/0!</v>
      </c>
      <c r="C747" s="120" t="e">
        <f t="shared" si="167"/>
        <v>#DIV/0!</v>
      </c>
      <c r="D747" s="155">
        <f t="shared" si="151"/>
        <v>30.937264886025275</v>
      </c>
      <c r="E747" s="155" t="e">
        <f t="shared" si="175"/>
        <v>#DIV/0!</v>
      </c>
      <c r="F747" s="150" t="e">
        <f t="shared" si="157"/>
        <v>#DIV/0!</v>
      </c>
      <c r="G747" s="127" t="e">
        <f t="shared" si="162"/>
        <v>#DIV/0!</v>
      </c>
      <c r="J747" s="155" t="e">
        <f t="shared" si="176"/>
        <v>#DIV/0!</v>
      </c>
      <c r="L747" s="152">
        <f>'[5]Monthly Prices'!$D387</f>
        <v>32.990930676683732</v>
      </c>
      <c r="Q747" s="154">
        <f t="shared" si="168"/>
        <v>2.0536657906584566</v>
      </c>
      <c r="U747" s="120" t="e">
        <f t="shared" si="173"/>
        <v>#DIV/0!</v>
      </c>
      <c r="V747" s="148" t="e">
        <f t="shared" si="177"/>
        <v>#DIV/0!</v>
      </c>
      <c r="AF747" s="135"/>
    </row>
    <row r="748" spans="1:32">
      <c r="A748" s="99">
        <v>48245</v>
      </c>
      <c r="B748" s="155" t="e">
        <f t="shared" si="174"/>
        <v>#DIV/0!</v>
      </c>
      <c r="C748" s="120" t="e">
        <f t="shared" si="167"/>
        <v>#DIV/0!</v>
      </c>
      <c r="D748" s="155">
        <f t="shared" si="151"/>
        <v>25.318147794232466</v>
      </c>
      <c r="E748" s="155" t="e">
        <f t="shared" si="175"/>
        <v>#DIV/0!</v>
      </c>
      <c r="F748" s="150" t="e">
        <f t="shared" si="157"/>
        <v>#DIV/0!</v>
      </c>
      <c r="G748" s="127" t="e">
        <f t="shared" si="162"/>
        <v>#DIV/0!</v>
      </c>
      <c r="J748" s="155" t="e">
        <f t="shared" si="176"/>
        <v>#DIV/0!</v>
      </c>
      <c r="L748" s="152">
        <f>'[5]Monthly Prices'!$D388</f>
        <v>29.358039525560784</v>
      </c>
      <c r="Q748" s="154">
        <f t="shared" si="168"/>
        <v>4.0398917313283178</v>
      </c>
      <c r="U748" s="120" t="e">
        <f t="shared" si="173"/>
        <v>#DIV/0!</v>
      </c>
      <c r="V748" s="148" t="e">
        <f t="shared" si="177"/>
        <v>#DIV/0!</v>
      </c>
      <c r="AF748" s="135"/>
    </row>
    <row r="749" spans="1:32">
      <c r="A749" s="99">
        <v>48274</v>
      </c>
      <c r="B749" s="155" t="e">
        <f t="shared" si="174"/>
        <v>#DIV/0!</v>
      </c>
      <c r="C749" s="120" t="e">
        <f t="shared" si="167"/>
        <v>#DIV/0!</v>
      </c>
      <c r="D749" s="155">
        <f t="shared" ref="D749:D758" si="178">L749+(AVERAGE(Q725,Q713,Q701,Q689,Q677)-MIN(Q725,Q713,Q701,Q689,Q677)-MAX(Q725,Q713,Q701,Q689,Q677))</f>
        <v>35.568492618069875</v>
      </c>
      <c r="E749" s="155" t="e">
        <f t="shared" si="175"/>
        <v>#DIV/0!</v>
      </c>
      <c r="F749" s="150" t="e">
        <f t="shared" si="157"/>
        <v>#DIV/0!</v>
      </c>
      <c r="G749" s="127" t="e">
        <f t="shared" si="162"/>
        <v>#DIV/0!</v>
      </c>
      <c r="J749" s="155" t="e">
        <f t="shared" si="176"/>
        <v>#DIV/0!</v>
      </c>
      <c r="L749" s="152">
        <f>'[5]Monthly Prices'!$D389</f>
        <v>38.822963770908487</v>
      </c>
      <c r="Q749" s="154">
        <f t="shared" si="168"/>
        <v>3.2544711528386117</v>
      </c>
      <c r="U749" s="120" t="e">
        <f t="shared" si="173"/>
        <v>#DIV/0!</v>
      </c>
      <c r="V749" s="148" t="e">
        <f t="shared" si="177"/>
        <v>#DIV/0!</v>
      </c>
      <c r="AF749" s="135"/>
    </row>
    <row r="750" spans="1:32">
      <c r="A750" s="99">
        <v>48305</v>
      </c>
      <c r="B750" s="155" t="e">
        <f t="shared" si="174"/>
        <v>#DIV/0!</v>
      </c>
      <c r="C750" s="120" t="e">
        <f t="shared" si="167"/>
        <v>#DIV/0!</v>
      </c>
      <c r="D750" s="155">
        <f t="shared" si="178"/>
        <v>35.155254529091643</v>
      </c>
      <c r="E750" s="155" t="e">
        <f t="shared" si="175"/>
        <v>#DIV/0!</v>
      </c>
      <c r="F750" s="150" t="e">
        <f t="shared" si="157"/>
        <v>#DIV/0!</v>
      </c>
      <c r="G750" s="127" t="e">
        <f t="shared" si="162"/>
        <v>#DIV/0!</v>
      </c>
      <c r="J750" s="155" t="e">
        <f t="shared" si="176"/>
        <v>#DIV/0!</v>
      </c>
      <c r="L750" s="152">
        <f>'[5]Monthly Prices'!$D390</f>
        <v>39.926714854450481</v>
      </c>
      <c r="Q750" s="154">
        <f t="shared" si="168"/>
        <v>4.7714603253588379</v>
      </c>
      <c r="U750" s="120" t="e">
        <f t="shared" si="173"/>
        <v>#DIV/0!</v>
      </c>
      <c r="V750" s="148" t="e">
        <f t="shared" si="177"/>
        <v>#DIV/0!</v>
      </c>
      <c r="AF750" s="135"/>
    </row>
    <row r="751" spans="1:32">
      <c r="A751" s="99">
        <v>48335</v>
      </c>
      <c r="B751" s="155" t="e">
        <f t="shared" si="174"/>
        <v>#DIV/0!</v>
      </c>
      <c r="C751" s="120" t="e">
        <f t="shared" si="167"/>
        <v>#DIV/0!</v>
      </c>
      <c r="D751" s="155">
        <f t="shared" si="178"/>
        <v>33.547896586553172</v>
      </c>
      <c r="E751" s="155" t="e">
        <f t="shared" si="175"/>
        <v>#DIV/0!</v>
      </c>
      <c r="F751" s="150" t="e">
        <f t="shared" si="157"/>
        <v>#DIV/0!</v>
      </c>
      <c r="G751" s="127" t="e">
        <f t="shared" si="162"/>
        <v>#DIV/0!</v>
      </c>
      <c r="J751" s="155" t="e">
        <f t="shared" si="176"/>
        <v>#DIV/0!</v>
      </c>
      <c r="L751" s="152">
        <f>'[5]Monthly Prices'!$D391</f>
        <v>41.204450592003148</v>
      </c>
      <c r="Q751" s="154">
        <f t="shared" si="168"/>
        <v>7.6565540054499763</v>
      </c>
      <c r="U751" s="120" t="e">
        <f t="shared" si="173"/>
        <v>#DIV/0!</v>
      </c>
      <c r="V751" s="148" t="e">
        <f t="shared" si="177"/>
        <v>#DIV/0!</v>
      </c>
      <c r="AF751" s="135"/>
    </row>
    <row r="752" spans="1:32">
      <c r="A752" s="99">
        <v>48366</v>
      </c>
      <c r="B752" s="155" t="e">
        <f t="shared" si="174"/>
        <v>#DIV/0!</v>
      </c>
      <c r="C752" s="120" t="e">
        <f t="shared" si="167"/>
        <v>#DIV/0!</v>
      </c>
      <c r="D752" s="155">
        <f t="shared" si="178"/>
        <v>38.319784154783648</v>
      </c>
      <c r="E752" s="155" t="e">
        <f t="shared" si="175"/>
        <v>#DIV/0!</v>
      </c>
      <c r="F752" s="150" t="e">
        <f t="shared" si="157"/>
        <v>#DIV/0!</v>
      </c>
      <c r="G752" s="127" t="e">
        <f t="shared" si="162"/>
        <v>#DIV/0!</v>
      </c>
      <c r="J752" s="155" t="e">
        <f t="shared" si="176"/>
        <v>#DIV/0!</v>
      </c>
      <c r="L752" s="152">
        <f>'[5]Monthly Prices'!$D392</f>
        <v>46.334875966713454</v>
      </c>
      <c r="Q752" s="154">
        <f t="shared" si="168"/>
        <v>8.0150918119298069</v>
      </c>
      <c r="U752" s="120" t="e">
        <f t="shared" si="173"/>
        <v>#DIV/0!</v>
      </c>
      <c r="V752" s="148" t="e">
        <f t="shared" si="177"/>
        <v>#DIV/0!</v>
      </c>
      <c r="AF752" s="135"/>
    </row>
    <row r="753" spans="1:32">
      <c r="A753" s="99">
        <v>48396</v>
      </c>
      <c r="B753" s="155" t="e">
        <f t="shared" si="174"/>
        <v>#DIV/0!</v>
      </c>
      <c r="C753" s="120" t="e">
        <f t="shared" si="167"/>
        <v>#DIV/0!</v>
      </c>
      <c r="D753" s="155">
        <f t="shared" si="178"/>
        <v>46.01100331551438</v>
      </c>
      <c r="E753" s="155" t="e">
        <f t="shared" si="175"/>
        <v>#DIV/0!</v>
      </c>
      <c r="F753" s="150" t="e">
        <f t="shared" si="157"/>
        <v>#DIV/0!</v>
      </c>
      <c r="G753" s="127" t="e">
        <f t="shared" si="162"/>
        <v>#DIV/0!</v>
      </c>
      <c r="J753" s="155" t="e">
        <f t="shared" si="176"/>
        <v>#DIV/0!</v>
      </c>
      <c r="L753" s="152">
        <f>'[5]Monthly Prices'!$D393</f>
        <v>53.379579993653998</v>
      </c>
      <c r="Q753" s="154">
        <f t="shared" si="168"/>
        <v>7.3685766781396183</v>
      </c>
      <c r="U753" s="120" t="e">
        <f t="shared" si="173"/>
        <v>#DIV/0!</v>
      </c>
      <c r="V753" s="148" t="e">
        <f t="shared" si="177"/>
        <v>#DIV/0!</v>
      </c>
      <c r="AF753" s="135"/>
    </row>
    <row r="754" spans="1:32">
      <c r="A754" s="99">
        <v>48427</v>
      </c>
      <c r="B754" s="155" t="e">
        <f t="shared" si="174"/>
        <v>#DIV/0!</v>
      </c>
      <c r="C754" s="120" t="e">
        <f t="shared" si="167"/>
        <v>#DIV/0!</v>
      </c>
      <c r="D754" s="155">
        <f t="shared" si="178"/>
        <v>22.604254385452947</v>
      </c>
      <c r="E754" s="155" t="e">
        <f t="shared" si="175"/>
        <v>#DIV/0!</v>
      </c>
      <c r="F754" s="150" t="e">
        <f t="shared" si="157"/>
        <v>#DIV/0!</v>
      </c>
      <c r="G754" s="127" t="e">
        <f t="shared" si="162"/>
        <v>#DIV/0!</v>
      </c>
      <c r="J754" s="155" t="e">
        <f t="shared" si="176"/>
        <v>#DIV/0!</v>
      </c>
      <c r="L754" s="152">
        <f>'[5]Monthly Prices'!$D394</f>
        <v>30.603045675390046</v>
      </c>
      <c r="Q754" s="154">
        <f t="shared" si="168"/>
        <v>7.998791289937099</v>
      </c>
      <c r="U754" s="120" t="e">
        <f t="shared" si="173"/>
        <v>#DIV/0!</v>
      </c>
      <c r="V754" s="148" t="e">
        <f t="shared" si="177"/>
        <v>#DIV/0!</v>
      </c>
      <c r="AF754" s="135"/>
    </row>
    <row r="755" spans="1:32">
      <c r="A755" s="99">
        <v>48458</v>
      </c>
      <c r="B755" s="155" t="e">
        <f>V$999*G982</f>
        <v>#DIV/0!</v>
      </c>
      <c r="C755" s="120" t="e">
        <f t="shared" si="167"/>
        <v>#DIV/0!</v>
      </c>
      <c r="D755" s="155">
        <f t="shared" si="178"/>
        <v>36.204065813914774</v>
      </c>
      <c r="E755" s="155" t="e">
        <f t="shared" si="175"/>
        <v>#DIV/0!</v>
      </c>
      <c r="F755" s="150" t="e">
        <f t="shared" si="157"/>
        <v>#DIV/0!</v>
      </c>
      <c r="G755" s="127" t="e">
        <f t="shared" si="162"/>
        <v>#DIV/0!</v>
      </c>
      <c r="J755" s="155">
        <f>$V$1000*Q982</f>
        <v>10.869789735503371</v>
      </c>
      <c r="L755" s="152">
        <f>'[5]Monthly Prices'!$D395</f>
        <v>40.856233843224395</v>
      </c>
      <c r="Q755" s="154">
        <f t="shared" si="168"/>
        <v>4.652168029309621</v>
      </c>
      <c r="U755" s="120" t="e">
        <f t="shared" si="173"/>
        <v>#DIV/0!</v>
      </c>
      <c r="V755" s="148" t="e">
        <f>(V$1001*Y982)+V$1001</f>
        <v>#DIV/0!</v>
      </c>
      <c r="AF755" s="135"/>
    </row>
    <row r="756" spans="1:32">
      <c r="A756" s="99">
        <v>48488</v>
      </c>
      <c r="B756" s="155" t="e">
        <f t="shared" ref="B756:B766" si="179">V$999*G983</f>
        <v>#DIV/0!</v>
      </c>
      <c r="C756" s="120" t="e">
        <f t="shared" si="167"/>
        <v>#DIV/0!</v>
      </c>
      <c r="D756" s="155">
        <f t="shared" si="178"/>
        <v>44.678083762264457</v>
      </c>
      <c r="E756" s="155" t="e">
        <f t="shared" ref="E756:E767" si="180">$V$1008*J983</f>
        <v>#DIV/0!</v>
      </c>
      <c r="F756" s="150" t="e">
        <f t="shared" si="157"/>
        <v>#DIV/0!</v>
      </c>
      <c r="G756" s="127" t="e">
        <f t="shared" si="162"/>
        <v>#DIV/0!</v>
      </c>
      <c r="J756" s="155">
        <f t="shared" ref="J756:J766" si="181">$V$1000*Q983</f>
        <v>10.367912641415144</v>
      </c>
      <c r="L756" s="152">
        <f>'[5]Monthly Prices'!$D396</f>
        <v>49.483880155600374</v>
      </c>
      <c r="Q756" s="154">
        <f t="shared" si="168"/>
        <v>4.8057963933359176</v>
      </c>
      <c r="U756" s="120" t="e">
        <f t="shared" si="173"/>
        <v>#DIV/0!</v>
      </c>
      <c r="V756" s="148" t="e">
        <f t="shared" ref="V756:V766" si="182">(V$1001*Y983)+V$1001</f>
        <v>#DIV/0!</v>
      </c>
      <c r="AF756" s="135"/>
    </row>
    <row r="757" spans="1:32">
      <c r="A757" s="99">
        <v>48519</v>
      </c>
      <c r="B757" s="155" t="e">
        <f t="shared" si="179"/>
        <v>#DIV/0!</v>
      </c>
      <c r="C757" s="120" t="e">
        <f t="shared" si="167"/>
        <v>#DIV/0!</v>
      </c>
      <c r="D757" s="155">
        <f t="shared" si="178"/>
        <v>39.465728143069008</v>
      </c>
      <c r="E757" s="155" t="e">
        <f t="shared" si="180"/>
        <v>#DIV/0!</v>
      </c>
      <c r="F757" s="150" t="e">
        <f t="shared" si="157"/>
        <v>#DIV/0!</v>
      </c>
      <c r="G757" s="127" t="e">
        <f t="shared" si="162"/>
        <v>#DIV/0!</v>
      </c>
      <c r="J757" s="155">
        <f t="shared" si="181"/>
        <v>10.644658557796109</v>
      </c>
      <c r="L757" s="152">
        <f>'[5]Monthly Prices'!$D397</f>
        <v>43.472635895176545</v>
      </c>
      <c r="Q757" s="154">
        <f t="shared" si="168"/>
        <v>4.0069077521075371</v>
      </c>
      <c r="U757" s="120" t="e">
        <f t="shared" si="173"/>
        <v>#DIV/0!</v>
      </c>
      <c r="V757" s="148" t="e">
        <f t="shared" si="182"/>
        <v>#DIV/0!</v>
      </c>
      <c r="AF757" s="135"/>
    </row>
    <row r="758" spans="1:32">
      <c r="A758" s="99">
        <v>48549</v>
      </c>
      <c r="B758" s="155" t="e">
        <f t="shared" si="179"/>
        <v>#DIV/0!</v>
      </c>
      <c r="C758" s="120" t="e">
        <f t="shared" si="167"/>
        <v>#DIV/0!</v>
      </c>
      <c r="D758" s="155">
        <f t="shared" si="178"/>
        <v>41.442001496015301</v>
      </c>
      <c r="E758" s="155" t="e">
        <f t="shared" si="180"/>
        <v>#DIV/0!</v>
      </c>
      <c r="F758" s="150" t="e">
        <f t="shared" si="157"/>
        <v>#DIV/0!</v>
      </c>
      <c r="G758" s="127" t="e">
        <f t="shared" si="162"/>
        <v>#DIV/0!</v>
      </c>
      <c r="J758" s="155">
        <f t="shared" si="181"/>
        <v>10.821938935138931</v>
      </c>
      <c r="L758" s="152">
        <f>'[5]Monthly Prices'!$D398</f>
        <v>45.273439133855348</v>
      </c>
      <c r="Q758" s="154">
        <f t="shared" si="168"/>
        <v>3.8314376378400468</v>
      </c>
      <c r="U758" s="120" t="e">
        <f t="shared" si="173"/>
        <v>#DIV/0!</v>
      </c>
      <c r="V758" s="148" t="e">
        <f t="shared" si="182"/>
        <v>#DIV/0!</v>
      </c>
      <c r="AF758" s="135"/>
    </row>
    <row r="759" spans="1:32">
      <c r="A759" s="99">
        <v>48580</v>
      </c>
      <c r="B759" s="155" t="e">
        <f t="shared" si="179"/>
        <v>#DIV/0!</v>
      </c>
      <c r="C759" s="120" t="e">
        <f t="shared" si="167"/>
        <v>#DIV/0!</v>
      </c>
      <c r="D759" s="155">
        <f>L759+(AVERAGE(Q735,Q723,Q711,Q699,Q687)-MIN(Q735,Q723,Q711,Q699,Q687)-MAX(Q735,Q723,Q711,Q699,Q687))</f>
        <v>48.26168837301551</v>
      </c>
      <c r="E759" s="155" t="e">
        <f t="shared" si="180"/>
        <v>#DIV/0!</v>
      </c>
      <c r="F759" s="150" t="e">
        <f t="shared" si="157"/>
        <v>#DIV/0!</v>
      </c>
      <c r="G759" s="127" t="e">
        <f t="shared" si="162"/>
        <v>#DIV/0!</v>
      </c>
      <c r="J759" s="155">
        <f t="shared" si="181"/>
        <v>10.949233731686236</v>
      </c>
      <c r="L759" s="152">
        <f>'[5]Monthly Prices'!$D399</f>
        <v>48.208911337699959</v>
      </c>
      <c r="Q759" s="154">
        <f t="shared" si="168"/>
        <v>-5.2777035315550336E-2</v>
      </c>
      <c r="U759" s="120" t="e">
        <f t="shared" si="173"/>
        <v>#DIV/0!</v>
      </c>
      <c r="V759" s="148" t="e">
        <f t="shared" si="182"/>
        <v>#DIV/0!</v>
      </c>
      <c r="AF759" s="135"/>
    </row>
    <row r="760" spans="1:32">
      <c r="A760" s="99">
        <v>48611</v>
      </c>
      <c r="B760" s="155" t="e">
        <f t="shared" si="179"/>
        <v>#DIV/0!</v>
      </c>
      <c r="C760" s="120" t="e">
        <f t="shared" si="167"/>
        <v>#DIV/0!</v>
      </c>
      <c r="D760" s="155">
        <f t="shared" ref="D760:D823" si="183">L760+(AVERAGE(Q736,Q724,Q712,Q700,Q688)-MIN(Q736,Q724,Q712,Q700,Q688)-MAX(Q736,Q724,Q712,Q700,Q688))</f>
        <v>49.292632409943373</v>
      </c>
      <c r="E760" s="155" t="e">
        <f t="shared" si="180"/>
        <v>#DIV/0!</v>
      </c>
      <c r="F760" s="150" t="e">
        <f t="shared" si="157"/>
        <v>#DIV/0!</v>
      </c>
      <c r="G760" s="127" t="e">
        <f t="shared" si="162"/>
        <v>#DIV/0!</v>
      </c>
      <c r="J760" s="155">
        <f t="shared" si="181"/>
        <v>10.109506774990543</v>
      </c>
      <c r="L760" s="152">
        <f>'[5]Monthly Prices'!$D400</f>
        <v>51.05808138930086</v>
      </c>
      <c r="Q760" s="154">
        <f t="shared" si="168"/>
        <v>1.7654489793574868</v>
      </c>
      <c r="U760" s="120" t="e">
        <f t="shared" si="173"/>
        <v>#DIV/0!</v>
      </c>
      <c r="V760" s="148" t="e">
        <f t="shared" si="182"/>
        <v>#DIV/0!</v>
      </c>
      <c r="AF760" s="135"/>
    </row>
    <row r="761" spans="1:32">
      <c r="A761" s="99">
        <v>48639</v>
      </c>
      <c r="B761" s="155" t="e">
        <f t="shared" si="179"/>
        <v>#DIV/0!</v>
      </c>
      <c r="C761" s="120" t="e">
        <f t="shared" si="167"/>
        <v>#DIV/0!</v>
      </c>
      <c r="D761" s="155">
        <f t="shared" si="183"/>
        <v>63.431150965474714</v>
      </c>
      <c r="E761" s="155" t="e">
        <f t="shared" si="180"/>
        <v>#DIV/0!</v>
      </c>
      <c r="F761" s="150" t="e">
        <f t="shared" si="157"/>
        <v>#DIV/0!</v>
      </c>
      <c r="G761" s="127" t="e">
        <f t="shared" si="162"/>
        <v>#DIV/0!</v>
      </c>
      <c r="J761" s="155">
        <f t="shared" si="181"/>
        <v>10.187796659773285</v>
      </c>
      <c r="L761" s="152">
        <f>'[5]Monthly Prices'!$D401</f>
        <v>64.13215879204509</v>
      </c>
      <c r="Q761" s="154">
        <f t="shared" si="168"/>
        <v>0.70100782657037541</v>
      </c>
      <c r="U761" s="120" t="e">
        <f t="shared" si="173"/>
        <v>#DIV/0!</v>
      </c>
      <c r="V761" s="148" t="e">
        <f t="shared" si="182"/>
        <v>#DIV/0!</v>
      </c>
      <c r="AF761" s="135"/>
    </row>
    <row r="762" spans="1:32">
      <c r="A762" s="99">
        <v>48670</v>
      </c>
      <c r="B762" s="155" t="e">
        <f t="shared" si="179"/>
        <v>#DIV/0!</v>
      </c>
      <c r="C762" s="120" t="e">
        <f t="shared" si="167"/>
        <v>#DIV/0!</v>
      </c>
      <c r="D762" s="155">
        <f t="shared" si="183"/>
        <v>69.547146098081953</v>
      </c>
      <c r="E762" s="155" t="e">
        <f t="shared" si="180"/>
        <v>#DIV/0!</v>
      </c>
      <c r="F762" s="150" t="e">
        <f t="shared" si="157"/>
        <v>#DIV/0!</v>
      </c>
      <c r="G762" s="127" t="e">
        <f t="shared" si="162"/>
        <v>#DIV/0!</v>
      </c>
      <c r="J762" s="155">
        <f t="shared" si="181"/>
        <v>10.410694627128612</v>
      </c>
      <c r="L762" s="152">
        <f>'[5]Monthly Prices'!$D402</f>
        <v>71.329710130344424</v>
      </c>
      <c r="Q762" s="154">
        <f t="shared" si="168"/>
        <v>1.7825640322624707</v>
      </c>
      <c r="U762" s="120" t="e">
        <f t="shared" si="173"/>
        <v>#DIV/0!</v>
      </c>
      <c r="V762" s="148" t="e">
        <f t="shared" si="182"/>
        <v>#DIV/0!</v>
      </c>
      <c r="AF762" s="135"/>
    </row>
    <row r="763" spans="1:32">
      <c r="A763" s="99">
        <v>48700</v>
      </c>
      <c r="B763" s="155" t="e">
        <f t="shared" si="179"/>
        <v>#DIV/0!</v>
      </c>
      <c r="C763" s="120" t="e">
        <f t="shared" si="167"/>
        <v>#DIV/0!</v>
      </c>
      <c r="D763" s="155">
        <f t="shared" si="183"/>
        <v>67.020731657880063</v>
      </c>
      <c r="E763" s="155" t="e">
        <f t="shared" si="180"/>
        <v>#DIV/0!</v>
      </c>
      <c r="F763" s="150" t="e">
        <f t="shared" si="157"/>
        <v>#DIV/0!</v>
      </c>
      <c r="G763" s="127" t="e">
        <f t="shared" si="162"/>
        <v>#DIV/0!</v>
      </c>
      <c r="J763" s="155">
        <f t="shared" si="181"/>
        <v>10.580974813873738</v>
      </c>
      <c r="L763" s="152">
        <f>'[5]Monthly Prices'!$D403</f>
        <v>72.895002739001029</v>
      </c>
      <c r="Q763" s="154">
        <f t="shared" si="168"/>
        <v>5.8742710811209662</v>
      </c>
      <c r="U763" s="120" t="e">
        <f t="shared" si="173"/>
        <v>#DIV/0!</v>
      </c>
      <c r="V763" s="148" t="e">
        <f t="shared" si="182"/>
        <v>#DIV/0!</v>
      </c>
      <c r="AF763" s="135"/>
    </row>
    <row r="764" spans="1:32">
      <c r="A764" s="99">
        <v>48731</v>
      </c>
      <c r="B764" s="155" t="e">
        <f t="shared" si="179"/>
        <v>#DIV/0!</v>
      </c>
      <c r="C764" s="120" t="e">
        <f t="shared" si="167"/>
        <v>#DIV/0!</v>
      </c>
      <c r="D764" s="155">
        <f t="shared" si="183"/>
        <v>65.643372889062832</v>
      </c>
      <c r="E764" s="155" t="e">
        <f t="shared" si="180"/>
        <v>#DIV/0!</v>
      </c>
      <c r="F764" s="150" t="e">
        <f t="shared" si="157"/>
        <v>#DIV/0!</v>
      </c>
      <c r="G764" s="127" t="e">
        <f t="shared" si="162"/>
        <v>#DIV/0!</v>
      </c>
      <c r="J764" s="155">
        <f t="shared" si="181"/>
        <v>10.551085589143188</v>
      </c>
      <c r="L764" s="152">
        <f>'[5]Monthly Prices'!$D404</f>
        <v>72.574299471045038</v>
      </c>
      <c r="Q764" s="154">
        <f t="shared" si="168"/>
        <v>6.9309265819822059</v>
      </c>
      <c r="U764" s="120" t="e">
        <f t="shared" si="173"/>
        <v>#DIV/0!</v>
      </c>
      <c r="V764" s="148" t="e">
        <f t="shared" si="182"/>
        <v>#DIV/0!</v>
      </c>
      <c r="AF764" s="135"/>
    </row>
    <row r="765" spans="1:32">
      <c r="A765" s="99">
        <v>48761</v>
      </c>
      <c r="B765" s="155" t="e">
        <f t="shared" si="179"/>
        <v>#DIV/0!</v>
      </c>
      <c r="C765" s="120" t="e">
        <f t="shared" si="167"/>
        <v>#DIV/0!</v>
      </c>
      <c r="D765" s="155">
        <f t="shared" si="183"/>
        <v>67.958055654063145</v>
      </c>
      <c r="E765" s="155" t="e">
        <f t="shared" si="180"/>
        <v>#DIV/0!</v>
      </c>
      <c r="F765" s="150" t="e">
        <f t="shared" si="157"/>
        <v>#DIV/0!</v>
      </c>
      <c r="G765" s="127" t="e">
        <f t="shared" si="162"/>
        <v>#DIV/0!</v>
      </c>
      <c r="J765" s="155">
        <f t="shared" si="181"/>
        <v>10.582020626775153</v>
      </c>
      <c r="L765" s="152">
        <f>'[5]Monthly Prices'!$D405</f>
        <v>74.341014504322388</v>
      </c>
      <c r="Q765" s="154">
        <f t="shared" si="168"/>
        <v>6.3829588502592429</v>
      </c>
      <c r="U765" s="120" t="e">
        <f t="shared" si="173"/>
        <v>#DIV/0!</v>
      </c>
      <c r="V765" s="148" t="e">
        <f t="shared" si="182"/>
        <v>#DIV/0!</v>
      </c>
      <c r="AF765" s="135"/>
    </row>
    <row r="766" spans="1:32">
      <c r="A766" s="99">
        <v>48792</v>
      </c>
      <c r="B766" s="155" t="e">
        <f t="shared" si="179"/>
        <v>#DIV/0!</v>
      </c>
      <c r="C766" s="120" t="e">
        <f t="shared" si="167"/>
        <v>#DIV/0!</v>
      </c>
      <c r="D766" s="155">
        <f t="shared" si="183"/>
        <v>27.530982228784225</v>
      </c>
      <c r="E766" s="155" t="e">
        <f t="shared" si="180"/>
        <v>#DIV/0!</v>
      </c>
      <c r="F766" s="150" t="e">
        <f t="shared" si="157"/>
        <v>#DIV/0!</v>
      </c>
      <c r="G766" s="127" t="e">
        <f t="shared" si="162"/>
        <v>#DIV/0!</v>
      </c>
      <c r="J766" s="155">
        <f t="shared" si="181"/>
        <v>10.238787306775684</v>
      </c>
      <c r="L766" s="152">
        <f>'[5]Monthly Prices'!$D406</f>
        <v>34.5045949740799</v>
      </c>
      <c r="Q766" s="154">
        <f t="shared" si="168"/>
        <v>6.9736127452956751</v>
      </c>
      <c r="U766" s="120" t="e">
        <f t="shared" si="173"/>
        <v>#DIV/0!</v>
      </c>
      <c r="V766" s="148" t="e">
        <f t="shared" si="182"/>
        <v>#DIV/0!</v>
      </c>
      <c r="AF766" s="135"/>
    </row>
    <row r="767" spans="1:32">
      <c r="A767" s="99">
        <v>48823</v>
      </c>
      <c r="B767" s="155" t="e">
        <f>W$999*G982</f>
        <v>#DIV/0!</v>
      </c>
      <c r="C767" s="120" t="e">
        <f t="shared" si="167"/>
        <v>#DIV/0!</v>
      </c>
      <c r="D767" s="155">
        <f t="shared" si="183"/>
        <v>35.10360937816143</v>
      </c>
      <c r="E767" s="155" t="e">
        <f t="shared" si="180"/>
        <v>#DIV/0!</v>
      </c>
      <c r="F767" s="150" t="e">
        <f t="shared" si="157"/>
        <v>#DIV/0!</v>
      </c>
      <c r="G767" s="127" t="e">
        <f t="shared" si="162"/>
        <v>#DIV/0!</v>
      </c>
      <c r="J767" s="155">
        <f>$W$1000*Q982</f>
        <v>11.386110427467392</v>
      </c>
      <c r="L767" s="152">
        <f>'[5]Monthly Prices'!$D407</f>
        <v>40.262244688983927</v>
      </c>
      <c r="Q767" s="154">
        <f t="shared" si="168"/>
        <v>5.1586353108224969</v>
      </c>
      <c r="U767" s="120" t="e">
        <f t="shared" si="173"/>
        <v>#DIV/0!</v>
      </c>
      <c r="V767" s="148" t="e">
        <f>(W$1001*Y982)+W$1001</f>
        <v>#DIV/0!</v>
      </c>
      <c r="AF767" s="135"/>
    </row>
    <row r="768" spans="1:32">
      <c r="A768" s="99">
        <v>48853</v>
      </c>
      <c r="B768" s="155" t="e">
        <f t="shared" ref="B768:B778" si="184">W$999*G983</f>
        <v>#DIV/0!</v>
      </c>
      <c r="C768" s="120" t="e">
        <f t="shared" si="167"/>
        <v>#DIV/0!</v>
      </c>
      <c r="D768" s="155">
        <f t="shared" si="183"/>
        <v>39.398386142652079</v>
      </c>
      <c r="E768" s="155" t="e">
        <f>$W$1008*J983</f>
        <v>#DIV/0!</v>
      </c>
      <c r="F768" s="150" t="e">
        <f t="shared" si="157"/>
        <v>#DIV/0!</v>
      </c>
      <c r="G768" s="127" t="e">
        <f t="shared" si="162"/>
        <v>#DIV/0!</v>
      </c>
      <c r="J768" s="155">
        <f t="shared" ref="J768:J778" si="185">$W$1000*Q983</f>
        <v>10.860393909176308</v>
      </c>
      <c r="L768" s="152">
        <f>'[5]Monthly Prices'!$D408</f>
        <v>43.337463118719135</v>
      </c>
      <c r="Q768" s="154">
        <f t="shared" si="168"/>
        <v>3.9390769760670565</v>
      </c>
      <c r="U768" s="120" t="e">
        <f t="shared" si="173"/>
        <v>#DIV/0!</v>
      </c>
      <c r="V768" s="148" t="e">
        <f t="shared" ref="V768:V778" si="186">(W$1001*Y983)+W$1001</f>
        <v>#DIV/0!</v>
      </c>
      <c r="AF768" s="135"/>
    </row>
    <row r="769" spans="1:32">
      <c r="A769" s="99">
        <v>48884</v>
      </c>
      <c r="B769" s="155" t="e">
        <f t="shared" si="184"/>
        <v>#DIV/0!</v>
      </c>
      <c r="C769" s="120" t="e">
        <f t="shared" si="167"/>
        <v>#DIV/0!</v>
      </c>
      <c r="D769" s="155">
        <f t="shared" si="183"/>
        <v>29.09015139837333</v>
      </c>
      <c r="E769" s="155" t="e">
        <f t="shared" ref="E769:E779" si="187">$W$1008*J984</f>
        <v>#DIV/0!</v>
      </c>
      <c r="F769" s="150" t="e">
        <f t="shared" si="157"/>
        <v>#DIV/0!</v>
      </c>
      <c r="G769" s="127" t="e">
        <f t="shared" si="162"/>
        <v>#DIV/0!</v>
      </c>
      <c r="J769" s="155">
        <f t="shared" si="185"/>
        <v>11.150285401186702</v>
      </c>
      <c r="L769" s="152">
        <f>'[5]Monthly Prices'!$D409</f>
        <v>33.95001829962645</v>
      </c>
      <c r="Q769" s="154">
        <f t="shared" si="168"/>
        <v>4.8598669012531204</v>
      </c>
      <c r="U769" s="120" t="e">
        <f t="shared" si="173"/>
        <v>#DIV/0!</v>
      </c>
      <c r="V769" s="148" t="e">
        <f t="shared" si="186"/>
        <v>#DIV/0!</v>
      </c>
      <c r="AF769" s="135"/>
    </row>
    <row r="770" spans="1:32">
      <c r="A770" s="99">
        <v>48914</v>
      </c>
      <c r="B770" s="155" t="e">
        <f t="shared" si="184"/>
        <v>#DIV/0!</v>
      </c>
      <c r="C770" s="120" t="e">
        <f t="shared" si="167"/>
        <v>#DIV/0!</v>
      </c>
      <c r="D770" s="155">
        <f t="shared" si="183"/>
        <v>56.129704520336624</v>
      </c>
      <c r="E770" s="155" t="e">
        <f t="shared" si="187"/>
        <v>#DIV/0!</v>
      </c>
      <c r="F770" s="150" t="e">
        <f t="shared" si="157"/>
        <v>#DIV/0!</v>
      </c>
      <c r="G770" s="127" t="e">
        <f t="shared" si="162"/>
        <v>#DIV/0!</v>
      </c>
      <c r="J770" s="155">
        <f t="shared" si="185"/>
        <v>11.335986689083324</v>
      </c>
      <c r="L770" s="152">
        <f>'[5]Monthly Prices'!$D410</f>
        <v>60.024018290580408</v>
      </c>
      <c r="Q770" s="154">
        <f t="shared" si="168"/>
        <v>3.8943137702437838</v>
      </c>
      <c r="U770" s="120" t="e">
        <f t="shared" si="173"/>
        <v>#DIV/0!</v>
      </c>
      <c r="V770" s="148" t="e">
        <f t="shared" si="186"/>
        <v>#DIV/0!</v>
      </c>
      <c r="AF770" s="135"/>
    </row>
    <row r="771" spans="1:32">
      <c r="A771" s="99">
        <v>48945</v>
      </c>
      <c r="B771" s="155" t="e">
        <f t="shared" si="184"/>
        <v>#DIV/0!</v>
      </c>
      <c r="C771" s="120" t="e">
        <f t="shared" si="167"/>
        <v>#DIV/0!</v>
      </c>
      <c r="D771" s="155">
        <f t="shared" si="183"/>
        <v>55.613585158176114</v>
      </c>
      <c r="E771" s="155" t="e">
        <f t="shared" si="187"/>
        <v>#DIV/0!</v>
      </c>
      <c r="F771" s="150" t="e">
        <f t="shared" ref="F771:F792" si="188">D771/100*11/(B771+E771)</f>
        <v>#DIV/0!</v>
      </c>
      <c r="G771" s="127" t="e">
        <f t="shared" si="162"/>
        <v>#DIV/0!</v>
      </c>
      <c r="J771" s="155">
        <f t="shared" si="185"/>
        <v>11.469328054978888</v>
      </c>
      <c r="L771" s="152">
        <f>'[5]Monthly Prices'!$D411</f>
        <v>56.93057945212918</v>
      </c>
      <c r="Q771" s="154">
        <f t="shared" si="168"/>
        <v>1.3169942939530657</v>
      </c>
      <c r="U771" s="120" t="e">
        <f t="shared" si="173"/>
        <v>#DIV/0!</v>
      </c>
      <c r="V771" s="148" t="e">
        <f t="shared" si="186"/>
        <v>#DIV/0!</v>
      </c>
      <c r="AF771" s="135"/>
    </row>
    <row r="772" spans="1:32">
      <c r="A772" s="99">
        <v>48976</v>
      </c>
      <c r="B772" s="155" t="e">
        <f t="shared" si="184"/>
        <v>#DIV/0!</v>
      </c>
      <c r="C772" s="120" t="e">
        <f t="shared" si="167"/>
        <v>#DIV/0!</v>
      </c>
      <c r="D772" s="155">
        <f t="shared" si="183"/>
        <v>53.882584719170303</v>
      </c>
      <c r="E772" s="155" t="e">
        <f t="shared" si="187"/>
        <v>#DIV/0!</v>
      </c>
      <c r="F772" s="150" t="e">
        <f t="shared" si="188"/>
        <v>#DIV/0!</v>
      </c>
      <c r="G772" s="127" t="e">
        <f t="shared" si="162"/>
        <v>#DIV/0!</v>
      </c>
      <c r="J772" s="155">
        <f t="shared" si="185"/>
        <v>10.589713629077988</v>
      </c>
      <c r="L772" s="152">
        <f>'[5]Monthly Prices'!$D412</f>
        <v>57.306385908835367</v>
      </c>
      <c r="Q772" s="154">
        <f t="shared" si="168"/>
        <v>3.4238011896650633</v>
      </c>
      <c r="U772" s="120" t="e">
        <f t="shared" si="173"/>
        <v>#DIV/0!</v>
      </c>
      <c r="V772" s="148" t="e">
        <f t="shared" si="186"/>
        <v>#DIV/0!</v>
      </c>
      <c r="AF772" s="135"/>
    </row>
    <row r="773" spans="1:32">
      <c r="A773" s="99">
        <v>49004</v>
      </c>
      <c r="B773" s="155" t="e">
        <f t="shared" si="184"/>
        <v>#DIV/0!</v>
      </c>
      <c r="C773" s="120" t="e">
        <f t="shared" si="167"/>
        <v>#DIV/0!</v>
      </c>
      <c r="D773" s="155">
        <f t="shared" si="183"/>
        <v>67.124829720250005</v>
      </c>
      <c r="E773" s="155" t="e">
        <f t="shared" si="187"/>
        <v>#DIV/0!</v>
      </c>
      <c r="F773" s="150" t="e">
        <f t="shared" si="188"/>
        <v>#DIV/0!</v>
      </c>
      <c r="G773" s="127" t="e">
        <f t="shared" si="162"/>
        <v>#DIV/0!</v>
      </c>
      <c r="J773" s="155">
        <f t="shared" si="185"/>
        <v>10.671722324294826</v>
      </c>
      <c r="L773" s="152">
        <f>'[5]Monthly Prices'!$D413</f>
        <v>70.356946904115588</v>
      </c>
      <c r="Q773" s="154">
        <f t="shared" si="168"/>
        <v>3.2321171838655829</v>
      </c>
      <c r="U773" s="120" t="e">
        <f t="shared" si="173"/>
        <v>#DIV/0!</v>
      </c>
      <c r="V773" s="148" t="e">
        <f t="shared" si="186"/>
        <v>#DIV/0!</v>
      </c>
      <c r="AF773" s="135"/>
    </row>
    <row r="774" spans="1:32">
      <c r="A774" s="99">
        <v>49035</v>
      </c>
      <c r="B774" s="155" t="e">
        <f t="shared" si="184"/>
        <v>#DIV/0!</v>
      </c>
      <c r="C774" s="120" t="e">
        <f t="shared" si="167"/>
        <v>#DIV/0!</v>
      </c>
      <c r="D774" s="155">
        <f t="shared" si="183"/>
        <v>72.781334073455184</v>
      </c>
      <c r="E774" s="155" t="e">
        <f t="shared" si="187"/>
        <v>#DIV/0!</v>
      </c>
      <c r="F774" s="150" t="e">
        <f t="shared" si="188"/>
        <v>#DIV/0!</v>
      </c>
      <c r="G774" s="127" t="e">
        <f t="shared" si="162"/>
        <v>#DIV/0!</v>
      </c>
      <c r="J774" s="155">
        <f t="shared" si="185"/>
        <v>10.905208061564998</v>
      </c>
      <c r="L774" s="152">
        <f>'[5]Monthly Prices'!$D414</f>
        <v>76.919416375574116</v>
      </c>
      <c r="Q774" s="154">
        <f t="shared" si="168"/>
        <v>4.1380823021189315</v>
      </c>
      <c r="U774" s="120" t="e">
        <f t="shared" si="173"/>
        <v>#DIV/0!</v>
      </c>
      <c r="V774" s="148" t="e">
        <f t="shared" si="186"/>
        <v>#DIV/0!</v>
      </c>
      <c r="AF774" s="135"/>
    </row>
    <row r="775" spans="1:32">
      <c r="A775" s="99">
        <v>49065</v>
      </c>
      <c r="B775" s="155" t="e">
        <f t="shared" si="184"/>
        <v>#DIV/0!</v>
      </c>
      <c r="C775" s="120" t="e">
        <f t="shared" si="167"/>
        <v>#DIV/0!</v>
      </c>
      <c r="D775" s="155">
        <f t="shared" si="183"/>
        <v>75.230805726269352</v>
      </c>
      <c r="E775" s="155" t="e">
        <f t="shared" si="187"/>
        <v>#DIV/0!</v>
      </c>
      <c r="F775" s="150" t="e">
        <f t="shared" si="188"/>
        <v>#DIV/0!</v>
      </c>
      <c r="G775" s="127" t="e">
        <f t="shared" si="162"/>
        <v>#DIV/0!</v>
      </c>
      <c r="J775" s="155">
        <f t="shared" si="185"/>
        <v>11.083576646152896</v>
      </c>
      <c r="L775" s="152">
        <f>'[5]Monthly Prices'!$D415</f>
        <v>80.696605336334514</v>
      </c>
      <c r="Q775" s="154">
        <f t="shared" si="168"/>
        <v>5.4657996100651616</v>
      </c>
      <c r="U775" s="120" t="e">
        <f t="shared" si="173"/>
        <v>#DIV/0!</v>
      </c>
      <c r="V775" s="148" t="e">
        <f t="shared" si="186"/>
        <v>#DIV/0!</v>
      </c>
      <c r="AF775" s="135"/>
    </row>
    <row r="776" spans="1:32">
      <c r="A776" s="99">
        <v>49096</v>
      </c>
      <c r="B776" s="155" t="e">
        <f t="shared" si="184"/>
        <v>#DIV/0!</v>
      </c>
      <c r="C776" s="120" t="e">
        <f t="shared" si="167"/>
        <v>#DIV/0!</v>
      </c>
      <c r="D776" s="155">
        <f t="shared" si="183"/>
        <v>76.08906585317294</v>
      </c>
      <c r="E776" s="155" t="e">
        <f t="shared" si="187"/>
        <v>#DIV/0!</v>
      </c>
      <c r="F776" s="150" t="e">
        <f t="shared" si="188"/>
        <v>#DIV/0!</v>
      </c>
      <c r="G776" s="127" t="e">
        <f t="shared" si="162"/>
        <v>#DIV/0!</v>
      </c>
      <c r="J776" s="155">
        <f t="shared" si="185"/>
        <v>11.052267667630352</v>
      </c>
      <c r="L776" s="152">
        <f>'[5]Monthly Prices'!$D416</f>
        <v>82.324314847287297</v>
      </c>
      <c r="Q776" s="154">
        <f t="shared" si="168"/>
        <v>6.2352489941143574</v>
      </c>
      <c r="U776" s="120" t="e">
        <f t="shared" si="173"/>
        <v>#DIV/0!</v>
      </c>
      <c r="V776" s="148" t="e">
        <f t="shared" si="186"/>
        <v>#DIV/0!</v>
      </c>
      <c r="AF776" s="135"/>
    </row>
    <row r="777" spans="1:32">
      <c r="A777" s="99">
        <v>49126</v>
      </c>
      <c r="B777" s="155" t="e">
        <f t="shared" si="184"/>
        <v>#DIV/0!</v>
      </c>
      <c r="C777" s="120" t="e">
        <f t="shared" si="167"/>
        <v>#DIV/0!</v>
      </c>
      <c r="D777" s="155">
        <f t="shared" si="183"/>
        <v>78.916478214604922</v>
      </c>
      <c r="E777" s="155" t="e">
        <f t="shared" si="187"/>
        <v>#DIV/0!</v>
      </c>
      <c r="F777" s="150" t="e">
        <f t="shared" si="188"/>
        <v>#DIV/0!</v>
      </c>
      <c r="G777" s="127" t="e">
        <f t="shared" si="162"/>
        <v>#DIV/0!</v>
      </c>
      <c r="J777" s="155">
        <f t="shared" si="185"/>
        <v>11.084672135713571</v>
      </c>
      <c r="L777" s="152">
        <f>'[5]Monthly Prices'!$D417</f>
        <v>85.316014892064246</v>
      </c>
      <c r="Q777" s="154">
        <f t="shared" si="168"/>
        <v>6.3995366774593236</v>
      </c>
      <c r="U777" s="120" t="e">
        <f t="shared" si="173"/>
        <v>#DIV/0!</v>
      </c>
      <c r="V777" s="148" t="e">
        <f t="shared" si="186"/>
        <v>#DIV/0!</v>
      </c>
      <c r="AF777" s="135"/>
    </row>
    <row r="778" spans="1:32">
      <c r="A778" s="99">
        <v>49157</v>
      </c>
      <c r="B778" s="155" t="e">
        <f t="shared" si="184"/>
        <v>#DIV/0!</v>
      </c>
      <c r="C778" s="120" t="e">
        <f t="shared" si="167"/>
        <v>#DIV/0!</v>
      </c>
      <c r="D778" s="155">
        <f t="shared" si="183"/>
        <v>41.989694913149783</v>
      </c>
      <c r="E778" s="155" t="e">
        <f t="shared" si="187"/>
        <v>#DIV/0!</v>
      </c>
      <c r="F778" s="150" t="e">
        <f t="shared" si="188"/>
        <v>#DIV/0!</v>
      </c>
      <c r="G778" s="127" t="e">
        <f t="shared" si="162"/>
        <v>#DIV/0!</v>
      </c>
      <c r="J778" s="155">
        <f t="shared" si="185"/>
        <v>10.725135053672744</v>
      </c>
      <c r="L778" s="152">
        <f>'[5]Monthly Prices'!$D418</f>
        <v>48.915894575566533</v>
      </c>
      <c r="Q778" s="154">
        <f t="shared" si="168"/>
        <v>6.9261996624167494</v>
      </c>
      <c r="U778" s="120" t="e">
        <f t="shared" si="173"/>
        <v>#DIV/0!</v>
      </c>
      <c r="V778" s="148" t="e">
        <f t="shared" si="186"/>
        <v>#DIV/0!</v>
      </c>
      <c r="AF778" s="135"/>
    </row>
    <row r="779" spans="1:32">
      <c r="A779" s="99">
        <v>49188</v>
      </c>
      <c r="B779" s="155" t="e">
        <f>X$999*G982</f>
        <v>#DIV/0!</v>
      </c>
      <c r="C779" s="120" t="e">
        <f t="shared" si="167"/>
        <v>#DIV/0!</v>
      </c>
      <c r="D779" s="155">
        <f t="shared" si="183"/>
        <v>25.516034670054843</v>
      </c>
      <c r="E779" s="155" t="e">
        <f t="shared" si="187"/>
        <v>#DIV/0!</v>
      </c>
      <c r="F779" s="150" t="e">
        <f t="shared" si="188"/>
        <v>#DIV/0!</v>
      </c>
      <c r="G779" s="127" t="e">
        <f t="shared" si="162"/>
        <v>#DIV/0!</v>
      </c>
      <c r="J779" s="155">
        <f>$X$1000*Q982</f>
        <v>11.644270773449403</v>
      </c>
      <c r="L779" s="152">
        <f>'[5]Monthly Prices'!$D419</f>
        <v>30.718223558428498</v>
      </c>
      <c r="Q779" s="154">
        <f t="shared" si="168"/>
        <v>5.2021888883736551</v>
      </c>
      <c r="U779" s="120" t="e">
        <f t="shared" si="173"/>
        <v>#DIV/0!</v>
      </c>
      <c r="V779" s="148" t="e">
        <f>(X$1001*Y982)+X$1001</f>
        <v>#DIV/0!</v>
      </c>
      <c r="AF779" s="135"/>
    </row>
    <row r="780" spans="1:32">
      <c r="A780" s="99">
        <v>49218</v>
      </c>
      <c r="B780" s="155" t="e">
        <f t="shared" ref="B780:B790" si="189">X$999*G983</f>
        <v>#DIV/0!</v>
      </c>
      <c r="C780" s="120" t="e">
        <f t="shared" si="167"/>
        <v>#DIV/0!</v>
      </c>
      <c r="D780" s="155">
        <f t="shared" si="183"/>
        <v>29.930076059954416</v>
      </c>
      <c r="E780" s="155" t="e">
        <f>$X$1008*J983</f>
        <v>#DIV/0!</v>
      </c>
      <c r="F780" s="150" t="e">
        <f t="shared" si="188"/>
        <v>#DIV/0!</v>
      </c>
      <c r="G780" s="127" t="e">
        <f t="shared" si="162"/>
        <v>#DIV/0!</v>
      </c>
      <c r="J780" s="155">
        <f t="shared" ref="J780:J791" si="190">$X$1000*Q983</f>
        <v>11.10663454305689</v>
      </c>
      <c r="L780" s="152">
        <f>'[5]Monthly Prices'!$D420</f>
        <v>33.829984790649782</v>
      </c>
      <c r="Q780" s="154">
        <f t="shared" si="168"/>
        <v>3.8999087306953655</v>
      </c>
      <c r="U780" s="120" t="e">
        <f t="shared" si="173"/>
        <v>#DIV/0!</v>
      </c>
      <c r="V780" s="148" t="e">
        <f t="shared" ref="V780:V790" si="191">(X$1001*Y983)+X$1001</f>
        <v>#DIV/0!</v>
      </c>
      <c r="AF780" s="135"/>
    </row>
    <row r="781" spans="1:32">
      <c r="A781" s="99">
        <v>49249</v>
      </c>
      <c r="B781" s="155" t="e">
        <f t="shared" si="189"/>
        <v>#DIV/0!</v>
      </c>
      <c r="C781" s="120" t="e">
        <f t="shared" si="167"/>
        <v>#DIV/0!</v>
      </c>
      <c r="D781" s="155">
        <f t="shared" si="183"/>
        <v>18.863055941083925</v>
      </c>
      <c r="E781" s="155" t="e">
        <f t="shared" ref="E781:E791" si="192">$X$1008*J984</f>
        <v>#DIV/0!</v>
      </c>
      <c r="F781" s="150" t="e">
        <f t="shared" si="188"/>
        <v>#DIV/0!</v>
      </c>
      <c r="G781" s="127" t="e">
        <f t="shared" ref="G781:G792" si="193">F781-F780</f>
        <v>#DIV/0!</v>
      </c>
      <c r="J781" s="155">
        <f t="shared" si="190"/>
        <v>11.403098822881997</v>
      </c>
      <c r="L781" s="152">
        <f>'[5]Monthly Prices'!$D421</f>
        <v>23.580103141995281</v>
      </c>
      <c r="Q781" s="154">
        <f t="shared" si="168"/>
        <v>4.717047200911356</v>
      </c>
      <c r="U781" s="120" t="e">
        <f t="shared" si="173"/>
        <v>#DIV/0!</v>
      </c>
      <c r="V781" s="148" t="e">
        <f t="shared" si="191"/>
        <v>#DIV/0!</v>
      </c>
      <c r="AF781" s="135"/>
    </row>
    <row r="782" spans="1:32">
      <c r="A782" s="99">
        <v>49279</v>
      </c>
      <c r="B782" s="155" t="e">
        <f t="shared" si="189"/>
        <v>#DIV/0!</v>
      </c>
      <c r="C782" s="120" t="e">
        <f t="shared" si="167"/>
        <v>#DIV/0!</v>
      </c>
      <c r="D782" s="155">
        <f t="shared" si="183"/>
        <v>56.786341277126262</v>
      </c>
      <c r="E782" s="155" t="e">
        <f t="shared" si="192"/>
        <v>#DIV/0!</v>
      </c>
      <c r="F782" s="150" t="e">
        <f t="shared" si="188"/>
        <v>#DIV/0!</v>
      </c>
      <c r="G782" s="127" t="e">
        <f t="shared" si="193"/>
        <v>#DIV/0!</v>
      </c>
      <c r="J782" s="155">
        <f t="shared" si="190"/>
        <v>11.593010566055518</v>
      </c>
      <c r="L782" s="152">
        <f>'[5]Monthly Prices'!$D422</f>
        <v>59.840370501911856</v>
      </c>
      <c r="Q782" s="154">
        <f t="shared" si="168"/>
        <v>3.0540292247855945</v>
      </c>
      <c r="U782" s="120" t="e">
        <f t="shared" si="173"/>
        <v>#DIV/0!</v>
      </c>
      <c r="V782" s="148" t="e">
        <f t="shared" si="191"/>
        <v>#DIV/0!</v>
      </c>
      <c r="AF782" s="135"/>
    </row>
    <row r="783" spans="1:32">
      <c r="A783" s="99">
        <v>49310</v>
      </c>
      <c r="B783" s="155" t="e">
        <f t="shared" si="189"/>
        <v>#DIV/0!</v>
      </c>
      <c r="C783" s="120" t="e">
        <f t="shared" si="167"/>
        <v>#DIV/0!</v>
      </c>
      <c r="D783" s="155">
        <f t="shared" si="183"/>
        <v>54.714866602003333</v>
      </c>
      <c r="E783" s="155" t="e">
        <f t="shared" si="192"/>
        <v>#DIV/0!</v>
      </c>
      <c r="F783" s="150" t="e">
        <f t="shared" si="188"/>
        <v>#DIV/0!</v>
      </c>
      <c r="G783" s="127" t="e">
        <f t="shared" si="193"/>
        <v>#DIV/0!</v>
      </c>
      <c r="J783" s="155">
        <f t="shared" si="190"/>
        <v>11.729375216625215</v>
      </c>
      <c r="L783" s="152">
        <f>'[5]Monthly Prices'!$D423</f>
        <v>56.034092729540362</v>
      </c>
      <c r="Q783" s="154">
        <f t="shared" si="168"/>
        <v>1.3192261275370285</v>
      </c>
      <c r="U783" s="120" t="e">
        <f t="shared" si="173"/>
        <v>#DIV/0!</v>
      </c>
      <c r="V783" s="148" t="e">
        <f t="shared" si="191"/>
        <v>#DIV/0!</v>
      </c>
      <c r="AF783" s="135"/>
    </row>
    <row r="784" spans="1:32">
      <c r="A784" s="99">
        <v>49341</v>
      </c>
      <c r="B784" s="155" t="e">
        <f t="shared" si="189"/>
        <v>#DIV/0!</v>
      </c>
      <c r="C784" s="120" t="e">
        <f t="shared" si="167"/>
        <v>#DIV/0!</v>
      </c>
      <c r="D784" s="155">
        <f t="shared" si="183"/>
        <v>51.797483199990751</v>
      </c>
      <c r="E784" s="155" t="e">
        <f t="shared" si="192"/>
        <v>#DIV/0!</v>
      </c>
      <c r="F784" s="150" t="e">
        <f t="shared" si="188"/>
        <v>#DIV/0!</v>
      </c>
      <c r="G784" s="127" t="e">
        <f t="shared" si="193"/>
        <v>#DIV/0!</v>
      </c>
      <c r="J784" s="155">
        <f t="shared" si="190"/>
        <v>10.82981705612171</v>
      </c>
      <c r="L784" s="152">
        <f>'[5]Monthly Prices'!$D424</f>
        <v>54.837909324793671</v>
      </c>
      <c r="Q784" s="154">
        <f t="shared" si="168"/>
        <v>3.0404261248029201</v>
      </c>
      <c r="U784" s="120" t="e">
        <f t="shared" si="173"/>
        <v>#DIV/0!</v>
      </c>
      <c r="V784" s="148" t="e">
        <f t="shared" si="191"/>
        <v>#DIV/0!</v>
      </c>
      <c r="AF784" s="135"/>
    </row>
    <row r="785" spans="1:32">
      <c r="A785" s="99">
        <v>49369</v>
      </c>
      <c r="B785" s="155" t="e">
        <f t="shared" si="189"/>
        <v>#DIV/0!</v>
      </c>
      <c r="C785" s="120" t="e">
        <f t="shared" si="167"/>
        <v>#DIV/0!</v>
      </c>
      <c r="D785" s="155">
        <f t="shared" si="183"/>
        <v>66.208811257532986</v>
      </c>
      <c r="E785" s="155" t="e">
        <f t="shared" si="192"/>
        <v>#DIV/0!</v>
      </c>
      <c r="F785" s="150" t="e">
        <f t="shared" si="188"/>
        <v>#DIV/0!</v>
      </c>
      <c r="G785" s="127" t="e">
        <f t="shared" si="193"/>
        <v>#DIV/0!</v>
      </c>
      <c r="J785" s="155">
        <f t="shared" si="190"/>
        <v>10.913685156555598</v>
      </c>
      <c r="L785" s="152">
        <f>'[5]Monthly Prices'!$D425</f>
        <v>67.806135789007129</v>
      </c>
      <c r="Q785" s="154">
        <f t="shared" si="168"/>
        <v>1.5973245314741433</v>
      </c>
      <c r="U785" s="120" t="e">
        <f t="shared" si="173"/>
        <v>#DIV/0!</v>
      </c>
      <c r="V785" s="148" t="e">
        <f t="shared" si="191"/>
        <v>#DIV/0!</v>
      </c>
      <c r="AF785" s="135"/>
    </row>
    <row r="786" spans="1:32">
      <c r="A786" s="99">
        <v>49400</v>
      </c>
      <c r="B786" s="155" t="e">
        <f t="shared" si="189"/>
        <v>#DIV/0!</v>
      </c>
      <c r="C786" s="120" t="e">
        <f t="shared" si="167"/>
        <v>#DIV/0!</v>
      </c>
      <c r="D786" s="155">
        <f t="shared" si="183"/>
        <v>68.622100812513793</v>
      </c>
      <c r="E786" s="155" t="e">
        <f t="shared" si="192"/>
        <v>#DIV/0!</v>
      </c>
      <c r="F786" s="150" t="e">
        <f t="shared" si="188"/>
        <v>#DIV/0!</v>
      </c>
      <c r="G786" s="127" t="e">
        <f t="shared" si="193"/>
        <v>#DIV/0!</v>
      </c>
      <c r="J786" s="155">
        <f t="shared" si="190"/>
        <v>11.152464778783193</v>
      </c>
      <c r="L786" s="152">
        <f>'[5]Monthly Prices'!$D426</f>
        <v>71.445918715015509</v>
      </c>
      <c r="Q786" s="154">
        <f t="shared" si="168"/>
        <v>2.823817902501716</v>
      </c>
      <c r="U786" s="120" t="e">
        <f t="shared" si="173"/>
        <v>#DIV/0!</v>
      </c>
      <c r="V786" s="148" t="e">
        <f t="shared" si="191"/>
        <v>#DIV/0!</v>
      </c>
      <c r="AF786" s="135"/>
    </row>
    <row r="787" spans="1:32">
      <c r="A787" s="99">
        <v>49430</v>
      </c>
      <c r="B787" s="155" t="e">
        <f t="shared" si="189"/>
        <v>#DIV/0!</v>
      </c>
      <c r="C787" s="120" t="e">
        <f t="shared" si="167"/>
        <v>#DIV/0!</v>
      </c>
      <c r="D787" s="155">
        <f t="shared" si="183"/>
        <v>66.873873740302884</v>
      </c>
      <c r="E787" s="155" t="e">
        <f t="shared" si="192"/>
        <v>#DIV/0!</v>
      </c>
      <c r="F787" s="150" t="e">
        <f t="shared" si="188"/>
        <v>#DIV/0!</v>
      </c>
      <c r="G787" s="127" t="e">
        <f t="shared" si="193"/>
        <v>#DIV/0!</v>
      </c>
      <c r="J787" s="155">
        <f t="shared" si="190"/>
        <v>11.334877562292474</v>
      </c>
      <c r="L787" s="152">
        <f>'[5]Monthly Prices'!$D427</f>
        <v>72.508146496185319</v>
      </c>
      <c r="Q787" s="154">
        <f t="shared" si="168"/>
        <v>5.634272755882435</v>
      </c>
      <c r="U787" s="120" t="e">
        <f t="shared" si="173"/>
        <v>#DIV/0!</v>
      </c>
      <c r="V787" s="148" t="e">
        <f t="shared" si="191"/>
        <v>#DIV/0!</v>
      </c>
      <c r="AF787" s="135"/>
    </row>
    <row r="788" spans="1:32">
      <c r="A788" s="99">
        <v>49461</v>
      </c>
      <c r="B788" s="155" t="e">
        <f t="shared" si="189"/>
        <v>#DIV/0!</v>
      </c>
      <c r="C788" s="120" t="e">
        <f t="shared" si="167"/>
        <v>#DIV/0!</v>
      </c>
      <c r="D788" s="155">
        <f t="shared" si="183"/>
        <v>68.118475049948131</v>
      </c>
      <c r="E788" s="155" t="e">
        <f t="shared" si="192"/>
        <v>#DIV/0!</v>
      </c>
      <c r="F788" s="150" t="e">
        <f t="shared" si="188"/>
        <v>#DIV/0!</v>
      </c>
      <c r="G788" s="127" t="e">
        <f t="shared" si="193"/>
        <v>#DIV/0!</v>
      </c>
      <c r="J788" s="155">
        <f t="shared" si="190"/>
        <v>11.302858706873934</v>
      </c>
      <c r="L788" s="152">
        <f>'[5]Monthly Prices'!$D428</f>
        <v>73.715849320694076</v>
      </c>
      <c r="Q788" s="154">
        <f t="shared" si="168"/>
        <v>5.5973742707459451</v>
      </c>
      <c r="U788" s="120" t="e">
        <f t="shared" si="173"/>
        <v>#DIV/0!</v>
      </c>
      <c r="V788" s="148" t="e">
        <f t="shared" si="191"/>
        <v>#DIV/0!</v>
      </c>
      <c r="AF788" s="135"/>
    </row>
    <row r="789" spans="1:32">
      <c r="A789" s="99">
        <v>49491</v>
      </c>
      <c r="B789" s="155" t="e">
        <f t="shared" si="189"/>
        <v>#DIV/0!</v>
      </c>
      <c r="C789" s="120" t="e">
        <f t="shared" si="167"/>
        <v>#DIV/0!</v>
      </c>
      <c r="D789" s="155">
        <f t="shared" si="183"/>
        <v>70.117573322274694</v>
      </c>
      <c r="E789" s="155" t="e">
        <f t="shared" si="192"/>
        <v>#DIV/0!</v>
      </c>
      <c r="F789" s="150" t="e">
        <f t="shared" si="188"/>
        <v>#DIV/0!</v>
      </c>
      <c r="G789" s="127" t="e">
        <f t="shared" si="193"/>
        <v>#DIV/0!</v>
      </c>
      <c r="J789" s="155">
        <f t="shared" si="190"/>
        <v>11.335997890182782</v>
      </c>
      <c r="L789" s="152">
        <f>'[5]Monthly Prices'!$D429</f>
        <v>76.543035412916936</v>
      </c>
      <c r="Q789" s="154">
        <f t="shared" si="168"/>
        <v>6.4254620906422417</v>
      </c>
      <c r="U789" s="120" t="e">
        <f t="shared" si="173"/>
        <v>#DIV/0!</v>
      </c>
      <c r="V789" s="148" t="e">
        <f t="shared" si="191"/>
        <v>#DIV/0!</v>
      </c>
      <c r="AF789" s="135"/>
    </row>
    <row r="790" spans="1:32">
      <c r="A790" s="99">
        <v>49522</v>
      </c>
      <c r="B790" s="155" t="e">
        <f t="shared" si="189"/>
        <v>#DIV/0!</v>
      </c>
      <c r="C790" s="120" t="e">
        <f t="shared" si="167"/>
        <v>#DIV/0!</v>
      </c>
      <c r="D790" s="155">
        <f t="shared" si="183"/>
        <v>9.8866593765292343</v>
      </c>
      <c r="E790" s="155" t="e">
        <f t="shared" si="192"/>
        <v>#DIV/0!</v>
      </c>
      <c r="F790" s="150" t="e">
        <f t="shared" si="188"/>
        <v>#DIV/0!</v>
      </c>
      <c r="G790" s="127" t="e">
        <f t="shared" si="193"/>
        <v>#DIV/0!</v>
      </c>
      <c r="J790" s="155">
        <f t="shared" si="190"/>
        <v>10.968308927121276</v>
      </c>
      <c r="L790" s="152">
        <f>'[5]Monthly Prices'!$D430</f>
        <v>16.496199511932076</v>
      </c>
      <c r="Q790" s="154">
        <f t="shared" si="168"/>
        <v>6.6095401354028418</v>
      </c>
      <c r="U790" s="120" t="e">
        <f t="shared" si="173"/>
        <v>#DIV/0!</v>
      </c>
      <c r="V790" s="148" t="e">
        <f t="shared" si="191"/>
        <v>#DIV/0!</v>
      </c>
      <c r="AF790" s="135"/>
    </row>
    <row r="791" spans="1:32">
      <c r="A791" s="99">
        <v>49553</v>
      </c>
      <c r="B791" s="155" t="e">
        <f>Y$999*G982</f>
        <v>#DIV/0!</v>
      </c>
      <c r="C791" s="120" t="e">
        <f t="shared" si="167"/>
        <v>#DIV/0!</v>
      </c>
      <c r="D791" s="155">
        <f t="shared" si="183"/>
        <v>4.5127384956520107</v>
      </c>
      <c r="E791" s="155" t="e">
        <f t="shared" si="192"/>
        <v>#DIV/0!</v>
      </c>
      <c r="F791" s="150" t="e">
        <f t="shared" si="188"/>
        <v>#DIV/0!</v>
      </c>
      <c r="G791" s="127" t="e">
        <f t="shared" si="193"/>
        <v>#DIV/0!</v>
      </c>
      <c r="J791" s="155">
        <f t="shared" si="190"/>
        <v>0</v>
      </c>
      <c r="L791" s="152">
        <f>'[5]Monthly Prices'!$D431</f>
        <v>9.4743608940188295</v>
      </c>
      <c r="Q791" s="154">
        <f t="shared" si="168"/>
        <v>4.9616223983668188</v>
      </c>
      <c r="AF791" s="135"/>
    </row>
    <row r="792" spans="1:32">
      <c r="A792" s="99">
        <v>49583</v>
      </c>
      <c r="B792" s="155" t="e">
        <f>Y$999*G983</f>
        <v>#DIV/0!</v>
      </c>
      <c r="C792" s="120" t="e">
        <f t="shared" si="167"/>
        <v>#DIV/0!</v>
      </c>
      <c r="D792" s="155">
        <f t="shared" si="183"/>
        <v>14.897390023630701</v>
      </c>
      <c r="E792" s="155" t="e">
        <f>$Y$1008*J983</f>
        <v>#DIV/0!</v>
      </c>
      <c r="F792" s="150" t="e">
        <f t="shared" si="188"/>
        <v>#DIV/0!</v>
      </c>
      <c r="G792" s="127" t="e">
        <f t="shared" si="193"/>
        <v>#DIV/0!</v>
      </c>
      <c r="L792" s="152">
        <f>'[5]Monthly Prices'!$D432</f>
        <v>18.56197860242251</v>
      </c>
      <c r="Q792" s="154">
        <f t="shared" si="168"/>
        <v>3.6645885787918093</v>
      </c>
      <c r="AF792" s="135"/>
    </row>
    <row r="793" spans="1:32">
      <c r="A793" s="99">
        <v>49614</v>
      </c>
      <c r="B793" s="155"/>
      <c r="C793" s="120"/>
      <c r="D793" s="155">
        <f t="shared" si="183"/>
        <v>5.9623231312069924</v>
      </c>
      <c r="E793" s="155"/>
      <c r="F793" s="150"/>
      <c r="G793" s="127"/>
      <c r="L793" s="152">
        <f>'[5]Monthly Prices'!$D433</f>
        <v>10.512647701469001</v>
      </c>
      <c r="Q793" s="154">
        <f t="shared" si="168"/>
        <v>4.550324570262009</v>
      </c>
      <c r="AF793" s="135"/>
    </row>
    <row r="794" spans="1:32">
      <c r="A794" s="99">
        <v>49644</v>
      </c>
      <c r="B794" s="155"/>
      <c r="C794" s="120"/>
      <c r="D794" s="155">
        <f t="shared" si="183"/>
        <v>41.367732580985006</v>
      </c>
      <c r="E794" s="155"/>
      <c r="F794" s="150"/>
      <c r="G794" s="127"/>
      <c r="L794" s="152">
        <f>'[5]Monthly Prices'!$D434</f>
        <v>44.137886062776751</v>
      </c>
      <c r="Q794" s="154">
        <f t="shared" ref="Q794:Q857" si="194">L794-D794</f>
        <v>2.7701534817917448</v>
      </c>
      <c r="AF794" s="135"/>
    </row>
    <row r="795" spans="1:32">
      <c r="A795" s="99">
        <v>49675</v>
      </c>
      <c r="B795" s="155"/>
      <c r="C795" s="120"/>
      <c r="D795" s="155">
        <f t="shared" si="183"/>
        <v>43.802726001475797</v>
      </c>
      <c r="E795" s="155"/>
      <c r="F795" s="150"/>
      <c r="G795" s="127"/>
      <c r="L795" s="152">
        <f>'[5]Monthly Prices'!$D435</f>
        <v>44.94323216108571</v>
      </c>
      <c r="Q795" s="154">
        <f t="shared" si="194"/>
        <v>1.1405061596099131</v>
      </c>
      <c r="AF795" s="135"/>
    </row>
    <row r="796" spans="1:32">
      <c r="A796" s="99">
        <v>49706</v>
      </c>
      <c r="B796" s="155"/>
      <c r="C796" s="120"/>
      <c r="D796" s="155">
        <f t="shared" si="183"/>
        <v>42.900758081399431</v>
      </c>
      <c r="E796" s="155"/>
      <c r="F796" s="150"/>
      <c r="G796" s="127"/>
      <c r="L796" s="152">
        <f>'[5]Monthly Prices'!$D436</f>
        <v>45.811175425093218</v>
      </c>
      <c r="Q796" s="154">
        <f t="shared" si="194"/>
        <v>2.910417343693787</v>
      </c>
      <c r="AF796" s="135"/>
    </row>
    <row r="797" spans="1:32">
      <c r="A797" s="99">
        <v>49735</v>
      </c>
      <c r="B797" s="155"/>
      <c r="C797" s="120"/>
      <c r="D797" s="155">
        <f t="shared" si="183"/>
        <v>55.030518287869462</v>
      </c>
      <c r="E797" s="155"/>
      <c r="F797" s="150"/>
      <c r="G797" s="127"/>
      <c r="L797" s="152">
        <f>'[5]Monthly Prices'!$D437</f>
        <v>56.483395034744397</v>
      </c>
      <c r="Q797" s="154">
        <f t="shared" si="194"/>
        <v>1.4528767468749351</v>
      </c>
      <c r="AF797" s="135"/>
    </row>
    <row r="798" spans="1:32">
      <c r="A798" s="99">
        <v>49766</v>
      </c>
      <c r="B798" s="155"/>
      <c r="C798" s="120"/>
      <c r="D798" s="155">
        <f t="shared" si="183"/>
        <v>60.170396897132044</v>
      </c>
      <c r="E798" s="155"/>
      <c r="F798" s="150"/>
      <c r="G798" s="127"/>
      <c r="L798" s="152">
        <f>'[5]Monthly Prices'!$D438</f>
        <v>63.031658035723979</v>
      </c>
      <c r="Q798" s="154">
        <f t="shared" si="194"/>
        <v>2.8612611385919351</v>
      </c>
      <c r="AF798" s="135"/>
    </row>
    <row r="799" spans="1:32">
      <c r="A799" s="99">
        <v>49796</v>
      </c>
      <c r="B799" s="155"/>
      <c r="C799" s="120"/>
      <c r="D799" s="155">
        <f t="shared" si="183"/>
        <v>61.371138573101405</v>
      </c>
      <c r="E799" s="155"/>
      <c r="F799" s="150"/>
      <c r="G799" s="127"/>
      <c r="L799" s="152">
        <f>'[5]Monthly Prices'!$D439</f>
        <v>66.650922552106366</v>
      </c>
      <c r="Q799" s="154">
        <f t="shared" si="194"/>
        <v>5.2797839790049608</v>
      </c>
      <c r="AF799" s="135"/>
    </row>
    <row r="800" spans="1:32">
      <c r="A800" s="99">
        <v>49827</v>
      </c>
      <c r="B800" s="155"/>
      <c r="C800" s="120"/>
      <c r="D800" s="155">
        <f t="shared" si="183"/>
        <v>65.799157152709256</v>
      </c>
      <c r="E800" s="155"/>
      <c r="F800" s="150"/>
      <c r="G800" s="127"/>
      <c r="L800" s="152">
        <f>'[5]Monthly Prices'!$D440</f>
        <v>70.985305785762435</v>
      </c>
      <c r="Q800" s="154">
        <f t="shared" si="194"/>
        <v>5.186148633053179</v>
      </c>
      <c r="AF800" s="135"/>
    </row>
    <row r="801" spans="1:32">
      <c r="A801" s="99">
        <v>49857</v>
      </c>
      <c r="B801" s="155"/>
      <c r="C801" s="120"/>
      <c r="D801" s="155">
        <f t="shared" si="183"/>
        <v>71.461130262587815</v>
      </c>
      <c r="E801" s="155"/>
      <c r="F801" s="150"/>
      <c r="G801" s="127"/>
      <c r="L801" s="152">
        <f>'[5]Monthly Prices'!$D441</f>
        <v>77.678933340362931</v>
      </c>
      <c r="Q801" s="154">
        <f t="shared" si="194"/>
        <v>6.2178030777751161</v>
      </c>
      <c r="AF801" s="135"/>
    </row>
    <row r="802" spans="1:32">
      <c r="A802" s="99">
        <v>49888</v>
      </c>
      <c r="B802" s="155"/>
      <c r="C802" s="120"/>
      <c r="D802" s="155">
        <f t="shared" si="183"/>
        <v>15.551446170265288</v>
      </c>
      <c r="E802" s="155"/>
      <c r="F802" s="150"/>
      <c r="G802" s="127"/>
      <c r="L802" s="152">
        <f>'[5]Monthly Prices'!$D442</f>
        <v>21.850878310791639</v>
      </c>
      <c r="Q802" s="154">
        <f t="shared" si="194"/>
        <v>6.2994321405263509</v>
      </c>
      <c r="AF802" s="135"/>
    </row>
    <row r="803" spans="1:32">
      <c r="A803" s="99">
        <v>49919</v>
      </c>
      <c r="B803" s="155"/>
      <c r="C803" s="120"/>
      <c r="D803" s="155">
        <f t="shared" si="183"/>
        <v>11.187485956342323</v>
      </c>
      <c r="E803" s="155"/>
      <c r="F803" s="150"/>
      <c r="G803" s="127"/>
      <c r="L803" s="152">
        <f>'[5]Monthly Prices'!$D443</f>
        <v>15.855140379176127</v>
      </c>
      <c r="Q803" s="154">
        <f t="shared" si="194"/>
        <v>4.6676544228338042</v>
      </c>
      <c r="AF803" s="135"/>
    </row>
    <row r="804" spans="1:32">
      <c r="A804" s="99">
        <v>49949</v>
      </c>
      <c r="B804" s="155"/>
      <c r="C804" s="120"/>
      <c r="D804" s="155">
        <f t="shared" si="183"/>
        <v>25.637962610922287</v>
      </c>
      <c r="E804" s="155"/>
      <c r="F804" s="150"/>
      <c r="G804" s="127"/>
      <c r="L804" s="152">
        <f>'[5]Monthly Prices'!$D444</f>
        <v>29.354498656092481</v>
      </c>
      <c r="Q804" s="154">
        <f t="shared" si="194"/>
        <v>3.7165360451701943</v>
      </c>
      <c r="AF804" s="135"/>
    </row>
    <row r="805" spans="1:32">
      <c r="A805" s="99">
        <v>49980</v>
      </c>
      <c r="B805" s="155"/>
      <c r="C805" s="120"/>
      <c r="D805" s="155">
        <f t="shared" si="183"/>
        <v>19.105460542951818</v>
      </c>
      <c r="E805" s="155"/>
      <c r="F805" s="150"/>
      <c r="G805" s="127"/>
      <c r="L805" s="152">
        <f>'[5]Monthly Prices'!$D445</f>
        <v>23.499139493491796</v>
      </c>
      <c r="Q805" s="154">
        <f t="shared" si="194"/>
        <v>4.3936789505399787</v>
      </c>
      <c r="AF805" s="135"/>
    </row>
    <row r="806" spans="1:32">
      <c r="A806" s="99">
        <v>50010</v>
      </c>
      <c r="B806" s="155"/>
      <c r="C806" s="120"/>
      <c r="D806" s="155">
        <f t="shared" si="183"/>
        <v>34.446558253440216</v>
      </c>
      <c r="E806" s="155"/>
      <c r="F806" s="150"/>
      <c r="G806" s="127"/>
      <c r="L806" s="152">
        <f>'[5]Monthly Prices'!$D446</f>
        <v>37.030581776535946</v>
      </c>
      <c r="Q806" s="154">
        <f t="shared" si="194"/>
        <v>2.5840235230957305</v>
      </c>
      <c r="AF806" s="135"/>
    </row>
    <row r="807" spans="1:32">
      <c r="A807" s="99">
        <v>50041</v>
      </c>
      <c r="B807" s="155"/>
      <c r="C807" s="120"/>
      <c r="D807" s="155">
        <f t="shared" si="183"/>
        <v>31.365553866706623</v>
      </c>
      <c r="E807" s="155"/>
      <c r="F807" s="150"/>
      <c r="G807" s="127"/>
      <c r="L807" s="152">
        <f>'[5]Monthly Prices'!$D447</f>
        <v>32.44803589645737</v>
      </c>
      <c r="Q807" s="154">
        <f t="shared" si="194"/>
        <v>1.0824820297507465</v>
      </c>
      <c r="AF807" s="135"/>
    </row>
    <row r="808" spans="1:32">
      <c r="A808" s="99">
        <v>50072</v>
      </c>
      <c r="B808" s="155"/>
      <c r="C808" s="120"/>
      <c r="D808" s="155">
        <f t="shared" si="183"/>
        <v>27.36635126032138</v>
      </c>
      <c r="E808" s="155"/>
      <c r="F808" s="150"/>
      <c r="G808" s="127"/>
      <c r="L808" s="152">
        <f>'[5]Monthly Prices'!$D448</f>
        <v>30.232021807671575</v>
      </c>
      <c r="Q808" s="154">
        <f t="shared" si="194"/>
        <v>2.8656705473501951</v>
      </c>
      <c r="AF808" s="135"/>
    </row>
    <row r="809" spans="1:32">
      <c r="A809" s="99">
        <v>50100</v>
      </c>
      <c r="B809" s="155"/>
      <c r="C809" s="120"/>
      <c r="D809" s="155">
        <f t="shared" si="183"/>
        <v>39.142992930660824</v>
      </c>
      <c r="E809" s="155"/>
      <c r="F809" s="150"/>
      <c r="G809" s="127"/>
      <c r="L809" s="152">
        <f>'[5]Monthly Prices'!$D449</f>
        <v>40.778276618764878</v>
      </c>
      <c r="Q809" s="154">
        <f t="shared" si="194"/>
        <v>1.6352836881040531</v>
      </c>
      <c r="AF809" s="135"/>
    </row>
    <row r="810" spans="1:32">
      <c r="A810" s="99">
        <v>50131</v>
      </c>
      <c r="B810" s="155"/>
      <c r="C810" s="120"/>
      <c r="D810" s="155">
        <f t="shared" si="183"/>
        <v>41.666953894702722</v>
      </c>
      <c r="E810" s="155"/>
      <c r="F810" s="150"/>
      <c r="G810" s="127"/>
      <c r="L810" s="152">
        <f>'[5]Monthly Prices'!$D450</f>
        <v>44.753779578563282</v>
      </c>
      <c r="Q810" s="154">
        <f t="shared" si="194"/>
        <v>3.0868256838605603</v>
      </c>
      <c r="AF810" s="135"/>
    </row>
    <row r="811" spans="1:32">
      <c r="A811" s="99">
        <v>50161</v>
      </c>
      <c r="B811" s="155"/>
      <c r="C811" s="120"/>
      <c r="D811" s="155">
        <f t="shared" si="183"/>
        <v>39.489842573733462</v>
      </c>
      <c r="E811" s="155"/>
      <c r="F811" s="150"/>
      <c r="G811" s="127"/>
      <c r="L811" s="152">
        <f>'[5]Monthly Prices'!$D451</f>
        <v>46.181789751084835</v>
      </c>
      <c r="Q811" s="154">
        <f t="shared" si="194"/>
        <v>6.6919471773513735</v>
      </c>
      <c r="AF811" s="135"/>
    </row>
    <row r="812" spans="1:32">
      <c r="A812" s="99">
        <v>50192</v>
      </c>
      <c r="B812" s="155"/>
      <c r="C812" s="120"/>
      <c r="D812" s="155">
        <f t="shared" si="183"/>
        <v>40.447848023588364</v>
      </c>
      <c r="E812" s="155"/>
      <c r="F812" s="150"/>
      <c r="G812" s="127"/>
      <c r="L812" s="152">
        <f>'[5]Monthly Prices'!$D452</f>
        <v>47.130750204347891</v>
      </c>
      <c r="Q812" s="154">
        <f t="shared" si="194"/>
        <v>6.6829021807595268</v>
      </c>
      <c r="AF812" s="135"/>
    </row>
    <row r="813" spans="1:32">
      <c r="A813" s="99">
        <v>50222</v>
      </c>
      <c r="B813" s="155"/>
      <c r="C813" s="120"/>
      <c r="D813" s="155">
        <f t="shared" si="183"/>
        <v>43.357337740234193</v>
      </c>
      <c r="E813" s="155"/>
      <c r="F813" s="150"/>
      <c r="G813" s="127"/>
      <c r="L813" s="152">
        <f>'[5]Monthly Prices'!$D453</f>
        <v>50.457729868423364</v>
      </c>
      <c r="Q813" s="154">
        <f t="shared" si="194"/>
        <v>7.1003921281891706</v>
      </c>
      <c r="AF813" s="135"/>
    </row>
    <row r="814" spans="1:32">
      <c r="A814" s="99">
        <v>50253</v>
      </c>
      <c r="B814" s="155"/>
      <c r="C814" s="120"/>
      <c r="D814" s="155">
        <f t="shared" si="183"/>
        <v>9.3178189589401406</v>
      </c>
      <c r="E814" s="155"/>
      <c r="F814" s="150"/>
      <c r="G814" s="127"/>
      <c r="L814" s="152">
        <f>'[5]Monthly Prices'!$D454</f>
        <v>16.63606652765683</v>
      </c>
      <c r="Q814" s="154">
        <f t="shared" si="194"/>
        <v>7.3182475687166892</v>
      </c>
      <c r="AF814" s="135"/>
    </row>
    <row r="815" spans="1:32">
      <c r="A815" s="99">
        <v>50284</v>
      </c>
      <c r="B815" s="155"/>
      <c r="C815" s="120"/>
      <c r="D815" s="155">
        <f t="shared" si="183"/>
        <v>11.078827891650043</v>
      </c>
      <c r="E815" s="155"/>
      <c r="F815" s="150"/>
      <c r="G815" s="127"/>
      <c r="L815" s="152">
        <f>'[5]Monthly Prices'!$D455</f>
        <v>16.427535113279372</v>
      </c>
      <c r="Q815" s="154">
        <f t="shared" si="194"/>
        <v>5.3487072216293292</v>
      </c>
      <c r="AF815" s="135"/>
    </row>
    <row r="816" spans="1:32">
      <c r="A816" s="99">
        <v>50314</v>
      </c>
      <c r="B816" s="155"/>
      <c r="C816" s="120"/>
      <c r="D816" s="155">
        <f t="shared" si="183"/>
        <v>19.427379891196576</v>
      </c>
      <c r="E816" s="155"/>
      <c r="F816" s="150"/>
      <c r="G816" s="127"/>
      <c r="L816" s="152">
        <f>'[5]Monthly Prices'!$D456</f>
        <v>23.728976079829749</v>
      </c>
      <c r="Q816" s="154">
        <f t="shared" si="194"/>
        <v>4.3015961886331731</v>
      </c>
      <c r="AF816" s="135"/>
    </row>
    <row r="817" spans="1:32">
      <c r="A817" s="99">
        <v>50345</v>
      </c>
      <c r="B817" s="155"/>
      <c r="C817" s="120"/>
      <c r="D817" s="155">
        <f t="shared" si="183"/>
        <v>9.4612168465990685</v>
      </c>
      <c r="E817" s="155"/>
      <c r="F817" s="150"/>
      <c r="G817" s="127"/>
      <c r="L817" s="152">
        <f>'[5]Monthly Prices'!$D457</f>
        <v>14.216102081993002</v>
      </c>
      <c r="Q817" s="154">
        <f t="shared" si="194"/>
        <v>4.7548852353939335</v>
      </c>
      <c r="AF817" s="135"/>
    </row>
    <row r="818" spans="1:32">
      <c r="A818" s="99">
        <v>50375</v>
      </c>
      <c r="B818" s="155"/>
      <c r="C818" s="120"/>
      <c r="D818" s="155">
        <f t="shared" si="183"/>
        <v>30.064444362627043</v>
      </c>
      <c r="E818" s="155"/>
      <c r="F818" s="150"/>
      <c r="G818" s="127"/>
      <c r="L818" s="152">
        <f>'[5]Monthly Prices'!$D458</f>
        <v>33.263132314427992</v>
      </c>
      <c r="Q818" s="154">
        <f t="shared" si="194"/>
        <v>3.1986879518009488</v>
      </c>
      <c r="AF818" s="135"/>
    </row>
    <row r="819" spans="1:32">
      <c r="A819" s="99">
        <v>50406</v>
      </c>
      <c r="B819" s="155"/>
      <c r="C819" s="120"/>
      <c r="D819" s="155">
        <f t="shared" si="183"/>
        <v>29.168813444063279</v>
      </c>
      <c r="E819" s="155"/>
      <c r="F819" s="150"/>
      <c r="G819" s="127"/>
      <c r="L819" s="152">
        <f>'[5]Monthly Prices'!$D459</f>
        <v>30.014179132117601</v>
      </c>
      <c r="Q819" s="154">
        <f t="shared" si="194"/>
        <v>0.84536568805432211</v>
      </c>
      <c r="AF819" s="135"/>
    </row>
    <row r="820" spans="1:32">
      <c r="A820" s="99">
        <v>50437</v>
      </c>
      <c r="B820" s="155"/>
      <c r="C820" s="120"/>
      <c r="D820" s="155">
        <f t="shared" si="183"/>
        <v>26.682725269016384</v>
      </c>
      <c r="E820" s="155"/>
      <c r="F820" s="150"/>
      <c r="G820" s="127"/>
      <c r="L820" s="152">
        <f>'[5]Monthly Prices'!$D460</f>
        <v>29.452068905932673</v>
      </c>
      <c r="Q820" s="154">
        <f t="shared" si="194"/>
        <v>2.7693436369162896</v>
      </c>
      <c r="AF820" s="135"/>
    </row>
    <row r="821" spans="1:32">
      <c r="A821" s="99">
        <v>50465</v>
      </c>
      <c r="B821" s="155"/>
      <c r="C821" s="120"/>
      <c r="D821" s="155">
        <f t="shared" si="183"/>
        <v>39.334880847471197</v>
      </c>
      <c r="E821" s="155"/>
      <c r="F821" s="150"/>
      <c r="G821" s="127"/>
      <c r="L821" s="152">
        <f>'[5]Monthly Prices'!$D461</f>
        <v>41.242800338555455</v>
      </c>
      <c r="Q821" s="154">
        <f t="shared" si="194"/>
        <v>1.9079194910842574</v>
      </c>
      <c r="AF821" s="135"/>
    </row>
    <row r="822" spans="1:32">
      <c r="A822" s="99">
        <v>50496</v>
      </c>
      <c r="B822" s="155"/>
      <c r="C822" s="120"/>
      <c r="D822" s="155">
        <f t="shared" si="183"/>
        <v>42.908932238803501</v>
      </c>
      <c r="E822" s="155"/>
      <c r="F822" s="150"/>
      <c r="G822" s="127"/>
      <c r="L822" s="152">
        <f>'[5]Monthly Prices'!$D462</f>
        <v>46.18751945625803</v>
      </c>
      <c r="Q822" s="154">
        <f t="shared" si="194"/>
        <v>3.278587217454529</v>
      </c>
      <c r="AF822" s="135"/>
    </row>
    <row r="823" spans="1:32">
      <c r="A823" s="99">
        <v>50526</v>
      </c>
      <c r="B823" s="155"/>
      <c r="C823" s="120"/>
      <c r="D823" s="155">
        <f t="shared" si="183"/>
        <v>42.04249532849007</v>
      </c>
      <c r="E823" s="155"/>
      <c r="F823" s="150"/>
      <c r="G823" s="127"/>
      <c r="L823" s="152">
        <f>'[5]Monthly Prices'!$D463</f>
        <v>48.996697026640305</v>
      </c>
      <c r="Q823" s="154">
        <f t="shared" si="194"/>
        <v>6.9542016981502357</v>
      </c>
      <c r="AF823" s="135"/>
    </row>
    <row r="824" spans="1:32">
      <c r="A824" s="99">
        <v>50557</v>
      </c>
      <c r="B824" s="155"/>
      <c r="C824" s="120"/>
      <c r="D824" s="155">
        <f t="shared" ref="D824:D887" si="195">L824+(AVERAGE(Q800,Q788,Q776,Q764,Q752)-MIN(Q800,Q788,Q776,Q764,Q752)-MAX(Q800,Q788,Q776,Q764,Q752))</f>
        <v>44.739671658239395</v>
      </c>
      <c r="E824" s="155"/>
      <c r="F824" s="150"/>
      <c r="G824" s="127"/>
      <c r="L824" s="152">
        <f>'[5]Monthly Prices'!$D464</f>
        <v>51.547954044857285</v>
      </c>
      <c r="Q824" s="154">
        <f t="shared" si="194"/>
        <v>6.8082823866178899</v>
      </c>
      <c r="AF824" s="135"/>
    </row>
    <row r="825" spans="1:32">
      <c r="A825" s="99">
        <v>50587</v>
      </c>
      <c r="B825" s="155"/>
      <c r="C825" s="120"/>
      <c r="D825" s="155">
        <f t="shared" si="195"/>
        <v>49.73522457531525</v>
      </c>
      <c r="E825" s="155"/>
      <c r="F825" s="150"/>
      <c r="G825" s="127"/>
      <c r="L825" s="152">
        <f>'[5]Monthly Prices'!$D465</f>
        <v>56.762736856374879</v>
      </c>
      <c r="Q825" s="154">
        <f t="shared" si="194"/>
        <v>7.0275122810596287</v>
      </c>
      <c r="AF825" s="135"/>
    </row>
    <row r="826" spans="1:32">
      <c r="A826" s="99">
        <v>50618</v>
      </c>
      <c r="B826" s="155"/>
      <c r="C826" s="120"/>
      <c r="D826" s="155">
        <f t="shared" si="195"/>
        <v>6.6377437629259859</v>
      </c>
      <c r="E826" s="155"/>
      <c r="F826" s="150"/>
      <c r="G826" s="127"/>
      <c r="L826" s="152">
        <f>'[5]Monthly Prices'!$D466</f>
        <v>13.974451998673691</v>
      </c>
      <c r="Q826" s="154">
        <f t="shared" si="194"/>
        <v>7.3367082357477056</v>
      </c>
      <c r="AF826" s="135"/>
    </row>
    <row r="827" spans="1:32">
      <c r="A827" s="99">
        <v>50649</v>
      </c>
      <c r="B827" s="155"/>
      <c r="C827" s="120"/>
      <c r="D827" s="155">
        <f t="shared" si="195"/>
        <v>4.6504190682303683</v>
      </c>
      <c r="E827" s="155"/>
      <c r="F827" s="150"/>
      <c r="G827" s="127"/>
      <c r="L827" s="152">
        <f>'[5]Monthly Prices'!$D467</f>
        <v>9.5763221759723649</v>
      </c>
      <c r="Q827" s="154">
        <f t="shared" si="194"/>
        <v>4.9259031077419966</v>
      </c>
      <c r="AF827" s="135"/>
    </row>
    <row r="828" spans="1:32">
      <c r="A828" s="99">
        <v>50679</v>
      </c>
      <c r="B828" s="155"/>
      <c r="C828" s="120"/>
      <c r="D828" s="155">
        <f t="shared" si="195"/>
        <v>10.527163927018009</v>
      </c>
      <c r="E828" s="155"/>
      <c r="F828" s="150"/>
      <c r="G828" s="127"/>
      <c r="L828" s="152">
        <f>'[5]Monthly Prices'!$D468</f>
        <v>14.992367554333667</v>
      </c>
      <c r="Q828" s="154">
        <f t="shared" si="194"/>
        <v>4.4652036273156579</v>
      </c>
      <c r="AF828" s="135"/>
    </row>
    <row r="829" spans="1:32">
      <c r="A829" s="99">
        <v>50710</v>
      </c>
      <c r="B829" s="155"/>
      <c r="C829" s="120"/>
      <c r="D829" s="155">
        <f t="shared" si="195"/>
        <v>-4.7846219543626791</v>
      </c>
      <c r="E829" s="155"/>
      <c r="F829" s="150"/>
      <c r="G829" s="127"/>
      <c r="L829" s="152">
        <f>'[5]Monthly Prices'!$D469</f>
        <v>-0.42341237601682175</v>
      </c>
      <c r="Q829" s="154">
        <f t="shared" si="194"/>
        <v>4.3612095783458571</v>
      </c>
      <c r="AF829" s="135"/>
    </row>
    <row r="830" spans="1:32">
      <c r="A830" s="99">
        <v>50740</v>
      </c>
      <c r="B830" s="155"/>
      <c r="C830" s="120"/>
      <c r="D830" s="155">
        <f t="shared" si="195"/>
        <v>7.0072793455600442</v>
      </c>
      <c r="E830" s="155"/>
      <c r="F830" s="150"/>
      <c r="G830" s="127"/>
      <c r="L830" s="152">
        <f>'[5]Monthly Prices'!$D470</f>
        <v>10.258825111348179</v>
      </c>
      <c r="Q830" s="154">
        <f t="shared" si="194"/>
        <v>3.2515457657881344</v>
      </c>
      <c r="AF830" s="135"/>
    </row>
    <row r="831" spans="1:32">
      <c r="A831" s="99">
        <v>50771</v>
      </c>
      <c r="B831" s="155"/>
      <c r="C831" s="120"/>
      <c r="D831" s="155">
        <f t="shared" si="195"/>
        <v>5.8955689236110267</v>
      </c>
      <c r="E831" s="155"/>
      <c r="F831" s="150"/>
      <c r="G831" s="127"/>
      <c r="L831" s="152">
        <f>'[5]Monthly Prices'!$D471</f>
        <v>6.2007317007254645</v>
      </c>
      <c r="Q831" s="154">
        <f t="shared" si="194"/>
        <v>0.30516277711443784</v>
      </c>
      <c r="AF831" s="135"/>
    </row>
    <row r="832" spans="1:32">
      <c r="A832" s="99">
        <v>50802</v>
      </c>
      <c r="B832" s="155"/>
      <c r="C832" s="120"/>
      <c r="D832" s="155">
        <f t="shared" si="195"/>
        <v>12.172343571803484</v>
      </c>
      <c r="E832" s="155"/>
      <c r="F832" s="150"/>
      <c r="G832" s="127"/>
      <c r="L832" s="152">
        <f>'[5]Monthly Prices'!$D472</f>
        <v>14.560440903852143</v>
      </c>
      <c r="Q832" s="154">
        <f t="shared" si="194"/>
        <v>2.3880973320486589</v>
      </c>
      <c r="AF832" s="135"/>
    </row>
    <row r="833" spans="1:32">
      <c r="A833" s="99">
        <v>50830</v>
      </c>
      <c r="B833" s="155"/>
      <c r="C833" s="120"/>
      <c r="D833" s="155">
        <f t="shared" si="195"/>
        <v>29.383962967119846</v>
      </c>
      <c r="E833" s="155"/>
      <c r="F833" s="150"/>
      <c r="G833" s="127"/>
      <c r="L833" s="152">
        <f>'[5]Monthly Prices'!$D473</f>
        <v>31.593365982177986</v>
      </c>
      <c r="Q833" s="154">
        <f t="shared" si="194"/>
        <v>2.2094030150581396</v>
      </c>
      <c r="AF833" s="135"/>
    </row>
    <row r="834" spans="1:32">
      <c r="A834" s="99">
        <v>50861</v>
      </c>
      <c r="B834" s="155"/>
      <c r="C834" s="120"/>
      <c r="D834" s="155">
        <f t="shared" si="195"/>
        <v>40.33368587412847</v>
      </c>
      <c r="E834" s="155"/>
      <c r="F834" s="150"/>
      <c r="G834" s="127"/>
      <c r="L834" s="152">
        <f>'[5]Monthly Prices'!$D474</f>
        <v>43.315821996642747</v>
      </c>
      <c r="Q834" s="154">
        <f t="shared" si="194"/>
        <v>2.9821361225142766</v>
      </c>
      <c r="AF834" s="135"/>
    </row>
    <row r="835" spans="1:32">
      <c r="A835" s="99">
        <v>50891</v>
      </c>
      <c r="B835" s="155"/>
      <c r="C835" s="120"/>
      <c r="D835" s="155">
        <f t="shared" si="195"/>
        <v>47.631379667179168</v>
      </c>
      <c r="E835" s="155"/>
      <c r="F835" s="150"/>
      <c r="G835" s="127"/>
      <c r="L835" s="152">
        <f>'[5]Monthly Prices'!$D475</f>
        <v>53.813895902850525</v>
      </c>
      <c r="Q835" s="154">
        <f t="shared" si="194"/>
        <v>6.1825162356713577</v>
      </c>
      <c r="AF835" s="135"/>
    </row>
    <row r="836" spans="1:32">
      <c r="A836" s="99">
        <v>50922</v>
      </c>
      <c r="B836" s="155"/>
      <c r="C836" s="120"/>
      <c r="D836" s="155">
        <f t="shared" si="195"/>
        <v>47.477947234300551</v>
      </c>
      <c r="E836" s="155"/>
      <c r="F836" s="150"/>
      <c r="G836" s="127"/>
      <c r="L836" s="152">
        <f>'[5]Monthly Prices'!$D476</f>
        <v>53.468502317204894</v>
      </c>
      <c r="Q836" s="154">
        <f t="shared" si="194"/>
        <v>5.9905550829043435</v>
      </c>
      <c r="AF836" s="135"/>
    </row>
    <row r="837" spans="1:32">
      <c r="A837" s="99">
        <v>50952</v>
      </c>
      <c r="B837" s="155"/>
      <c r="C837" s="120"/>
      <c r="D837" s="155">
        <f t="shared" si="195"/>
        <v>49.02686524288908</v>
      </c>
      <c r="E837" s="155"/>
      <c r="F837" s="150"/>
      <c r="G837" s="127"/>
      <c r="L837" s="152">
        <f>'[5]Monthly Prices'!$D477</f>
        <v>55.839829883988351</v>
      </c>
      <c r="Q837" s="154">
        <f t="shared" si="194"/>
        <v>6.8129646410992706</v>
      </c>
      <c r="AF837" s="135"/>
    </row>
    <row r="838" spans="1:32">
      <c r="A838" s="99">
        <v>50983</v>
      </c>
      <c r="B838" s="155"/>
      <c r="C838" s="120"/>
      <c r="D838" s="155">
        <f t="shared" si="195"/>
        <v>7.3314432666040279</v>
      </c>
      <c r="E838" s="155"/>
      <c r="F838" s="150"/>
      <c r="G838" s="127"/>
      <c r="L838" s="152">
        <f>'[5]Monthly Prices'!$D478</f>
        <v>14.123716525375407</v>
      </c>
      <c r="Q838" s="154">
        <f t="shared" si="194"/>
        <v>6.7922732587713792</v>
      </c>
      <c r="AF838" s="135"/>
    </row>
    <row r="839" spans="1:32">
      <c r="A839" s="99">
        <v>51014</v>
      </c>
      <c r="B839" s="155"/>
      <c r="C839" s="120"/>
      <c r="D839" s="155">
        <f t="shared" si="195"/>
        <v>1.6355886756541205</v>
      </c>
      <c r="E839" s="155"/>
      <c r="F839" s="150"/>
      <c r="G839" s="127"/>
      <c r="L839" s="152">
        <f>'[5]Monthly Prices'!$D479</f>
        <v>6.5841886717120328</v>
      </c>
      <c r="Q839" s="154">
        <f t="shared" si="194"/>
        <v>4.9485999960579123</v>
      </c>
      <c r="AF839" s="135"/>
    </row>
    <row r="840" spans="1:32">
      <c r="A840" s="99">
        <v>51044</v>
      </c>
      <c r="B840" s="155"/>
      <c r="C840" s="120"/>
      <c r="D840" s="155">
        <f t="shared" si="195"/>
        <v>8.633293008599864</v>
      </c>
      <c r="E840" s="155"/>
      <c r="F840" s="150"/>
      <c r="G840" s="127"/>
      <c r="L840" s="152">
        <f>'[5]Monthly Prices'!$D480</f>
        <v>12.695136472153326</v>
      </c>
      <c r="Q840" s="154">
        <f t="shared" si="194"/>
        <v>4.0618434635534619</v>
      </c>
      <c r="AF840" s="135"/>
    </row>
    <row r="841" spans="1:32">
      <c r="A841" s="99">
        <v>51075</v>
      </c>
      <c r="B841" s="155"/>
      <c r="C841" s="120"/>
      <c r="D841" s="155">
        <f t="shared" si="195"/>
        <v>-6.1959785320632097</v>
      </c>
      <c r="E841" s="155"/>
      <c r="F841" s="150"/>
      <c r="G841" s="127"/>
      <c r="L841" s="152">
        <f>'[5]Monthly Prices'!$D481</f>
        <v>-1.59759325194219</v>
      </c>
      <c r="Q841" s="154">
        <f t="shared" si="194"/>
        <v>4.5983852801210201</v>
      </c>
      <c r="AF841" s="135"/>
    </row>
    <row r="842" spans="1:32">
      <c r="A842" s="99">
        <v>51105</v>
      </c>
      <c r="B842" s="155"/>
      <c r="C842" s="120"/>
      <c r="D842" s="155">
        <f t="shared" si="195"/>
        <v>6.3659292778811141</v>
      </c>
      <c r="E842" s="155"/>
      <c r="F842" s="150"/>
      <c r="G842" s="127"/>
      <c r="L842" s="152">
        <f>'[5]Monthly Prices'!$D482</f>
        <v>9.744024980877068</v>
      </c>
      <c r="Q842" s="154">
        <f t="shared" si="194"/>
        <v>3.378095702995954</v>
      </c>
      <c r="AF842" s="135"/>
    </row>
    <row r="843" spans="1:32">
      <c r="A843" s="99">
        <v>51136</v>
      </c>
      <c r="B843" s="155"/>
      <c r="C843" s="120"/>
      <c r="D843" s="155">
        <f t="shared" si="195"/>
        <v>7.1446402100741935</v>
      </c>
      <c r="E843" s="155"/>
      <c r="F843" s="150"/>
      <c r="G843" s="127"/>
      <c r="L843" s="152">
        <f>'[5]Monthly Prices'!$D483</f>
        <v>8.1683171658845293</v>
      </c>
      <c r="Q843" s="154">
        <f t="shared" si="194"/>
        <v>1.0236769558103358</v>
      </c>
      <c r="AF843" s="135"/>
    </row>
    <row r="844" spans="1:32">
      <c r="A844" s="99">
        <v>51167</v>
      </c>
      <c r="B844" s="155"/>
      <c r="C844" s="120"/>
      <c r="D844" s="155">
        <f t="shared" si="195"/>
        <v>8.1332963334773929</v>
      </c>
      <c r="E844" s="155"/>
      <c r="F844" s="150"/>
      <c r="G844" s="127"/>
      <c r="L844" s="152">
        <f>'[5]Monthly Prices'!$D484</f>
        <v>11.324509391573095</v>
      </c>
      <c r="Q844" s="154">
        <f t="shared" si="194"/>
        <v>3.1912130580957019</v>
      </c>
      <c r="AF844" s="135"/>
    </row>
    <row r="845" spans="1:32">
      <c r="A845" s="99">
        <v>51196</v>
      </c>
      <c r="B845" s="155"/>
      <c r="C845" s="120"/>
      <c r="D845" s="155">
        <f t="shared" si="195"/>
        <v>23.407327962426429</v>
      </c>
      <c r="E845" s="155"/>
      <c r="F845" s="150"/>
      <c r="G845" s="127"/>
      <c r="L845" s="152">
        <f>'[5]Monthly Prices'!$D485</f>
        <v>26.127217564886351</v>
      </c>
      <c r="Q845" s="154">
        <f t="shared" si="194"/>
        <v>2.7198896024599222</v>
      </c>
      <c r="AF845" s="135"/>
    </row>
    <row r="846" spans="1:32">
      <c r="A846" s="99">
        <v>51227</v>
      </c>
      <c r="B846" s="155"/>
      <c r="C846" s="120"/>
      <c r="D846" s="155">
        <f t="shared" si="195"/>
        <v>31.874933924604505</v>
      </c>
      <c r="E846" s="155"/>
      <c r="F846" s="150"/>
      <c r="G846" s="127"/>
      <c r="L846" s="152">
        <f>'[5]Monthly Prices'!$D486</f>
        <v>35.59911928031962</v>
      </c>
      <c r="Q846" s="154">
        <f t="shared" si="194"/>
        <v>3.7241853557151146</v>
      </c>
      <c r="AF846" s="135"/>
    </row>
    <row r="847" spans="1:32">
      <c r="A847" s="99">
        <v>51257</v>
      </c>
      <c r="B847" s="155"/>
      <c r="C847" s="120"/>
      <c r="D847" s="155">
        <f t="shared" si="195"/>
        <v>37.058151372161532</v>
      </c>
      <c r="E847" s="155"/>
      <c r="F847" s="150"/>
      <c r="G847" s="127"/>
      <c r="L847" s="152">
        <f>'[5]Monthly Prices'!$D487</f>
        <v>43.286936005225897</v>
      </c>
      <c r="Q847" s="154">
        <f t="shared" si="194"/>
        <v>6.2287846330643646</v>
      </c>
      <c r="AF847" s="135"/>
    </row>
    <row r="848" spans="1:32">
      <c r="A848" s="99">
        <v>51288</v>
      </c>
      <c r="B848" s="155"/>
      <c r="C848" s="120"/>
      <c r="D848" s="155">
        <f t="shared" si="195"/>
        <v>41.939822819038291</v>
      </c>
      <c r="E848" s="155"/>
      <c r="F848" s="150"/>
      <c r="G848" s="127"/>
      <c r="L848" s="152">
        <f>'[5]Monthly Prices'!$D488</f>
        <v>47.832262545651183</v>
      </c>
      <c r="Q848" s="154">
        <f t="shared" si="194"/>
        <v>5.8924397266128921</v>
      </c>
      <c r="AF848" s="135"/>
    </row>
    <row r="849" spans="1:32">
      <c r="A849" s="99">
        <v>51318</v>
      </c>
      <c r="B849" s="155"/>
      <c r="C849" s="120"/>
      <c r="D849" s="155">
        <f t="shared" si="195"/>
        <v>48.647376974751829</v>
      </c>
      <c r="E849" s="155"/>
      <c r="F849" s="150"/>
      <c r="G849" s="127"/>
      <c r="L849" s="152">
        <f>'[5]Monthly Prices'!$D489</f>
        <v>55.331430929691017</v>
      </c>
      <c r="Q849" s="154">
        <f t="shared" si="194"/>
        <v>6.6840539549391877</v>
      </c>
      <c r="AF849" s="135"/>
    </row>
    <row r="850" spans="1:32">
      <c r="A850" s="99">
        <v>51349</v>
      </c>
      <c r="B850" s="155"/>
      <c r="C850" s="120"/>
      <c r="D850" s="155">
        <f t="shared" si="195"/>
        <v>10.680166388478494</v>
      </c>
      <c r="E850" s="155"/>
      <c r="F850" s="150"/>
      <c r="G850" s="127"/>
      <c r="L850" s="152">
        <f>'[5]Monthly Prices'!$D490</f>
        <v>17.418281216190483</v>
      </c>
      <c r="Q850" s="154">
        <f t="shared" si="194"/>
        <v>6.7381148277119891</v>
      </c>
      <c r="AF850" s="135"/>
    </row>
    <row r="851" spans="1:32">
      <c r="A851" s="99">
        <v>51380</v>
      </c>
      <c r="B851" s="155"/>
      <c r="C851" s="120"/>
      <c r="D851" s="155">
        <f t="shared" si="195"/>
        <v>8.6802936284025982</v>
      </c>
      <c r="E851" s="155"/>
      <c r="F851" s="150"/>
      <c r="G851" s="127"/>
      <c r="L851" s="152">
        <f>'[5]Monthly Prices'!$D491</f>
        <v>13.675440065076611</v>
      </c>
      <c r="Q851" s="154">
        <f t="shared" si="194"/>
        <v>4.9951464366740126</v>
      </c>
      <c r="AF851" s="135"/>
    </row>
    <row r="852" spans="1:32">
      <c r="A852" s="99">
        <v>51410</v>
      </c>
      <c r="B852" s="155"/>
      <c r="C852" s="120"/>
      <c r="D852" s="155">
        <f t="shared" si="195"/>
        <v>20.365007895108612</v>
      </c>
      <c r="E852" s="155"/>
      <c r="F852" s="150"/>
      <c r="G852" s="127"/>
      <c r="L852" s="152">
        <f>'[5]Monthly Prices'!$D492</f>
        <v>24.485233467094837</v>
      </c>
      <c r="Q852" s="154">
        <f t="shared" si="194"/>
        <v>4.1202255719862251</v>
      </c>
      <c r="AF852" s="135"/>
    </row>
    <row r="853" spans="1:32">
      <c r="A853" s="99">
        <v>51441</v>
      </c>
      <c r="B853" s="155"/>
      <c r="C853" s="120"/>
      <c r="D853" s="155">
        <f t="shared" si="195"/>
        <v>11.493564995297088</v>
      </c>
      <c r="E853" s="155"/>
      <c r="F853" s="150"/>
      <c r="G853" s="127"/>
      <c r="L853" s="152">
        <f>'[5]Monthly Prices'!$D493</f>
        <v>16.054230701946253</v>
      </c>
      <c r="Q853" s="154">
        <f t="shared" si="194"/>
        <v>4.5606657066491643</v>
      </c>
      <c r="AF853" s="135"/>
    </row>
    <row r="854" spans="1:32">
      <c r="A854" s="99">
        <v>51471</v>
      </c>
      <c r="B854" s="155"/>
      <c r="C854" s="120"/>
      <c r="D854" s="155">
        <f t="shared" si="195"/>
        <v>27.040404464507986</v>
      </c>
      <c r="E854" s="155"/>
      <c r="F854" s="150"/>
      <c r="G854" s="127"/>
      <c r="L854" s="152">
        <f>'[5]Monthly Prices'!$D494</f>
        <v>29.90428576393942</v>
      </c>
      <c r="Q854" s="154">
        <f t="shared" si="194"/>
        <v>2.8638812994314335</v>
      </c>
      <c r="AF854" s="135"/>
    </row>
    <row r="855" spans="1:32">
      <c r="A855" s="99">
        <v>51502</v>
      </c>
      <c r="B855" s="155"/>
      <c r="C855" s="120"/>
      <c r="D855" s="155">
        <f t="shared" si="195"/>
        <v>25.918547491110367</v>
      </c>
      <c r="E855" s="155"/>
      <c r="F855" s="150"/>
      <c r="G855" s="127"/>
      <c r="L855" s="152">
        <f>'[5]Monthly Prices'!$D495</f>
        <v>26.604387839348544</v>
      </c>
      <c r="Q855" s="154">
        <f t="shared" si="194"/>
        <v>0.68584034823817674</v>
      </c>
      <c r="AF855" s="135"/>
    </row>
    <row r="856" spans="1:32">
      <c r="A856" s="99">
        <v>51533</v>
      </c>
      <c r="B856" s="155"/>
      <c r="C856" s="120"/>
      <c r="D856" s="155">
        <f t="shared" si="195"/>
        <v>25.239959489561549</v>
      </c>
      <c r="E856" s="155"/>
      <c r="F856" s="150"/>
      <c r="G856" s="127"/>
      <c r="L856" s="152">
        <f>'[5]Monthly Prices'!$D496</f>
        <v>27.873691949450759</v>
      </c>
      <c r="Q856" s="154">
        <f t="shared" si="194"/>
        <v>2.6337324598892096</v>
      </c>
      <c r="AF856" s="135"/>
    </row>
    <row r="857" spans="1:32">
      <c r="A857" s="99">
        <v>51561</v>
      </c>
      <c r="B857" s="155"/>
      <c r="C857" s="120"/>
      <c r="D857" s="155">
        <f t="shared" si="195"/>
        <v>39.241586717529266</v>
      </c>
      <c r="E857" s="155"/>
      <c r="F857" s="150"/>
      <c r="G857" s="127"/>
      <c r="L857" s="152">
        <f>'[5]Monthly Prices'!$D497</f>
        <v>41.143304984943235</v>
      </c>
      <c r="Q857" s="154">
        <f t="shared" si="194"/>
        <v>1.901718267413969</v>
      </c>
      <c r="AF857" s="135"/>
    </row>
    <row r="858" spans="1:32">
      <c r="A858" s="99">
        <v>51592</v>
      </c>
      <c r="B858" s="155"/>
      <c r="C858" s="120"/>
      <c r="D858" s="155">
        <f t="shared" si="195"/>
        <v>45.975804448694824</v>
      </c>
      <c r="E858" s="155"/>
      <c r="F858" s="150"/>
      <c r="G858" s="127"/>
      <c r="L858" s="152">
        <f>'[5]Monthly Prices'!$D498</f>
        <v>49.071683955666465</v>
      </c>
      <c r="Q858" s="154">
        <f t="shared" ref="Q858:Q921" si="196">L858-D858</f>
        <v>3.0958795069716416</v>
      </c>
      <c r="AF858" s="135"/>
    </row>
    <row r="859" spans="1:32">
      <c r="A859" s="99">
        <v>51622</v>
      </c>
      <c r="B859" s="155"/>
      <c r="C859" s="120"/>
      <c r="D859" s="155">
        <f t="shared" si="195"/>
        <v>48.749528968225256</v>
      </c>
      <c r="E859" s="155"/>
      <c r="F859" s="150"/>
      <c r="G859" s="127"/>
      <c r="L859" s="152">
        <f>'[5]Monthly Prices'!$D499</f>
        <v>54.834970276168377</v>
      </c>
      <c r="Q859" s="154">
        <f t="shared" si="196"/>
        <v>6.0854413079431211</v>
      </c>
      <c r="AF859" s="135"/>
    </row>
    <row r="860" spans="1:32">
      <c r="A860" s="99">
        <v>51653</v>
      </c>
      <c r="B860" s="155"/>
      <c r="C860" s="120"/>
      <c r="D860" s="155">
        <f t="shared" si="195"/>
        <v>50.81966541688368</v>
      </c>
      <c r="E860" s="155"/>
      <c r="F860" s="150"/>
      <c r="G860" s="127"/>
      <c r="L860" s="152">
        <f>'[5]Monthly Prices'!$D500</f>
        <v>56.761043925738569</v>
      </c>
      <c r="Q860" s="154">
        <f t="shared" si="196"/>
        <v>5.9413785088548892</v>
      </c>
      <c r="AF860" s="135"/>
    </row>
    <row r="861" spans="1:32">
      <c r="A861" s="99">
        <v>51683</v>
      </c>
      <c r="B861" s="155"/>
      <c r="C861" s="120"/>
      <c r="D861" s="155">
        <f t="shared" si="195"/>
        <v>55.029767793797305</v>
      </c>
      <c r="E861" s="155"/>
      <c r="F861" s="150"/>
      <c r="G861" s="127"/>
      <c r="L861" s="152">
        <f>'[5]Monthly Prices'!$D501</f>
        <v>61.631136156008509</v>
      </c>
      <c r="Q861" s="154">
        <f t="shared" si="196"/>
        <v>6.601368362211204</v>
      </c>
      <c r="AF861" s="135"/>
    </row>
    <row r="862" spans="1:32">
      <c r="A862" s="99">
        <v>51714</v>
      </c>
      <c r="B862" s="155"/>
      <c r="C862" s="120"/>
      <c r="D862" s="155">
        <f t="shared" si="195"/>
        <v>17.256165786872153</v>
      </c>
      <c r="E862" s="155"/>
      <c r="F862" s="150"/>
      <c r="G862" s="127"/>
      <c r="L862" s="152">
        <f>'[5]Monthly Prices'!$D502</f>
        <v>24.021065895313214</v>
      </c>
      <c r="Q862" s="154">
        <f t="shared" si="196"/>
        <v>6.7649001084410614</v>
      </c>
      <c r="AF862" s="135"/>
    </row>
    <row r="863" spans="1:32">
      <c r="A863" s="99">
        <v>51745</v>
      </c>
      <c r="B863" s="155"/>
      <c r="C863" s="120"/>
      <c r="D863" s="155">
        <f t="shared" si="195"/>
        <v>15.084456918809881</v>
      </c>
      <c r="E863" s="155"/>
      <c r="F863" s="150"/>
      <c r="G863" s="127"/>
      <c r="L863" s="152">
        <f>'[5]Monthly Prices'!$D503</f>
        <v>20.130321133947042</v>
      </c>
      <c r="Q863" s="154">
        <f t="shared" si="196"/>
        <v>5.0458642151371613</v>
      </c>
      <c r="AF863" s="135"/>
    </row>
    <row r="864" spans="1:32">
      <c r="A864" s="99">
        <v>51775</v>
      </c>
      <c r="B864" s="155"/>
      <c r="C864" s="120"/>
      <c r="D864" s="155">
        <f t="shared" si="195"/>
        <v>33.519123229633955</v>
      </c>
      <c r="E864" s="155"/>
      <c r="F864" s="150"/>
      <c r="G864" s="127"/>
      <c r="L864" s="152">
        <f>'[5]Monthly Prices'!$D504</f>
        <v>37.60696185504856</v>
      </c>
      <c r="Q864" s="154">
        <f t="shared" si="196"/>
        <v>4.0878386254146051</v>
      </c>
      <c r="AF864" s="135"/>
    </row>
    <row r="865" spans="1:32">
      <c r="A865" s="99">
        <v>51806</v>
      </c>
      <c r="B865" s="155"/>
      <c r="C865" s="120"/>
      <c r="D865" s="155">
        <f t="shared" si="195"/>
        <v>28.367233102818712</v>
      </c>
      <c r="E865" s="155"/>
      <c r="F865" s="150"/>
      <c r="G865" s="127"/>
      <c r="L865" s="152">
        <f>'[5]Monthly Prices'!$D505</f>
        <v>32.951631193625943</v>
      </c>
      <c r="Q865" s="154">
        <f t="shared" si="196"/>
        <v>4.5843980908072304</v>
      </c>
      <c r="AF865" s="135"/>
    </row>
    <row r="866" spans="1:32">
      <c r="A866" s="99">
        <v>51836</v>
      </c>
      <c r="B866" s="155"/>
      <c r="C866" s="120"/>
      <c r="D866" s="155">
        <f t="shared" si="195"/>
        <v>39.33301286187227</v>
      </c>
      <c r="E866" s="155"/>
      <c r="F866" s="150"/>
      <c r="G866" s="127"/>
      <c r="L866" s="152">
        <f>'[5]Monthly Prices'!$D506</f>
        <v>42.258630802869455</v>
      </c>
      <c r="Q866" s="154">
        <f t="shared" si="196"/>
        <v>2.925617940997185</v>
      </c>
      <c r="AF866" s="135"/>
    </row>
    <row r="867" spans="1:32">
      <c r="A867" s="99">
        <v>51867</v>
      </c>
      <c r="B867" s="155"/>
      <c r="C867" s="120"/>
      <c r="D867" s="155">
        <f t="shared" si="195"/>
        <v>35.245981266615637</v>
      </c>
      <c r="E867" s="155"/>
      <c r="F867" s="150"/>
      <c r="G867" s="127"/>
      <c r="L867" s="152">
        <f>'[5]Monthly Prices'!$D507</f>
        <v>35.812211481272037</v>
      </c>
      <c r="Q867" s="154">
        <f t="shared" si="196"/>
        <v>0.56623021465640022</v>
      </c>
      <c r="AF867" s="135"/>
    </row>
    <row r="868" spans="1:32">
      <c r="A868" s="99">
        <v>51898</v>
      </c>
      <c r="B868" s="155"/>
      <c r="C868" s="120"/>
      <c r="D868" s="155">
        <f t="shared" si="195"/>
        <v>32.788127671188455</v>
      </c>
      <c r="E868" s="155"/>
      <c r="F868" s="150"/>
      <c r="G868" s="127"/>
      <c r="L868" s="152">
        <f>'[5]Monthly Prices'!$D508</f>
        <v>35.542489677711892</v>
      </c>
      <c r="Q868" s="154">
        <f t="shared" si="196"/>
        <v>2.7543620065234364</v>
      </c>
      <c r="AF868" s="135"/>
    </row>
    <row r="869" spans="1:32">
      <c r="A869" s="99">
        <v>51926</v>
      </c>
      <c r="B869" s="155"/>
      <c r="C869" s="120"/>
      <c r="D869" s="155">
        <f t="shared" si="195"/>
        <v>44.910188778483125</v>
      </c>
      <c r="E869" s="155"/>
      <c r="F869" s="150"/>
      <c r="G869" s="127"/>
      <c r="L869" s="152">
        <f>'[5]Monthly Prices'!$D509</f>
        <v>47.097880619101723</v>
      </c>
      <c r="Q869" s="154">
        <f t="shared" si="196"/>
        <v>2.1876918406185979</v>
      </c>
      <c r="AF869" s="135"/>
    </row>
    <row r="870" spans="1:32">
      <c r="A870" s="99">
        <v>51957</v>
      </c>
      <c r="B870" s="155"/>
      <c r="C870" s="120"/>
      <c r="D870" s="155">
        <f t="shared" si="195"/>
        <v>49.879399803330642</v>
      </c>
      <c r="E870" s="155"/>
      <c r="F870" s="150"/>
      <c r="G870" s="127"/>
      <c r="L870" s="152">
        <f>'[5]Monthly Prices'!$D510</f>
        <v>53.278247194010412</v>
      </c>
      <c r="Q870" s="154">
        <f t="shared" si="196"/>
        <v>3.3988473906797694</v>
      </c>
      <c r="AF870" s="135"/>
    </row>
    <row r="871" spans="1:32">
      <c r="A871" s="99">
        <v>51987</v>
      </c>
      <c r="B871" s="155"/>
      <c r="C871" s="120"/>
      <c r="D871" s="155">
        <f t="shared" si="195"/>
        <v>51.913655083546985</v>
      </c>
      <c r="E871" s="155"/>
      <c r="F871" s="150"/>
      <c r="G871" s="127"/>
      <c r="L871" s="152">
        <f>'[5]Monthly Prices'!$D511</f>
        <v>57.880194016053721</v>
      </c>
      <c r="Q871" s="154">
        <f t="shared" si="196"/>
        <v>5.9665389325067366</v>
      </c>
      <c r="AF871" s="135"/>
    </row>
    <row r="872" spans="1:32">
      <c r="A872" s="99">
        <v>52018</v>
      </c>
      <c r="B872" s="155"/>
      <c r="C872" s="120"/>
      <c r="D872" s="155">
        <f t="shared" si="195"/>
        <v>52.017032171418165</v>
      </c>
      <c r="E872" s="155"/>
      <c r="F872" s="150"/>
      <c r="G872" s="127"/>
      <c r="L872" s="152">
        <f>'[5]Monthly Prices'!$D512</f>
        <v>57.899397589099671</v>
      </c>
      <c r="Q872" s="154">
        <f t="shared" si="196"/>
        <v>5.8823654176815054</v>
      </c>
      <c r="AF872" s="135"/>
    </row>
    <row r="873" spans="1:32">
      <c r="A873" s="99">
        <v>52048</v>
      </c>
      <c r="B873" s="155"/>
      <c r="C873" s="120"/>
      <c r="D873" s="155">
        <f t="shared" si="195"/>
        <v>54.125840686559158</v>
      </c>
      <c r="E873" s="155"/>
      <c r="F873" s="150"/>
      <c r="G873" s="127"/>
      <c r="L873" s="152">
        <f>'[5]Monthly Prices'!$D513</f>
        <v>60.675490675910972</v>
      </c>
      <c r="Q873" s="154">
        <f t="shared" si="196"/>
        <v>6.5496499893518134</v>
      </c>
      <c r="AF873" s="135"/>
    </row>
    <row r="874" spans="1:32">
      <c r="A874" s="99">
        <v>52079</v>
      </c>
      <c r="B874" s="155"/>
      <c r="C874" s="120"/>
      <c r="D874" s="155">
        <f t="shared" si="195"/>
        <v>16.812789733220875</v>
      </c>
      <c r="E874" s="155"/>
      <c r="F874" s="150"/>
      <c r="G874" s="127"/>
      <c r="L874" s="152">
        <f>'[5]Monthly Prices'!$D514</f>
        <v>23.551974903200108</v>
      </c>
      <c r="Q874" s="154">
        <f t="shared" si="196"/>
        <v>6.7391851699792333</v>
      </c>
      <c r="AF874" s="135"/>
    </row>
    <row r="875" spans="1:32">
      <c r="A875" s="99">
        <v>52110</v>
      </c>
      <c r="B875" s="155"/>
      <c r="C875" s="120"/>
      <c r="D875" s="155">
        <f t="shared" si="195"/>
        <v>11.21286165148798</v>
      </c>
      <c r="E875" s="155"/>
      <c r="F875" s="150"/>
      <c r="G875" s="127"/>
      <c r="L875" s="152">
        <f>'[5]Monthly Prices'!$D515</f>
        <v>16.252021058963702</v>
      </c>
      <c r="Q875" s="154">
        <f t="shared" si="196"/>
        <v>5.0391594074757222</v>
      </c>
      <c r="AF875" s="135"/>
    </row>
    <row r="876" spans="1:32">
      <c r="A876" s="99">
        <v>52140</v>
      </c>
      <c r="B876" s="155"/>
      <c r="C876" s="120"/>
      <c r="D876" s="155">
        <f t="shared" si="195"/>
        <v>31.338285160820078</v>
      </c>
      <c r="E876" s="155"/>
      <c r="F876" s="150"/>
      <c r="G876" s="127"/>
      <c r="L876" s="152">
        <f>'[5]Monthly Prices'!$D516</f>
        <v>35.386943853974188</v>
      </c>
      <c r="Q876" s="154">
        <f t="shared" si="196"/>
        <v>4.0486586931541098</v>
      </c>
      <c r="AF876" s="135"/>
    </row>
    <row r="877" spans="1:32">
      <c r="A877" s="99">
        <v>52171</v>
      </c>
      <c r="B877" s="155"/>
      <c r="C877" s="120"/>
      <c r="D877" s="155">
        <f t="shared" si="195"/>
        <v>17.741020024797812</v>
      </c>
      <c r="E877" s="155"/>
      <c r="F877" s="150"/>
      <c r="G877" s="127"/>
      <c r="L877" s="152">
        <f>'[5]Monthly Prices'!$D517</f>
        <v>22.323349888327613</v>
      </c>
      <c r="Q877" s="154">
        <f t="shared" si="196"/>
        <v>4.5823298635298002</v>
      </c>
      <c r="AF877" s="135"/>
    </row>
    <row r="878" spans="1:32">
      <c r="A878" s="99">
        <v>52201</v>
      </c>
      <c r="B878" s="155"/>
      <c r="C878" s="120"/>
      <c r="D878" s="155">
        <f t="shared" si="195"/>
        <v>33.404885969290717</v>
      </c>
      <c r="E878" s="155"/>
      <c r="F878" s="150"/>
      <c r="G878" s="127"/>
      <c r="L878" s="152">
        <f>'[5]Monthly Prices'!$D518</f>
        <v>36.311758346759959</v>
      </c>
      <c r="Q878" s="154">
        <f t="shared" si="196"/>
        <v>2.9068723774692415</v>
      </c>
      <c r="AF878" s="135"/>
    </row>
    <row r="879" spans="1:32">
      <c r="A879" s="99">
        <v>52232</v>
      </c>
      <c r="B879" s="155"/>
      <c r="C879" s="120"/>
      <c r="D879" s="155">
        <f t="shared" si="195"/>
        <v>27.914767786529818</v>
      </c>
      <c r="E879" s="155"/>
      <c r="F879" s="150"/>
      <c r="G879" s="127"/>
      <c r="L879" s="152">
        <f>'[5]Monthly Prices'!$D519</f>
        <v>28.513907033601399</v>
      </c>
      <c r="Q879" s="154">
        <f t="shared" si="196"/>
        <v>0.59913924707158017</v>
      </c>
      <c r="AF879" s="135"/>
    </row>
    <row r="880" spans="1:32">
      <c r="A880" s="99">
        <v>52263</v>
      </c>
      <c r="B880" s="155"/>
      <c r="C880" s="120"/>
      <c r="D880" s="155">
        <f t="shared" si="195"/>
        <v>26.019531364903038</v>
      </c>
      <c r="E880" s="155"/>
      <c r="F880" s="150"/>
      <c r="G880" s="127"/>
      <c r="L880" s="152">
        <f>'[5]Monthly Prices'!$D520</f>
        <v>28.829230348187387</v>
      </c>
      <c r="Q880" s="154">
        <f t="shared" si="196"/>
        <v>2.8096989832843491</v>
      </c>
      <c r="AF880" s="135"/>
    </row>
    <row r="881" spans="1:32">
      <c r="A881" s="99">
        <v>52291</v>
      </c>
      <c r="B881" s="155"/>
      <c r="C881" s="120"/>
      <c r="D881" s="155">
        <f t="shared" si="195"/>
        <v>38.022682204022558</v>
      </c>
      <c r="E881" s="155"/>
      <c r="F881" s="150"/>
      <c r="G881" s="127"/>
      <c r="L881" s="152">
        <f>'[5]Monthly Prices'!$D521</f>
        <v>40.303012681762468</v>
      </c>
      <c r="Q881" s="154">
        <f t="shared" si="196"/>
        <v>2.2803304777399092</v>
      </c>
      <c r="AF881" s="135"/>
    </row>
    <row r="882" spans="1:32">
      <c r="A882" s="99">
        <v>52322</v>
      </c>
      <c r="B882" s="155"/>
      <c r="C882" s="120"/>
      <c r="D882" s="155">
        <f t="shared" si="195"/>
        <v>43.383869532163708</v>
      </c>
      <c r="E882" s="155"/>
      <c r="F882" s="150"/>
      <c r="G882" s="127"/>
      <c r="L882" s="152">
        <f>'[5]Monthly Prices'!$D522</f>
        <v>46.856668233089877</v>
      </c>
      <c r="Q882" s="154">
        <f t="shared" si="196"/>
        <v>3.4727987009261696</v>
      </c>
      <c r="AF882" s="135"/>
    </row>
    <row r="883" spans="1:32">
      <c r="A883" s="99">
        <v>52352</v>
      </c>
      <c r="B883" s="155"/>
      <c r="C883" s="120"/>
      <c r="D883" s="155">
        <f t="shared" si="195"/>
        <v>45.52889089575374</v>
      </c>
      <c r="E883" s="155"/>
      <c r="F883" s="150"/>
      <c r="G883" s="127"/>
      <c r="L883" s="152">
        <f>'[5]Monthly Prices'!$D523</f>
        <v>52.139955691411004</v>
      </c>
      <c r="Q883" s="154">
        <f t="shared" si="196"/>
        <v>6.6110647956572635</v>
      </c>
      <c r="AF883" s="135"/>
    </row>
    <row r="884" spans="1:32">
      <c r="A884" s="99">
        <v>52383</v>
      </c>
      <c r="B884" s="155"/>
      <c r="C884" s="120"/>
      <c r="D884" s="155">
        <f t="shared" si="195"/>
        <v>44.733112469913465</v>
      </c>
      <c r="E884" s="155"/>
      <c r="F884" s="150"/>
      <c r="G884" s="127"/>
      <c r="L884" s="152">
        <f>'[5]Monthly Prices'!$D524</f>
        <v>51.17072300599434</v>
      </c>
      <c r="Q884" s="154">
        <f t="shared" si="196"/>
        <v>6.4376105360808751</v>
      </c>
      <c r="AF884" s="135"/>
    </row>
    <row r="885" spans="1:32">
      <c r="A885" s="99">
        <v>52413</v>
      </c>
      <c r="B885" s="155"/>
      <c r="C885" s="120"/>
      <c r="D885" s="155">
        <f t="shared" si="195"/>
        <v>46.46476618907527</v>
      </c>
      <c r="E885" s="155"/>
      <c r="F885" s="150"/>
      <c r="G885" s="127"/>
      <c r="L885" s="152">
        <f>'[5]Monthly Prices'!$D525</f>
        <v>53.32126840597595</v>
      </c>
      <c r="Q885" s="154">
        <f t="shared" si="196"/>
        <v>6.8565022169006795</v>
      </c>
      <c r="AF885" s="135"/>
    </row>
    <row r="886" spans="1:32">
      <c r="A886" s="99">
        <v>52444</v>
      </c>
      <c r="B886" s="155"/>
      <c r="C886" s="120"/>
      <c r="D886" s="155">
        <f t="shared" si="195"/>
        <v>6.4832756746220666</v>
      </c>
      <c r="E886" s="155"/>
      <c r="F886" s="150"/>
      <c r="G886" s="127"/>
      <c r="L886" s="152">
        <f>'[5]Monthly Prices'!$D526</f>
        <v>13.568049938203995</v>
      </c>
      <c r="Q886" s="154">
        <f t="shared" si="196"/>
        <v>7.0847742635819282</v>
      </c>
      <c r="AF886" s="135"/>
    </row>
    <row r="887" spans="1:32">
      <c r="A887" s="99">
        <v>52475</v>
      </c>
      <c r="B887" s="155"/>
      <c r="C887" s="120"/>
      <c r="D887" s="155">
        <f t="shared" si="195"/>
        <v>1.6465408607358629</v>
      </c>
      <c r="E887" s="155"/>
      <c r="F887" s="150"/>
      <c r="G887" s="127"/>
      <c r="L887" s="152">
        <f>'[5]Monthly Prices'!$D527</f>
        <v>6.8683069946591067</v>
      </c>
      <c r="Q887" s="154">
        <f t="shared" si="196"/>
        <v>5.2217661339232437</v>
      </c>
      <c r="AF887" s="135"/>
    </row>
    <row r="888" spans="1:32">
      <c r="A888" s="99">
        <v>52505</v>
      </c>
      <c r="B888" s="155"/>
      <c r="C888" s="120"/>
      <c r="D888" s="155">
        <f t="shared" ref="D888:D951" si="197">L888+(AVERAGE(Q864,Q852,Q840,Q828,Q816)-MIN(Q864,Q852,Q840,Q828,Q816)-MAX(Q864,Q852,Q840,Q828,Q816))</f>
        <v>22.915483794456978</v>
      </c>
      <c r="E888" s="155"/>
      <c r="F888" s="150"/>
      <c r="G888" s="127"/>
      <c r="L888" s="152">
        <f>'[5]Monthly Prices'!$D528</f>
        <v>27.235189389945475</v>
      </c>
      <c r="Q888" s="154">
        <f t="shared" si="196"/>
        <v>4.3197055954884966</v>
      </c>
      <c r="AF888" s="135"/>
    </row>
    <row r="889" spans="1:32">
      <c r="A889" s="99">
        <v>52536</v>
      </c>
      <c r="B889" s="155"/>
      <c r="C889" s="120"/>
      <c r="D889" s="155">
        <f t="shared" si="197"/>
        <v>20.131443233018224</v>
      </c>
      <c r="E889" s="155"/>
      <c r="F889" s="150"/>
      <c r="G889" s="127"/>
      <c r="L889" s="152">
        <f>'[5]Monthly Prices'!$D529</f>
        <v>24.675629268494571</v>
      </c>
      <c r="Q889" s="154">
        <f t="shared" si="196"/>
        <v>4.544186035476347</v>
      </c>
      <c r="AF889" s="135"/>
    </row>
    <row r="890" spans="1:32">
      <c r="A890" s="99">
        <v>52566</v>
      </c>
      <c r="B890" s="155"/>
      <c r="C890" s="120"/>
      <c r="D890" s="155">
        <f t="shared" si="197"/>
        <v>36.853092861503725</v>
      </c>
      <c r="E890" s="155"/>
      <c r="F890" s="150"/>
      <c r="G890" s="127"/>
      <c r="L890" s="152">
        <f>'[5]Monthly Prices'!$D530</f>
        <v>39.971504131728381</v>
      </c>
      <c r="Q890" s="154">
        <f t="shared" si="196"/>
        <v>3.1184112702246551</v>
      </c>
      <c r="AF890" s="135"/>
    </row>
    <row r="891" spans="1:32">
      <c r="A891" s="99">
        <v>52597</v>
      </c>
      <c r="B891" s="155"/>
      <c r="C891" s="120"/>
      <c r="D891" s="155">
        <f t="shared" si="197"/>
        <v>39.299995068929618</v>
      </c>
      <c r="E891" s="155"/>
      <c r="F891" s="150"/>
      <c r="G891" s="127"/>
      <c r="L891" s="152">
        <f>'[5]Monthly Prices'!$D531</f>
        <v>39.943579605079655</v>
      </c>
      <c r="Q891" s="154">
        <f t="shared" si="196"/>
        <v>0.64358453615003697</v>
      </c>
      <c r="AF891" s="135"/>
    </row>
    <row r="892" spans="1:32">
      <c r="A892" s="99">
        <v>52628</v>
      </c>
      <c r="B892" s="155"/>
      <c r="C892" s="120"/>
      <c r="D892" s="155">
        <f t="shared" si="197"/>
        <v>35.961222980907245</v>
      </c>
      <c r="E892" s="155"/>
      <c r="F892" s="150"/>
      <c r="G892" s="127"/>
      <c r="L892" s="152">
        <f>'[5]Monthly Prices'!$D532</f>
        <v>38.793183672356946</v>
      </c>
      <c r="Q892" s="154">
        <f t="shared" si="196"/>
        <v>2.8319606914497015</v>
      </c>
      <c r="AF892" s="135"/>
    </row>
    <row r="893" spans="1:32">
      <c r="A893" s="99">
        <v>52657</v>
      </c>
      <c r="B893" s="155"/>
      <c r="C893" s="120"/>
      <c r="D893" s="155">
        <f t="shared" si="197"/>
        <v>46.917601682079457</v>
      </c>
      <c r="E893" s="155"/>
      <c r="F893" s="150"/>
      <c r="G893" s="127"/>
      <c r="L893" s="152">
        <f>'[5]Monthly Prices'!$D533</f>
        <v>49.353885108626372</v>
      </c>
      <c r="Q893" s="154">
        <f t="shared" si="196"/>
        <v>2.4362834265469147</v>
      </c>
      <c r="AF893" s="135"/>
    </row>
    <row r="894" spans="1:32">
      <c r="A894" s="99">
        <v>52688</v>
      </c>
      <c r="B894" s="155"/>
      <c r="C894" s="120"/>
      <c r="D894" s="155">
        <f t="shared" si="197"/>
        <v>51.135459561033066</v>
      </c>
      <c r="E894" s="155"/>
      <c r="F894" s="150"/>
      <c r="G894" s="127"/>
      <c r="L894" s="152">
        <f>'[5]Monthly Prices'!$D534</f>
        <v>54.545853920595391</v>
      </c>
      <c r="Q894" s="154">
        <f t="shared" si="196"/>
        <v>3.410394359562325</v>
      </c>
      <c r="AF894" s="135"/>
    </row>
    <row r="895" spans="1:32">
      <c r="A895" s="99">
        <v>52718</v>
      </c>
      <c r="B895" s="155"/>
      <c r="C895" s="120"/>
      <c r="D895" s="155">
        <f t="shared" si="197"/>
        <v>51.608863455842219</v>
      </c>
      <c r="E895" s="155"/>
      <c r="F895" s="150"/>
      <c r="G895" s="127"/>
      <c r="L895" s="152">
        <f>'[5]Monthly Prices'!$D535</f>
        <v>58.246107525032031</v>
      </c>
      <c r="Q895" s="154">
        <f t="shared" si="196"/>
        <v>6.637244069189812</v>
      </c>
      <c r="AF895" s="135"/>
    </row>
    <row r="896" spans="1:32">
      <c r="A896" s="99">
        <v>52749</v>
      </c>
      <c r="B896" s="155"/>
      <c r="C896" s="120"/>
      <c r="D896" s="155">
        <f t="shared" si="197"/>
        <v>50.599400356053302</v>
      </c>
      <c r="E896" s="155"/>
      <c r="F896" s="150"/>
      <c r="G896" s="127"/>
      <c r="L896" s="152">
        <f>'[5]Monthly Prices'!$D536</f>
        <v>57.187043935818394</v>
      </c>
      <c r="Q896" s="154">
        <f t="shared" si="196"/>
        <v>6.5876435797650927</v>
      </c>
      <c r="AF896" s="135"/>
    </row>
    <row r="897" spans="1:32">
      <c r="A897" s="99">
        <v>52779</v>
      </c>
      <c r="B897" s="155"/>
      <c r="C897" s="120"/>
      <c r="D897" s="155">
        <f t="shared" si="197"/>
        <v>52.151175061331379</v>
      </c>
      <c r="E897" s="155"/>
      <c r="F897" s="150"/>
      <c r="G897" s="127"/>
      <c r="L897" s="152">
        <f>'[5]Monthly Prices'!$D537</f>
        <v>58.993227486010603</v>
      </c>
      <c r="Q897" s="154">
        <f t="shared" si="196"/>
        <v>6.842052424679224</v>
      </c>
      <c r="AF897" s="135"/>
    </row>
    <row r="898" spans="1:32">
      <c r="A898" s="99">
        <v>52810</v>
      </c>
      <c r="B898" s="155"/>
      <c r="C898" s="120"/>
      <c r="D898" s="155">
        <f t="shared" si="197"/>
        <v>9.5803680268215281</v>
      </c>
      <c r="E898" s="155"/>
      <c r="F898" s="150"/>
      <c r="G898" s="127"/>
      <c r="L898" s="152">
        <f>'[5]Monthly Prices'!$D538</f>
        <v>16.780954770150949</v>
      </c>
      <c r="Q898" s="154">
        <f t="shared" si="196"/>
        <v>7.2005867433294206</v>
      </c>
      <c r="AF898" s="135"/>
    </row>
    <row r="899" spans="1:32">
      <c r="A899" s="99">
        <v>52841</v>
      </c>
      <c r="B899" s="155"/>
      <c r="C899" s="120"/>
      <c r="D899" s="155">
        <f t="shared" si="197"/>
        <v>3.5810812710544155</v>
      </c>
      <c r="E899" s="155"/>
      <c r="F899" s="150"/>
      <c r="G899" s="127"/>
      <c r="L899" s="152">
        <f>'[5]Monthly Prices'!$D539</f>
        <v>8.561913961316213</v>
      </c>
      <c r="Q899" s="154">
        <f t="shared" si="196"/>
        <v>4.9808326902617974</v>
      </c>
      <c r="AF899" s="135"/>
    </row>
    <row r="900" spans="1:32">
      <c r="A900" s="99">
        <v>52871</v>
      </c>
      <c r="B900" s="155"/>
      <c r="C900" s="120"/>
      <c r="D900" s="155">
        <f t="shared" si="197"/>
        <v>28.526931183501489</v>
      </c>
      <c r="E900" s="155"/>
      <c r="F900" s="150"/>
      <c r="G900" s="127"/>
      <c r="L900" s="152">
        <f>'[5]Monthly Prices'!$D540</f>
        <v>32.884039507686445</v>
      </c>
      <c r="Q900" s="154">
        <f t="shared" si="196"/>
        <v>4.3571083241849564</v>
      </c>
      <c r="AF900" s="135"/>
    </row>
    <row r="901" spans="1:32">
      <c r="A901" s="99">
        <v>52902</v>
      </c>
      <c r="B901" s="155"/>
      <c r="C901" s="120"/>
      <c r="D901" s="155">
        <f t="shared" si="197"/>
        <v>24.952901344017722</v>
      </c>
      <c r="E901" s="155"/>
      <c r="F901" s="150"/>
      <c r="G901" s="127"/>
      <c r="L901" s="152">
        <f>'[5]Monthly Prices'!$D541</f>
        <v>29.375098498593985</v>
      </c>
      <c r="Q901" s="154">
        <f t="shared" si="196"/>
        <v>4.4221971545762635</v>
      </c>
      <c r="AF901" s="135"/>
    </row>
    <row r="902" spans="1:32">
      <c r="A902" s="99">
        <v>52932</v>
      </c>
      <c r="B902" s="155"/>
      <c r="C902" s="120"/>
      <c r="D902" s="155">
        <f t="shared" si="197"/>
        <v>41.506054715534646</v>
      </c>
      <c r="E902" s="155"/>
      <c r="F902" s="150"/>
      <c r="G902" s="127"/>
      <c r="L902" s="152">
        <f>'[5]Monthly Prices'!$D542</f>
        <v>44.682829100625646</v>
      </c>
      <c r="Q902" s="154">
        <f t="shared" si="196"/>
        <v>3.1767743850910009</v>
      </c>
      <c r="AF902" s="135"/>
    </row>
    <row r="903" spans="1:32">
      <c r="A903" s="99">
        <v>52963</v>
      </c>
      <c r="B903" s="155"/>
      <c r="C903" s="120"/>
      <c r="D903" s="155">
        <f t="shared" si="197"/>
        <v>45.585627342832304</v>
      </c>
      <c r="E903" s="155"/>
      <c r="F903" s="150"/>
      <c r="G903" s="127"/>
      <c r="L903" s="152">
        <f>'[5]Monthly Prices'!$D543</f>
        <v>46.278457167178892</v>
      </c>
      <c r="Q903" s="154">
        <f t="shared" si="196"/>
        <v>0.69282982434658891</v>
      </c>
      <c r="AF903" s="135"/>
    </row>
    <row r="904" spans="1:32">
      <c r="A904" s="99">
        <v>52994</v>
      </c>
      <c r="B904" s="155"/>
      <c r="C904" s="120"/>
      <c r="D904" s="155">
        <f t="shared" si="197"/>
        <v>41.970442492372797</v>
      </c>
      <c r="E904" s="155"/>
      <c r="F904" s="150"/>
      <c r="G904" s="127"/>
      <c r="L904" s="152">
        <f>'[5]Monthly Prices'!$D544</f>
        <v>44.794332114548887</v>
      </c>
      <c r="Q904" s="154">
        <f t="shared" si="196"/>
        <v>2.8238896221760896</v>
      </c>
      <c r="AF904" s="135"/>
    </row>
    <row r="905" spans="1:32">
      <c r="A905" s="99">
        <v>53022</v>
      </c>
      <c r="B905" s="155"/>
      <c r="C905" s="120"/>
      <c r="D905" s="155">
        <f t="shared" si="197"/>
        <v>52.851292852018439</v>
      </c>
      <c r="E905" s="155"/>
      <c r="F905" s="150"/>
      <c r="G905" s="127"/>
      <c r="L905" s="152">
        <f>'[5]Monthly Prices'!$D545</f>
        <v>55.213094081234225</v>
      </c>
      <c r="Q905" s="154">
        <f t="shared" si="196"/>
        <v>2.3618012292157857</v>
      </c>
      <c r="AF905" s="135"/>
    </row>
    <row r="906" spans="1:32">
      <c r="A906" s="99">
        <v>53053</v>
      </c>
      <c r="B906" s="155"/>
      <c r="C906" s="120"/>
      <c r="D906" s="155">
        <f t="shared" si="197"/>
        <v>57.146869918252705</v>
      </c>
      <c r="E906" s="155"/>
      <c r="F906" s="150"/>
      <c r="G906" s="127"/>
      <c r="L906" s="152">
        <f>'[5]Monthly Prices'!$D546</f>
        <v>60.518421981120703</v>
      </c>
      <c r="Q906" s="154">
        <f t="shared" si="196"/>
        <v>3.3715520628679982</v>
      </c>
      <c r="AF906" s="135"/>
    </row>
    <row r="907" spans="1:32">
      <c r="A907" s="99">
        <v>53083</v>
      </c>
      <c r="B907" s="155"/>
      <c r="C907" s="120"/>
      <c r="D907" s="155">
        <f t="shared" si="197"/>
        <v>57.672672949276844</v>
      </c>
      <c r="E907" s="155"/>
      <c r="F907" s="150"/>
      <c r="G907" s="127"/>
      <c r="L907" s="152">
        <f>'[5]Monthly Prices'!$D547</f>
        <v>64.035407496472274</v>
      </c>
      <c r="Q907" s="154">
        <f t="shared" si="196"/>
        <v>6.36273454719543</v>
      </c>
      <c r="AF907" s="135"/>
    </row>
    <row r="908" spans="1:32">
      <c r="A908" s="99">
        <v>53114</v>
      </c>
      <c r="B908" s="155"/>
      <c r="C908" s="120"/>
      <c r="D908" s="155">
        <f t="shared" si="197"/>
        <v>56.125685660866452</v>
      </c>
      <c r="E908" s="155"/>
      <c r="F908" s="150"/>
      <c r="G908" s="127"/>
      <c r="L908" s="152">
        <f>'[5]Monthly Prices'!$D548</f>
        <v>62.416791760201932</v>
      </c>
      <c r="Q908" s="154">
        <f t="shared" si="196"/>
        <v>6.2911060993354795</v>
      </c>
      <c r="AF908" s="135"/>
    </row>
    <row r="909" spans="1:32">
      <c r="A909" s="99">
        <v>53144</v>
      </c>
      <c r="B909" s="155"/>
      <c r="C909" s="120"/>
      <c r="D909" s="155">
        <f t="shared" si="197"/>
        <v>56.925582653808128</v>
      </c>
      <c r="E909" s="155"/>
      <c r="F909" s="150"/>
      <c r="G909" s="127"/>
      <c r="L909" s="152">
        <f>'[5]Monthly Prices'!$D549</f>
        <v>63.630827027160187</v>
      </c>
      <c r="Q909" s="154">
        <f t="shared" si="196"/>
        <v>6.705244373352059</v>
      </c>
      <c r="AF909" s="135"/>
    </row>
    <row r="910" spans="1:32">
      <c r="A910" s="99">
        <v>53175</v>
      </c>
      <c r="B910" s="155"/>
      <c r="C910" s="120"/>
      <c r="D910" s="155">
        <f t="shared" si="197"/>
        <v>15.113807125250478</v>
      </c>
      <c r="E910" s="155"/>
      <c r="F910" s="150"/>
      <c r="G910" s="127"/>
      <c r="L910" s="152">
        <f>'[5]Monthly Prices'!$D550</f>
        <v>22.112846690847277</v>
      </c>
      <c r="Q910" s="154">
        <f t="shared" si="196"/>
        <v>6.9990395655967994</v>
      </c>
      <c r="AF910" s="135"/>
    </row>
    <row r="911" spans="1:32">
      <c r="A911" s="99">
        <v>53206</v>
      </c>
      <c r="B911" s="155"/>
      <c r="C911" s="120"/>
      <c r="D911" s="155">
        <f t="shared" si="197"/>
        <v>7.8864737575654482</v>
      </c>
      <c r="E911" s="155"/>
      <c r="F911" s="150"/>
      <c r="G911" s="127"/>
      <c r="L911" s="152">
        <f>'[5]Monthly Prices'!$D551</f>
        <v>13.006732649692994</v>
      </c>
      <c r="Q911" s="154">
        <f t="shared" si="196"/>
        <v>5.1202588921275458</v>
      </c>
      <c r="AF911" s="135"/>
    </row>
    <row r="912" spans="1:32">
      <c r="A912" s="99">
        <v>53236</v>
      </c>
      <c r="B912" s="155"/>
      <c r="C912" s="120"/>
      <c r="D912" s="155">
        <f t="shared" si="197"/>
        <v>15.395620935581347</v>
      </c>
      <c r="E912" s="155"/>
      <c r="F912" s="150"/>
      <c r="G912" s="127"/>
      <c r="L912" s="152">
        <f>'[5]Monthly Prices'!$D552</f>
        <v>19.636330834304573</v>
      </c>
      <c r="Q912" s="154">
        <f t="shared" si="196"/>
        <v>4.2407098987232263</v>
      </c>
      <c r="AF912" s="135"/>
    </row>
    <row r="913" spans="1:32">
      <c r="A913" s="99">
        <v>53267</v>
      </c>
      <c r="B913" s="155"/>
      <c r="C913" s="120"/>
      <c r="D913" s="155">
        <f t="shared" si="197"/>
        <v>8.8703573748183011</v>
      </c>
      <c r="E913" s="155"/>
      <c r="F913" s="150"/>
      <c r="G913" s="127"/>
      <c r="L913" s="152">
        <f>'[5]Monthly Prices'!$D553</f>
        <v>13.438935695098957</v>
      </c>
      <c r="Q913" s="154">
        <f t="shared" si="196"/>
        <v>4.5685783202806558</v>
      </c>
      <c r="AF913" s="135"/>
    </row>
    <row r="914" spans="1:32">
      <c r="A914" s="99">
        <v>53297</v>
      </c>
      <c r="B914" s="155"/>
      <c r="C914" s="120"/>
      <c r="D914" s="155">
        <f t="shared" si="197"/>
        <v>27.609860742587774</v>
      </c>
      <c r="E914" s="155"/>
      <c r="F914" s="150"/>
      <c r="G914" s="127"/>
      <c r="L914" s="152">
        <f>'[5]Monthly Prices'!$D554</f>
        <v>30.813262026791467</v>
      </c>
      <c r="Q914" s="154">
        <f t="shared" si="196"/>
        <v>3.203401284203693</v>
      </c>
      <c r="AF914" s="135"/>
    </row>
    <row r="915" spans="1:32">
      <c r="A915" s="99">
        <v>53328</v>
      </c>
      <c r="B915" s="155"/>
      <c r="C915" s="120"/>
      <c r="D915" s="155">
        <f t="shared" si="197"/>
        <v>28.00708417225264</v>
      </c>
      <c r="E915" s="155"/>
      <c r="F915" s="150"/>
      <c r="G915" s="127"/>
      <c r="L915" s="152">
        <f>'[5]Monthly Prices'!$D555</f>
        <v>28.893297082334069</v>
      </c>
      <c r="Q915" s="154">
        <f t="shared" si="196"/>
        <v>0.88621291008142933</v>
      </c>
      <c r="AF915" s="135"/>
    </row>
    <row r="916" spans="1:32">
      <c r="A916" s="99">
        <v>53359</v>
      </c>
      <c r="B916" s="155"/>
      <c r="C916" s="120"/>
      <c r="D916" s="155">
        <f t="shared" si="197"/>
        <v>26.455786895236155</v>
      </c>
      <c r="E916" s="155"/>
      <c r="F916" s="150"/>
      <c r="G916" s="127"/>
      <c r="L916" s="152">
        <f>'[5]Monthly Prices'!$D556</f>
        <v>29.436538973372588</v>
      </c>
      <c r="Q916" s="154">
        <f t="shared" si="196"/>
        <v>2.9807520781364332</v>
      </c>
      <c r="AF916" s="135"/>
    </row>
    <row r="917" spans="1:32">
      <c r="A917" s="99">
        <v>53387</v>
      </c>
      <c r="B917" s="155"/>
      <c r="C917" s="120"/>
      <c r="D917" s="155">
        <f t="shared" si="197"/>
        <v>40.223969999035909</v>
      </c>
      <c r="E917" s="155"/>
      <c r="F917" s="150"/>
      <c r="G917" s="127"/>
      <c r="L917" s="152">
        <f>'[5]Monthly Prices'!$D557</f>
        <v>42.540395145953937</v>
      </c>
      <c r="Q917" s="154">
        <f t="shared" si="196"/>
        <v>2.3164251469180286</v>
      </c>
      <c r="AF917" s="135"/>
    </row>
    <row r="918" spans="1:32">
      <c r="A918" s="99">
        <v>53418</v>
      </c>
      <c r="B918" s="155"/>
      <c r="C918" s="120"/>
      <c r="D918" s="155">
        <f t="shared" si="197"/>
        <v>46.586705614020602</v>
      </c>
      <c r="E918" s="155"/>
      <c r="F918" s="150"/>
      <c r="G918" s="127"/>
      <c r="L918" s="152">
        <f>'[5]Monthly Prices'!$D558</f>
        <v>49.986349413936352</v>
      </c>
      <c r="Q918" s="154">
        <f t="shared" si="196"/>
        <v>3.3996437999157507</v>
      </c>
      <c r="AF918" s="135"/>
    </row>
    <row r="919" spans="1:32">
      <c r="A919" s="99">
        <v>53448</v>
      </c>
      <c r="B919" s="155"/>
      <c r="C919" s="120"/>
      <c r="D919" s="155">
        <f t="shared" si="197"/>
        <v>49.494604226898218</v>
      </c>
      <c r="E919" s="155"/>
      <c r="F919" s="150"/>
      <c r="G919" s="127"/>
      <c r="L919" s="152">
        <f>'[5]Monthly Prices'!$D559</f>
        <v>55.792572480922509</v>
      </c>
      <c r="Q919" s="154">
        <f t="shared" si="196"/>
        <v>6.2979682540242905</v>
      </c>
      <c r="AF919" s="135"/>
    </row>
    <row r="920" spans="1:32">
      <c r="A920" s="99">
        <v>53479</v>
      </c>
      <c r="B920" s="155"/>
      <c r="C920" s="120"/>
      <c r="D920" s="155">
        <f t="shared" si="197"/>
        <v>50.11967904801265</v>
      </c>
      <c r="E920" s="155"/>
      <c r="F920" s="150"/>
      <c r="G920" s="127"/>
      <c r="L920" s="152">
        <f>'[5]Monthly Prices'!$D560</f>
        <v>56.441400491660197</v>
      </c>
      <c r="Q920" s="154">
        <f t="shared" si="196"/>
        <v>6.3217214436475473</v>
      </c>
      <c r="AF920" s="135"/>
    </row>
    <row r="921" spans="1:32">
      <c r="A921" s="99">
        <v>53509</v>
      </c>
      <c r="B921" s="155"/>
      <c r="C921" s="120"/>
      <c r="D921" s="155">
        <f t="shared" si="197"/>
        <v>53.398029365180548</v>
      </c>
      <c r="E921" s="155"/>
      <c r="F921" s="150"/>
      <c r="G921" s="127"/>
      <c r="L921" s="152">
        <f>'[5]Monthly Prices'!$D561</f>
        <v>60.097456181816618</v>
      </c>
      <c r="Q921" s="154">
        <f t="shared" si="196"/>
        <v>6.6994268166360698</v>
      </c>
      <c r="AF921" s="135"/>
    </row>
    <row r="922" spans="1:32">
      <c r="A922" s="99">
        <v>53540</v>
      </c>
      <c r="B922" s="155"/>
      <c r="C922" s="120"/>
      <c r="D922" s="155">
        <f t="shared" si="197"/>
        <v>9.1535089370181968</v>
      </c>
      <c r="E922" s="155"/>
      <c r="F922" s="150"/>
      <c r="G922" s="127"/>
      <c r="L922" s="152">
        <f>'[5]Monthly Prices'!$D562</f>
        <v>16.186698285450881</v>
      </c>
      <c r="Q922" s="154">
        <f t="shared" ref="Q922:Q974" si="198">L922-D922</f>
        <v>7.0331893484326837</v>
      </c>
      <c r="AF922" s="135"/>
    </row>
    <row r="923" spans="1:32">
      <c r="A923" s="99">
        <v>53571</v>
      </c>
      <c r="B923" s="155"/>
      <c r="C923" s="120"/>
      <c r="D923" s="155">
        <f t="shared" si="197"/>
        <v>3.8066876300223571</v>
      </c>
      <c r="E923" s="155"/>
      <c r="F923" s="150"/>
      <c r="G923" s="127"/>
      <c r="L923" s="152">
        <f>'[5]Monthly Prices'!$D563</f>
        <v>8.9527326775130103</v>
      </c>
      <c r="Q923" s="154">
        <f t="shared" si="198"/>
        <v>5.1460450474906532</v>
      </c>
      <c r="AF923" s="135"/>
    </row>
    <row r="924" spans="1:32">
      <c r="A924" s="99">
        <v>53601</v>
      </c>
      <c r="B924" s="155"/>
      <c r="C924" s="120"/>
      <c r="D924" s="155">
        <f t="shared" si="197"/>
        <v>26.032226567588076</v>
      </c>
      <c r="E924" s="155"/>
      <c r="F924" s="150"/>
      <c r="G924" s="127"/>
      <c r="L924" s="152">
        <f>'[5]Monthly Prices'!$D564</f>
        <v>30.251286222881461</v>
      </c>
      <c r="Q924" s="154">
        <f t="shared" si="198"/>
        <v>4.2190596552933854</v>
      </c>
      <c r="AF924" s="135"/>
    </row>
    <row r="925" spans="1:32">
      <c r="A925" s="99">
        <v>53632</v>
      </c>
      <c r="B925" s="155"/>
      <c r="C925" s="120"/>
      <c r="D925" s="155">
        <f t="shared" si="197"/>
        <v>22.556229137591302</v>
      </c>
      <c r="E925" s="155"/>
      <c r="F925" s="150"/>
      <c r="G925" s="127"/>
      <c r="L925" s="152">
        <f>'[5]Monthly Prices'!$D565</f>
        <v>27.024069012767036</v>
      </c>
      <c r="Q925" s="154">
        <f t="shared" si="198"/>
        <v>4.4678398751757342</v>
      </c>
      <c r="AF925" s="135"/>
    </row>
    <row r="926" spans="1:32">
      <c r="A926" s="99">
        <v>53662</v>
      </c>
      <c r="B926" s="155"/>
      <c r="C926" s="120"/>
      <c r="D926" s="155">
        <f t="shared" si="197"/>
        <v>47.31536910451085</v>
      </c>
      <c r="E926" s="155"/>
      <c r="F926" s="150"/>
      <c r="G926" s="127"/>
      <c r="L926" s="152">
        <f>'[5]Monthly Prices'!$D566</f>
        <v>50.357713334390581</v>
      </c>
      <c r="Q926" s="154">
        <f t="shared" si="198"/>
        <v>3.0423442298797312</v>
      </c>
      <c r="AF926" s="135"/>
    </row>
    <row r="927" spans="1:32">
      <c r="A927" s="99">
        <v>53693</v>
      </c>
      <c r="B927" s="155"/>
      <c r="C927" s="120"/>
      <c r="D927" s="155">
        <f t="shared" si="197"/>
        <v>50.487905237016577</v>
      </c>
      <c r="E927" s="155"/>
      <c r="F927" s="150"/>
      <c r="G927" s="127"/>
      <c r="L927" s="152">
        <f>'[5]Monthly Prices'!$D567</f>
        <v>51.109440441927006</v>
      </c>
      <c r="Q927" s="154">
        <f t="shared" si="198"/>
        <v>0.62153520491042968</v>
      </c>
      <c r="AF927" s="135"/>
    </row>
    <row r="928" spans="1:32">
      <c r="A928" s="99">
        <v>53724</v>
      </c>
      <c r="B928" s="155"/>
      <c r="C928" s="120"/>
      <c r="D928" s="155">
        <f t="shared" si="197"/>
        <v>38.969298580478743</v>
      </c>
      <c r="E928" s="155"/>
      <c r="F928" s="150"/>
      <c r="G928" s="127"/>
      <c r="L928" s="152">
        <f>'[5]Monthly Prices'!$D568</f>
        <v>41.664262979153094</v>
      </c>
      <c r="Q928" s="154">
        <f t="shared" si="198"/>
        <v>2.694964398674351</v>
      </c>
      <c r="AF928" s="135"/>
    </row>
    <row r="929" spans="1:32">
      <c r="A929" s="99">
        <v>53752</v>
      </c>
      <c r="B929" s="155"/>
      <c r="C929" s="120"/>
      <c r="D929" s="155">
        <f t="shared" si="197"/>
        <v>47.068770319117938</v>
      </c>
      <c r="E929" s="155"/>
      <c r="F929" s="150"/>
      <c r="G929" s="127"/>
      <c r="L929" s="152">
        <f>'[5]Monthly Prices'!$D569</f>
        <v>49.173206964771786</v>
      </c>
      <c r="Q929" s="154">
        <f t="shared" si="198"/>
        <v>2.1044366456538484</v>
      </c>
      <c r="AF929" s="135"/>
    </row>
    <row r="930" spans="1:32">
      <c r="A930" s="99">
        <v>53783</v>
      </c>
      <c r="B930" s="155"/>
      <c r="C930" s="120"/>
      <c r="D930" s="155">
        <f t="shared" si="197"/>
        <v>46.100490205092157</v>
      </c>
      <c r="E930" s="155"/>
      <c r="F930" s="150"/>
      <c r="G930" s="127"/>
      <c r="L930" s="152">
        <f>'[5]Monthly Prices'!$D570</f>
        <v>49.319274008788391</v>
      </c>
      <c r="Q930" s="154">
        <f t="shared" si="198"/>
        <v>3.2187838036962333</v>
      </c>
      <c r="AF930" s="135"/>
    </row>
    <row r="931" spans="1:32">
      <c r="A931" s="99">
        <v>53813</v>
      </c>
      <c r="B931" s="155"/>
      <c r="C931" s="120"/>
      <c r="D931" s="155">
        <f t="shared" si="197"/>
        <v>50.239201618250448</v>
      </c>
      <c r="E931" s="155"/>
      <c r="F931" s="150"/>
      <c r="G931" s="127"/>
      <c r="L931" s="152">
        <f>'[5]Monthly Prices'!$D571</f>
        <v>56.510379889448522</v>
      </c>
      <c r="Q931" s="154">
        <f t="shared" si="198"/>
        <v>6.2711782711980746</v>
      </c>
      <c r="AF931" s="135"/>
    </row>
    <row r="932" spans="1:32">
      <c r="A932" s="99">
        <v>53844</v>
      </c>
      <c r="B932" s="155"/>
      <c r="C932" s="120"/>
      <c r="D932" s="155">
        <f t="shared" si="197"/>
        <v>51.909064258577658</v>
      </c>
      <c r="E932" s="155"/>
      <c r="F932" s="150"/>
      <c r="G932" s="127"/>
      <c r="L932" s="152">
        <f>'[5]Monthly Prices'!$D572</f>
        <v>58.151052427680689</v>
      </c>
      <c r="Q932" s="154">
        <f t="shared" si="198"/>
        <v>6.2419881691030312</v>
      </c>
      <c r="AF932" s="135"/>
    </row>
    <row r="933" spans="1:32">
      <c r="A933" s="99">
        <v>53874</v>
      </c>
      <c r="B933" s="155"/>
      <c r="C933" s="120"/>
      <c r="D933" s="155">
        <f t="shared" si="197"/>
        <v>56.11210113677474</v>
      </c>
      <c r="E933" s="155"/>
      <c r="F933" s="150"/>
      <c r="G933" s="127"/>
      <c r="L933" s="152">
        <f>'[5]Monthly Prices'!$D573</f>
        <v>62.807289869728237</v>
      </c>
      <c r="Q933" s="154">
        <f t="shared" si="198"/>
        <v>6.6951887329534969</v>
      </c>
      <c r="AF933" s="135"/>
    </row>
    <row r="934" spans="1:32">
      <c r="A934" s="99">
        <v>53905</v>
      </c>
      <c r="B934" s="155"/>
      <c r="C934" s="120"/>
      <c r="D934" s="155">
        <f t="shared" si="197"/>
        <v>10.375484136776199</v>
      </c>
      <c r="E934" s="155"/>
      <c r="F934" s="150"/>
      <c r="G934" s="127"/>
      <c r="L934" s="152">
        <f>'[5]Monthly Prices'!$D574</f>
        <v>17.357558879899166</v>
      </c>
      <c r="Q934" s="154">
        <f t="shared" si="198"/>
        <v>6.9820747431229666</v>
      </c>
      <c r="AF934" s="135"/>
    </row>
    <row r="935" spans="1:32">
      <c r="A935" s="99">
        <v>53936</v>
      </c>
      <c r="B935" s="155"/>
      <c r="C935" s="120"/>
      <c r="D935" s="155">
        <f t="shared" si="197"/>
        <v>6.1545091208966705</v>
      </c>
      <c r="E935" s="155"/>
      <c r="F935" s="150"/>
      <c r="G935" s="127"/>
      <c r="L935" s="152">
        <f>'[5]Monthly Prices'!$D575</f>
        <v>11.275531677296618</v>
      </c>
      <c r="Q935" s="154">
        <f t="shared" si="198"/>
        <v>5.1210225563999474</v>
      </c>
      <c r="AF935" s="135"/>
    </row>
    <row r="936" spans="1:32">
      <c r="A936" s="99">
        <v>53966</v>
      </c>
      <c r="B936" s="155"/>
      <c r="C936" s="120"/>
      <c r="D936" s="155">
        <f t="shared" si="197"/>
        <v>16.277665410498344</v>
      </c>
      <c r="E936" s="155"/>
      <c r="F936" s="150"/>
      <c r="G936" s="127"/>
      <c r="L936" s="152">
        <f>'[5]Monthly Prices'!$D576</f>
        <v>20.47262820044433</v>
      </c>
      <c r="Q936" s="154">
        <f t="shared" si="198"/>
        <v>4.1949627899459863</v>
      </c>
      <c r="AF936" s="135"/>
    </row>
    <row r="937" spans="1:32">
      <c r="A937" s="99">
        <v>53997</v>
      </c>
      <c r="B937" s="155"/>
      <c r="C937" s="120"/>
      <c r="D937" s="155">
        <f t="shared" si="197"/>
        <v>6.0568443614024154</v>
      </c>
      <c r="E937" s="155"/>
      <c r="F937" s="150"/>
      <c r="G937" s="127"/>
      <c r="L937" s="152">
        <f>'[5]Monthly Prices'!$D577</f>
        <v>10.523101713851849</v>
      </c>
      <c r="Q937" s="154">
        <f t="shared" si="198"/>
        <v>4.4662573524494338</v>
      </c>
      <c r="AF937" s="135"/>
    </row>
    <row r="938" spans="1:32">
      <c r="A938" s="99">
        <v>54027</v>
      </c>
      <c r="B938" s="155"/>
      <c r="C938" s="120"/>
      <c r="D938" s="155">
        <f t="shared" si="197"/>
        <v>21.00058925984855</v>
      </c>
      <c r="E938" s="155"/>
      <c r="F938" s="150"/>
      <c r="G938" s="127"/>
      <c r="L938" s="152">
        <f>'[5]Monthly Prices'!$D578</f>
        <v>24.044647469924328</v>
      </c>
      <c r="Q938" s="154">
        <f t="shared" si="198"/>
        <v>3.0440582100757787</v>
      </c>
      <c r="AF938" s="135"/>
    </row>
    <row r="939" spans="1:32">
      <c r="A939" s="99">
        <v>54058</v>
      </c>
      <c r="B939" s="155"/>
      <c r="C939" s="120"/>
      <c r="D939" s="155">
        <f t="shared" si="197"/>
        <v>18.375147563133993</v>
      </c>
      <c r="E939" s="155"/>
      <c r="F939" s="150"/>
      <c r="G939" s="127"/>
      <c r="L939" s="152">
        <f>'[5]Monthly Prices'!$D579</f>
        <v>19.149991341410615</v>
      </c>
      <c r="Q939" s="154">
        <f t="shared" si="198"/>
        <v>0.77484377827662243</v>
      </c>
      <c r="AF939" s="135"/>
    </row>
    <row r="940" spans="1:32">
      <c r="A940" s="99">
        <v>54089</v>
      </c>
      <c r="B940" s="155"/>
      <c r="C940" s="120"/>
      <c r="D940" s="155">
        <f t="shared" si="197"/>
        <v>16.238398794690493</v>
      </c>
      <c r="E940" s="155"/>
      <c r="F940" s="150"/>
      <c r="G940" s="127"/>
      <c r="L940" s="152">
        <f>'[5]Monthly Prices'!$D580</f>
        <v>19.13338020303636</v>
      </c>
      <c r="Q940" s="154">
        <f t="shared" si="198"/>
        <v>2.8949814083458669</v>
      </c>
      <c r="AF940" s="135"/>
    </row>
    <row r="941" spans="1:32">
      <c r="A941" s="99">
        <v>54118</v>
      </c>
      <c r="B941" s="155"/>
      <c r="C941" s="120"/>
      <c r="D941" s="155">
        <f t="shared" si="197"/>
        <v>31.53485766473641</v>
      </c>
      <c r="E941" s="155"/>
      <c r="F941" s="150"/>
      <c r="G941" s="127"/>
      <c r="L941" s="152">
        <f>'[5]Monthly Prices'!$D581</f>
        <v>33.842326507694075</v>
      </c>
      <c r="Q941" s="154">
        <f t="shared" si="198"/>
        <v>2.3074688429576646</v>
      </c>
      <c r="AF941" s="135"/>
    </row>
    <row r="942" spans="1:32">
      <c r="A942" s="99">
        <v>54149</v>
      </c>
      <c r="B942" s="155"/>
      <c r="C942" s="120"/>
      <c r="D942" s="155">
        <f t="shared" si="197"/>
        <v>38.45344992843205</v>
      </c>
      <c r="E942" s="155"/>
      <c r="F942" s="150"/>
      <c r="G942" s="127"/>
      <c r="L942" s="152">
        <f>'[5]Monthly Prices'!$D582</f>
        <v>41.887153429435813</v>
      </c>
      <c r="Q942" s="154">
        <f t="shared" si="198"/>
        <v>3.4337035010037624</v>
      </c>
      <c r="AF942" s="135"/>
    </row>
    <row r="943" spans="1:32">
      <c r="A943" s="99">
        <v>54179</v>
      </c>
      <c r="B943" s="155"/>
      <c r="C943" s="120"/>
      <c r="D943" s="155">
        <f t="shared" si="197"/>
        <v>44.303078910070987</v>
      </c>
      <c r="E943" s="155"/>
      <c r="F943" s="150"/>
      <c r="G943" s="127"/>
      <c r="L943" s="152">
        <f>'[5]Monthly Prices'!$D583</f>
        <v>50.53175179205283</v>
      </c>
      <c r="Q943" s="154">
        <f t="shared" si="198"/>
        <v>6.2286728819818435</v>
      </c>
      <c r="AF943" s="135"/>
    </row>
    <row r="944" spans="1:32">
      <c r="A944" s="99">
        <v>54210</v>
      </c>
      <c r="B944" s="155"/>
      <c r="C944" s="120"/>
      <c r="D944" s="155">
        <f t="shared" si="197"/>
        <v>47.180172050911125</v>
      </c>
      <c r="E944" s="155"/>
      <c r="F944" s="150"/>
      <c r="G944" s="127"/>
      <c r="L944" s="152">
        <f>'[5]Monthly Prices'!$D584</f>
        <v>53.346091633055622</v>
      </c>
      <c r="Q944" s="154">
        <f t="shared" si="198"/>
        <v>6.1659195821444968</v>
      </c>
      <c r="AF944" s="135"/>
    </row>
    <row r="945" spans="1:32">
      <c r="A945" s="99">
        <v>54240</v>
      </c>
      <c r="B945" s="155"/>
      <c r="C945" s="120"/>
      <c r="D945" s="155">
        <f t="shared" si="197"/>
        <v>52.815158275402503</v>
      </c>
      <c r="E945" s="155"/>
      <c r="F945" s="150"/>
      <c r="G945" s="127"/>
      <c r="L945" s="152">
        <f>'[5]Monthly Prices'!$D585</f>
        <v>59.490735317471028</v>
      </c>
      <c r="Q945" s="154">
        <f t="shared" si="198"/>
        <v>6.6755770420685252</v>
      </c>
      <c r="AF945" s="135"/>
    </row>
    <row r="946" spans="1:32">
      <c r="A946" s="99">
        <v>54271</v>
      </c>
      <c r="B946" s="155"/>
      <c r="C946" s="120"/>
      <c r="D946" s="155">
        <f t="shared" si="197"/>
        <v>11.690424044737457</v>
      </c>
      <c r="E946" s="155"/>
      <c r="F946" s="150"/>
      <c r="G946" s="127"/>
      <c r="L946" s="152">
        <f>'[5]Monthly Prices'!$D586</f>
        <v>18.618840939862096</v>
      </c>
      <c r="Q946" s="154">
        <f t="shared" si="198"/>
        <v>6.9284168951246397</v>
      </c>
      <c r="AF946" s="135"/>
    </row>
    <row r="947" spans="1:32">
      <c r="A947" s="99">
        <v>54302</v>
      </c>
      <c r="B947" s="155"/>
      <c r="C947" s="120"/>
      <c r="D947" s="155">
        <f t="shared" si="197"/>
        <v>8.4762516954716762</v>
      </c>
      <c r="E947" s="155"/>
      <c r="F947" s="150"/>
      <c r="G947" s="127"/>
      <c r="L947" s="152">
        <f>'[5]Monthly Prices'!$D587</f>
        <v>13.577238085400925</v>
      </c>
      <c r="Q947" s="154">
        <f t="shared" si="198"/>
        <v>5.1009863899292487</v>
      </c>
      <c r="AF947" s="135"/>
    </row>
    <row r="948" spans="1:32">
      <c r="A948" s="99">
        <v>54332</v>
      </c>
      <c r="B948" s="155"/>
      <c r="C948" s="120"/>
      <c r="D948" s="155">
        <f t="shared" si="197"/>
        <v>39.70582981055194</v>
      </c>
      <c r="E948" s="155"/>
      <c r="F948" s="150"/>
      <c r="G948" s="127"/>
      <c r="L948" s="152">
        <f>'[5]Monthly Prices'!$D588</f>
        <v>43.874548394522172</v>
      </c>
      <c r="Q948" s="154">
        <f t="shared" si="198"/>
        <v>4.1687185839702323</v>
      </c>
      <c r="AF948" s="135"/>
    </row>
    <row r="949" spans="1:32">
      <c r="A949" s="99">
        <v>54363</v>
      </c>
      <c r="B949" s="155"/>
      <c r="C949" s="120"/>
      <c r="D949" s="155">
        <f t="shared" si="197"/>
        <v>34.682274446780056</v>
      </c>
      <c r="E949" s="155"/>
      <c r="F949" s="150"/>
      <c r="G949" s="127"/>
      <c r="L949" s="152">
        <f>'[5]Monthly Prices'!$D589</f>
        <v>39.16977521507836</v>
      </c>
      <c r="Q949" s="154">
        <f t="shared" si="198"/>
        <v>4.4875007682983039</v>
      </c>
      <c r="AF949" s="135"/>
    </row>
    <row r="950" spans="1:32">
      <c r="A950" s="99">
        <v>54393</v>
      </c>
      <c r="B950" s="155"/>
      <c r="C950" s="120"/>
      <c r="D950" s="155">
        <f t="shared" si="197"/>
        <v>56.205067449060003</v>
      </c>
      <c r="E950" s="155"/>
      <c r="F950" s="150"/>
      <c r="G950" s="127"/>
      <c r="L950" s="152">
        <f>'[5]Monthly Prices'!$D590</f>
        <v>59.225780401359273</v>
      </c>
      <c r="Q950" s="154">
        <f t="shared" si="198"/>
        <v>3.0207129522992702</v>
      </c>
      <c r="AF950" s="135"/>
    </row>
    <row r="951" spans="1:32">
      <c r="A951" s="99">
        <v>54424</v>
      </c>
      <c r="B951" s="155"/>
      <c r="C951" s="120"/>
      <c r="D951" s="155">
        <f t="shared" si="197"/>
        <v>58.838689033477337</v>
      </c>
      <c r="E951" s="155"/>
      <c r="F951" s="150"/>
      <c r="G951" s="127"/>
      <c r="L951" s="152">
        <f>'[5]Monthly Prices'!$D591</f>
        <v>59.635380846118331</v>
      </c>
      <c r="Q951" s="154">
        <f t="shared" si="198"/>
        <v>0.79669181264099365</v>
      </c>
      <c r="AF951" s="135"/>
    </row>
    <row r="952" spans="1:32">
      <c r="A952" s="99">
        <v>54455</v>
      </c>
      <c r="B952" s="155"/>
      <c r="C952" s="120"/>
      <c r="D952" s="155">
        <f t="shared" ref="D952:D974" si="199">L952+(AVERAGE(Q928,Q916,Q904,Q892,Q880)-MIN(Q928,Q916,Q904,Q892,Q880)-MAX(Q928,Q916,Q904,Q892,Q880))</f>
        <v>55.504761058919463</v>
      </c>
      <c r="E952" s="155"/>
      <c r="F952" s="150"/>
      <c r="G952" s="127"/>
      <c r="L952" s="152">
        <f>'[5]Monthly Prices'!$D592</f>
        <v>58.352224380986065</v>
      </c>
      <c r="Q952" s="154">
        <f t="shared" si="198"/>
        <v>2.8474633220666021</v>
      </c>
      <c r="AF952" s="135"/>
    </row>
    <row r="953" spans="1:32">
      <c r="A953" s="99">
        <v>54483</v>
      </c>
      <c r="B953" s="155"/>
      <c r="C953" s="120"/>
      <c r="D953" s="155">
        <f t="shared" si="199"/>
        <v>69.51289554631623</v>
      </c>
      <c r="E953" s="155"/>
      <c r="F953" s="150"/>
      <c r="G953" s="127"/>
      <c r="L953" s="152">
        <f>'[5]Monthly Prices'!$D593</f>
        <v>71.753760233302089</v>
      </c>
      <c r="Q953" s="154">
        <f t="shared" si="198"/>
        <v>2.2408646869858586</v>
      </c>
      <c r="AF953" s="135"/>
    </row>
    <row r="954" spans="1:32">
      <c r="A954" s="99">
        <v>54514</v>
      </c>
      <c r="B954" s="155"/>
      <c r="C954" s="120"/>
      <c r="D954" s="155">
        <f t="shared" si="199"/>
        <v>75.417938263441386</v>
      </c>
      <c r="E954" s="155"/>
      <c r="F954" s="150"/>
      <c r="G954" s="127"/>
      <c r="L954" s="152">
        <f>'[5]Monthly Prices'!$D594</f>
        <v>78.734886222670099</v>
      </c>
      <c r="Q954" s="154">
        <f t="shared" si="198"/>
        <v>3.3169479592287132</v>
      </c>
      <c r="AF954" s="135"/>
    </row>
    <row r="955" spans="1:32">
      <c r="A955" s="99">
        <v>54544</v>
      </c>
      <c r="B955" s="155"/>
      <c r="C955" s="120"/>
      <c r="D955" s="155">
        <f t="shared" si="199"/>
        <v>71.216145328188276</v>
      </c>
      <c r="E955" s="155"/>
      <c r="F955" s="150"/>
      <c r="G955" s="127"/>
      <c r="L955" s="152">
        <f>'[5]Monthly Prices'!$D595</f>
        <v>77.688529681123185</v>
      </c>
      <c r="Q955" s="154">
        <f t="shared" si="198"/>
        <v>6.4723843529349097</v>
      </c>
      <c r="AF955" s="135"/>
    </row>
    <row r="956" spans="1:32">
      <c r="A956" s="99">
        <v>54575</v>
      </c>
      <c r="B956" s="155"/>
      <c r="C956" s="120"/>
      <c r="D956" s="155">
        <f t="shared" si="199"/>
        <v>64.708142446689962</v>
      </c>
      <c r="E956" s="155"/>
      <c r="F956" s="150"/>
      <c r="G956" s="127"/>
      <c r="L956" s="152">
        <f>'[5]Monthly Prices'!$D596</f>
        <v>71.161760229971676</v>
      </c>
      <c r="Q956" s="154">
        <f t="shared" si="198"/>
        <v>6.4536177832817145</v>
      </c>
      <c r="AF956" s="135"/>
    </row>
    <row r="957" spans="1:32">
      <c r="A957" s="99">
        <v>54605</v>
      </c>
      <c r="B957" s="155"/>
      <c r="C957" s="120"/>
      <c r="D957" s="155">
        <f t="shared" si="199"/>
        <v>60.350381683862146</v>
      </c>
      <c r="E957" s="155"/>
      <c r="F957" s="150"/>
      <c r="G957" s="127"/>
      <c r="L957" s="152">
        <f>'[5]Monthly Prices'!$D597</f>
        <v>67.14238972081202</v>
      </c>
      <c r="Q957" s="154">
        <f t="shared" si="198"/>
        <v>6.7920080369498734</v>
      </c>
      <c r="AF957" s="135"/>
    </row>
    <row r="958" spans="1:32">
      <c r="A958" s="99">
        <v>54636</v>
      </c>
      <c r="B958" s="155"/>
      <c r="C958" s="120"/>
      <c r="D958" s="155">
        <f t="shared" si="199"/>
        <v>15.980039433022842</v>
      </c>
      <c r="E958" s="155"/>
      <c r="F958" s="150"/>
      <c r="G958" s="127"/>
      <c r="L958" s="152">
        <f>'[5]Monthly Prices'!$D598</f>
        <v>23.102767986662471</v>
      </c>
      <c r="Q958" s="154">
        <f t="shared" si="198"/>
        <v>7.1227285536396288</v>
      </c>
      <c r="AF958" s="135"/>
    </row>
    <row r="959" spans="1:32">
      <c r="A959" s="99">
        <v>54667</v>
      </c>
      <c r="B959" s="155"/>
      <c r="C959" s="120"/>
      <c r="D959" s="155">
        <f t="shared" si="199"/>
        <v>12.455251114636617</v>
      </c>
      <c r="E959" s="155"/>
      <c r="F959" s="150"/>
      <c r="G959" s="127"/>
      <c r="L959" s="152">
        <f>'[5]Monthly Prices'!$D599</f>
        <v>17.539864874781021</v>
      </c>
      <c r="Q959" s="154">
        <f t="shared" si="198"/>
        <v>5.0846137601444035</v>
      </c>
      <c r="AF959" s="135"/>
    </row>
    <row r="960" spans="1:32">
      <c r="A960" s="99">
        <v>54697</v>
      </c>
      <c r="B960" s="155"/>
      <c r="C960" s="120"/>
      <c r="D960" s="155">
        <f t="shared" si="199"/>
        <v>30.122872292519137</v>
      </c>
      <c r="E960" s="155"/>
      <c r="F960" s="150"/>
      <c r="G960" s="127"/>
      <c r="L960" s="152">
        <f>'[5]Monthly Prices'!$D600</f>
        <v>34.408634153922868</v>
      </c>
      <c r="Q960" s="154">
        <f t="shared" si="198"/>
        <v>4.2857618614037314</v>
      </c>
      <c r="AF960" s="135"/>
    </row>
    <row r="961" spans="1:32">
      <c r="A961" s="99">
        <v>54728</v>
      </c>
      <c r="B961" s="155"/>
      <c r="C961" s="120"/>
      <c r="D961" s="155">
        <f t="shared" si="199"/>
        <v>31.283985243803549</v>
      </c>
      <c r="E961" s="155"/>
      <c r="F961" s="150"/>
      <c r="G961" s="127"/>
      <c r="L961" s="152">
        <f>'[5]Monthly Prices'!$D601</f>
        <v>35.780948971068781</v>
      </c>
      <c r="Q961" s="154">
        <f t="shared" si="198"/>
        <v>4.4969637272652321</v>
      </c>
      <c r="AF961" s="135"/>
    </row>
    <row r="962" spans="1:32">
      <c r="A962" s="99">
        <v>54758</v>
      </c>
      <c r="B962" s="155"/>
      <c r="C962" s="120"/>
      <c r="D962" s="155">
        <f t="shared" si="199"/>
        <v>49.784463342106442</v>
      </c>
      <c r="E962" s="155"/>
      <c r="F962" s="150"/>
      <c r="G962" s="127"/>
      <c r="L962" s="152">
        <f>'[5]Monthly Prices'!$D602</f>
        <v>52.913210980294892</v>
      </c>
      <c r="Q962" s="154">
        <f t="shared" si="198"/>
        <v>3.1287476381884503</v>
      </c>
      <c r="AF962" s="135"/>
    </row>
    <row r="963" spans="1:32">
      <c r="A963" s="99">
        <v>54789</v>
      </c>
      <c r="B963" s="155"/>
      <c r="C963" s="120"/>
      <c r="D963" s="155">
        <f t="shared" si="199"/>
        <v>49.703109784672407</v>
      </c>
      <c r="E963" s="155"/>
      <c r="F963" s="150"/>
      <c r="G963" s="127"/>
      <c r="L963" s="152">
        <f>'[5]Monthly Prices'!$D603</f>
        <v>50.487056648911242</v>
      </c>
      <c r="Q963" s="154">
        <f t="shared" si="198"/>
        <v>0.78394686423883542</v>
      </c>
      <c r="AF963" s="135"/>
    </row>
    <row r="964" spans="1:32">
      <c r="A964" s="99">
        <v>54820</v>
      </c>
      <c r="B964" s="155"/>
      <c r="C964" s="120"/>
      <c r="D964" s="155">
        <f t="shared" si="199"/>
        <v>44.210432737722073</v>
      </c>
      <c r="E964" s="155"/>
      <c r="F964" s="150"/>
      <c r="G964" s="127"/>
      <c r="L964" s="152">
        <f>'[5]Monthly Prices'!$D604</f>
        <v>47.040839574776371</v>
      </c>
      <c r="Q964" s="154">
        <f t="shared" si="198"/>
        <v>2.8304068370542979</v>
      </c>
      <c r="AF964" s="135"/>
    </row>
    <row r="965" spans="1:32">
      <c r="A965" s="99">
        <v>54848</v>
      </c>
      <c r="B965" s="155"/>
      <c r="C965" s="120"/>
      <c r="D965" s="155">
        <f t="shared" si="199"/>
        <v>56.219708759068304</v>
      </c>
      <c r="E965" s="155"/>
      <c r="F965" s="150"/>
      <c r="G965" s="127"/>
      <c r="L965" s="152">
        <f>'[5]Monthly Prices'!$D605</f>
        <v>58.455145773010621</v>
      </c>
      <c r="Q965" s="154">
        <f t="shared" si="198"/>
        <v>2.2354370139423168</v>
      </c>
      <c r="AF965" s="135"/>
    </row>
    <row r="966" spans="1:32">
      <c r="A966" s="99">
        <v>54879</v>
      </c>
      <c r="B966" s="155"/>
      <c r="C966" s="120"/>
      <c r="D966" s="155">
        <f t="shared" si="199"/>
        <v>59.970550481899373</v>
      </c>
      <c r="E966" s="155"/>
      <c r="F966" s="150"/>
      <c r="G966" s="127"/>
      <c r="L966" s="152">
        <f>'[5]Monthly Prices'!$D606</f>
        <v>63.256222281190155</v>
      </c>
      <c r="Q966" s="154">
        <f t="shared" si="198"/>
        <v>3.2856717992907818</v>
      </c>
      <c r="AF966" s="135"/>
    </row>
    <row r="967" spans="1:32">
      <c r="A967" s="99">
        <v>54909</v>
      </c>
      <c r="B967" s="155"/>
      <c r="C967" s="120"/>
      <c r="D967" s="155">
        <f t="shared" si="199"/>
        <v>61.275445377206509</v>
      </c>
      <c r="E967" s="155"/>
      <c r="F967" s="150"/>
      <c r="G967" s="127"/>
      <c r="L967" s="152">
        <f>'[5]Monthly Prices'!$D607</f>
        <v>67.781802723660277</v>
      </c>
      <c r="Q967" s="154">
        <f t="shared" si="198"/>
        <v>6.5063573464537683</v>
      </c>
      <c r="AF967" s="135"/>
    </row>
    <row r="968" spans="1:32">
      <c r="A968" s="99">
        <v>54940</v>
      </c>
      <c r="B968" s="155"/>
      <c r="C968" s="120"/>
      <c r="D968" s="155">
        <f t="shared" si="199"/>
        <v>59.714079872376395</v>
      </c>
      <c r="E968" s="155"/>
      <c r="F968" s="150"/>
      <c r="G968" s="127"/>
      <c r="L968" s="152">
        <f>'[5]Monthly Prices'!$D608</f>
        <v>66.145967259486852</v>
      </c>
      <c r="Q968" s="154">
        <f t="shared" si="198"/>
        <v>6.4318873871104572</v>
      </c>
      <c r="AF968" s="135"/>
    </row>
    <row r="969" spans="1:32">
      <c r="A969" s="99">
        <v>54970</v>
      </c>
      <c r="B969" s="155"/>
      <c r="C969" s="120"/>
      <c r="D969" s="155">
        <f t="shared" si="199"/>
        <v>61.000264409440689</v>
      </c>
      <c r="E969" s="155"/>
      <c r="F969" s="150"/>
      <c r="G969" s="127"/>
      <c r="L969" s="152">
        <f>'[5]Monthly Prices'!$D609</f>
        <v>67.794395998250565</v>
      </c>
      <c r="Q969" s="154">
        <f t="shared" si="198"/>
        <v>6.7941315888098757</v>
      </c>
      <c r="AF969" s="135"/>
    </row>
    <row r="970" spans="1:32">
      <c r="A970" s="99">
        <v>55001</v>
      </c>
      <c r="B970" s="155"/>
      <c r="C970" s="120"/>
      <c r="D970" s="155">
        <f t="shared" si="199"/>
        <v>15.995038841820987</v>
      </c>
      <c r="E970" s="155"/>
      <c r="F970" s="150"/>
      <c r="G970" s="127"/>
      <c r="L970" s="152">
        <f>'[5]Monthly Prices'!$D610</f>
        <v>23.095381021153745</v>
      </c>
      <c r="Q970" s="154">
        <f t="shared" si="198"/>
        <v>7.1003421793327579</v>
      </c>
      <c r="AF970" s="135"/>
    </row>
    <row r="971" spans="1:32">
      <c r="A971" s="99">
        <v>55032</v>
      </c>
      <c r="B971" s="155"/>
      <c r="C971" s="120"/>
      <c r="D971" s="155">
        <f t="shared" si="199"/>
        <v>10.713640744937731</v>
      </c>
      <c r="E971" s="155"/>
      <c r="F971" s="150"/>
      <c r="G971" s="127"/>
      <c r="L971" s="152">
        <f>'[5]Monthly Prices'!$D611</f>
        <v>15.746689367448344</v>
      </c>
      <c r="Q971" s="154">
        <f t="shared" si="198"/>
        <v>5.0330486225106128</v>
      </c>
      <c r="AF971" s="135"/>
    </row>
    <row r="972" spans="1:32">
      <c r="A972" s="99">
        <v>55062</v>
      </c>
      <c r="B972" s="155"/>
      <c r="C972" s="120"/>
      <c r="D972" s="155">
        <f t="shared" si="199"/>
        <v>39.203430444324106</v>
      </c>
      <c r="E972" s="155"/>
      <c r="F972" s="150"/>
      <c r="G972" s="127"/>
      <c r="L972" s="152">
        <f>'[5]Monthly Prices'!$D612</f>
        <v>43.493145502055739</v>
      </c>
      <c r="Q972" s="154">
        <f t="shared" si="198"/>
        <v>4.2897150577316339</v>
      </c>
      <c r="AF972" s="135"/>
    </row>
    <row r="973" spans="1:32">
      <c r="A973" s="99">
        <v>55093</v>
      </c>
      <c r="B973" s="155"/>
      <c r="C973" s="120"/>
      <c r="D973" s="155">
        <f t="shared" si="199"/>
        <v>39.976463174571123</v>
      </c>
      <c r="E973" s="155"/>
      <c r="F973" s="150"/>
      <c r="G973" s="127"/>
      <c r="L973" s="152">
        <f>'[5]Monthly Prices'!$D613</f>
        <v>44.484763955271966</v>
      </c>
      <c r="Q973" s="154">
        <f t="shared" si="198"/>
        <v>4.5083007807008428</v>
      </c>
      <c r="AF973" s="135"/>
    </row>
    <row r="974" spans="1:32">
      <c r="A974" s="99">
        <v>55123</v>
      </c>
      <c r="B974" s="155"/>
      <c r="C974" s="120"/>
      <c r="D974" s="155">
        <f t="shared" si="199"/>
        <v>55.976981154742859</v>
      </c>
      <c r="E974" s="155"/>
      <c r="F974" s="150"/>
      <c r="G974" s="127"/>
      <c r="L974" s="152">
        <f>'[5]Monthly Prices'!$D614</f>
        <v>59.103637178935926</v>
      </c>
      <c r="Q974" s="154">
        <f t="shared" si="198"/>
        <v>3.1266560241930677</v>
      </c>
      <c r="AF974" s="135"/>
    </row>
    <row r="975" spans="1:32">
      <c r="A975" s="99"/>
      <c r="B975" s="155"/>
      <c r="C975" s="120"/>
      <c r="D975" s="155"/>
      <c r="E975" s="155"/>
      <c r="F975" s="150"/>
      <c r="G975" s="127"/>
      <c r="L975" s="152"/>
      <c r="Q975" s="154"/>
      <c r="AF975" s="135"/>
    </row>
    <row r="976" spans="1:32" ht="12" thickBot="1">
      <c r="D976" s="155">
        <f>L976+(AVERAGE(Q769,Q757,Q745,Q733,Q721)-MIN(Q769,Q757,Q745,Q733,Q721)-MAX(Q769,Q757,Q745,Q733,Q721))</f>
        <v>-4.550324570262009</v>
      </c>
      <c r="AF976" s="135"/>
    </row>
    <row r="977" spans="1:32">
      <c r="A977" s="158" t="s">
        <v>137</v>
      </c>
      <c r="B977" s="267" t="s">
        <v>138</v>
      </c>
      <c r="C977" s="268"/>
      <c r="D977" s="268"/>
      <c r="E977" s="268"/>
      <c r="F977" s="269"/>
      <c r="H977" s="99"/>
      <c r="I977" s="122"/>
      <c r="J977" s="122"/>
      <c r="K977" s="122"/>
      <c r="L977" s="270" t="s">
        <v>139</v>
      </c>
      <c r="M977" s="271"/>
      <c r="N977" s="271"/>
      <c r="O977" s="271"/>
      <c r="P977" s="272"/>
      <c r="Q977" s="159"/>
      <c r="R977" s="160"/>
      <c r="S977" s="160"/>
      <c r="T977" s="159"/>
      <c r="U977" s="159"/>
      <c r="V977" s="267" t="s">
        <v>140</v>
      </c>
      <c r="W977" s="268"/>
      <c r="X977" s="269"/>
      <c r="Z977" s="119"/>
      <c r="AA977" s="161"/>
      <c r="AF977" s="135"/>
    </row>
    <row r="978" spans="1:32" ht="12" thickBot="1">
      <c r="A978" s="158"/>
      <c r="B978" s="162" t="e">
        <f>AVERAGE(B982:B993)</f>
        <v>#DIV/0!</v>
      </c>
      <c r="C978" s="163">
        <f>AVERAGE(C983:C994)</f>
        <v>370.46473743998496</v>
      </c>
      <c r="D978" s="163">
        <f>AVERAGE(D983:D994)</f>
        <v>42.717378946493376</v>
      </c>
      <c r="E978" s="163" t="e">
        <f>AVERAGE(E983:E994)</f>
        <v>#DIV/0!</v>
      </c>
      <c r="F978" s="164" t="e">
        <f>AVERAGE(F983:F994)</f>
        <v>#DIV/0!</v>
      </c>
      <c r="G978" s="165"/>
      <c r="H978" s="131"/>
      <c r="K978" s="122"/>
      <c r="L978" s="166">
        <f>AVERAGE(L982:L993)</f>
        <v>11.667115743308782</v>
      </c>
      <c r="M978" s="167">
        <f>AVERAGE(M983:M994)</f>
        <v>389.952753968254</v>
      </c>
      <c r="N978" s="167">
        <f>AVERAGE(N983:N994)</f>
        <v>44.08456244588745</v>
      </c>
      <c r="O978" s="167">
        <f>AVERAGE(O983:O994)</f>
        <v>1.3612097317668346</v>
      </c>
      <c r="P978" s="168">
        <f>AVERAGE(P983:P994)</f>
        <v>0.35679523253540785</v>
      </c>
      <c r="Q978" s="169"/>
      <c r="R978" s="170"/>
      <c r="S978" s="170"/>
      <c r="T978" s="169"/>
      <c r="U978" s="169"/>
      <c r="V978" s="171" t="e">
        <f>AVERAGE(V982:V993)</f>
        <v>#DIV/0!</v>
      </c>
      <c r="W978" s="172">
        <f>AVERAGE(W983:W994)</f>
        <v>19.488016528268975</v>
      </c>
      <c r="X978" s="173">
        <f>AVERAGE(X983:X994)</f>
        <v>1.3671834993940724</v>
      </c>
      <c r="Y978" s="124"/>
      <c r="Z978" s="119"/>
      <c r="AA978" s="119"/>
      <c r="AF978" s="135"/>
    </row>
    <row r="979" spans="1:32" ht="12" thickBot="1">
      <c r="A979" s="174"/>
      <c r="B979" s="122"/>
      <c r="C979" s="122"/>
      <c r="D979" s="122"/>
      <c r="E979" s="122"/>
      <c r="G979" s="165"/>
      <c r="H979" s="99"/>
      <c r="J979" s="158"/>
      <c r="K979" s="122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24"/>
      <c r="Z979" s="119"/>
      <c r="AA979" s="119"/>
      <c r="AF979" s="135"/>
    </row>
    <row r="980" spans="1:32" ht="12.75" thickTop="1" thickBot="1">
      <c r="A980" s="99"/>
      <c r="B980" s="250" t="s">
        <v>141</v>
      </c>
      <c r="C980" s="251"/>
      <c r="D980" s="251"/>
      <c r="E980" s="251"/>
      <c r="F980" s="252"/>
      <c r="G980" s="253" t="s">
        <v>142</v>
      </c>
      <c r="H980" s="254"/>
      <c r="I980" s="254"/>
      <c r="J980" s="254"/>
      <c r="K980" s="255"/>
      <c r="L980" s="256" t="s">
        <v>143</v>
      </c>
      <c r="M980" s="257"/>
      <c r="N980" s="257"/>
      <c r="O980" s="257"/>
      <c r="P980" s="258"/>
      <c r="Q980" s="256" t="s">
        <v>144</v>
      </c>
      <c r="R980" s="257"/>
      <c r="S980" s="257"/>
      <c r="T980" s="257"/>
      <c r="U980" s="258"/>
      <c r="V980" s="250" t="s">
        <v>145</v>
      </c>
      <c r="W980" s="251"/>
      <c r="X980" s="252"/>
      <c r="Y980" s="259" t="s">
        <v>146</v>
      </c>
      <c r="Z980" s="260"/>
      <c r="AA980" s="261"/>
      <c r="AF980" s="135"/>
    </row>
    <row r="981" spans="1:32" ht="12" thickTop="1">
      <c r="A981" s="174"/>
      <c r="B981" s="175" t="s">
        <v>1</v>
      </c>
      <c r="C981" s="176" t="s">
        <v>2</v>
      </c>
      <c r="D981" s="176" t="s">
        <v>3</v>
      </c>
      <c r="E981" s="176" t="s">
        <v>4</v>
      </c>
      <c r="F981" s="177" t="s">
        <v>5</v>
      </c>
      <c r="G981" s="178" t="s">
        <v>1</v>
      </c>
      <c r="H981" s="179" t="s">
        <v>2</v>
      </c>
      <c r="I981" s="176" t="s">
        <v>3</v>
      </c>
      <c r="J981" s="176" t="s">
        <v>4</v>
      </c>
      <c r="K981" s="177" t="s">
        <v>5</v>
      </c>
      <c r="L981" s="180" t="s">
        <v>1</v>
      </c>
      <c r="M981" s="181" t="s">
        <v>2</v>
      </c>
      <c r="N981" s="181" t="s">
        <v>3</v>
      </c>
      <c r="O981" s="181" t="s">
        <v>4</v>
      </c>
      <c r="P981" s="182" t="s">
        <v>5</v>
      </c>
      <c r="Q981" s="180" t="s">
        <v>1</v>
      </c>
      <c r="R981" s="181" t="s">
        <v>2</v>
      </c>
      <c r="S981" s="181" t="s">
        <v>3</v>
      </c>
      <c r="T981" s="181" t="s">
        <v>4</v>
      </c>
      <c r="U981" s="182" t="s">
        <v>5</v>
      </c>
      <c r="V981" s="175" t="s">
        <v>1</v>
      </c>
      <c r="W981" s="176" t="s">
        <v>2</v>
      </c>
      <c r="X981" s="177" t="s">
        <v>3</v>
      </c>
      <c r="Y981" s="175" t="s">
        <v>1</v>
      </c>
      <c r="Z981" s="183" t="s">
        <v>2</v>
      </c>
      <c r="AA981" s="184" t="s">
        <v>3</v>
      </c>
      <c r="AF981" s="135"/>
    </row>
    <row r="982" spans="1:32">
      <c r="A982" s="185" t="s">
        <v>96</v>
      </c>
      <c r="B982" s="186" t="e">
        <f>AVERAGE(B599,B611,B623,B515,B527,B539,B551,B563,B635,B647)</f>
        <v>#DIV/0!</v>
      </c>
      <c r="C982" s="187"/>
      <c r="D982" s="187"/>
      <c r="E982" s="187"/>
      <c r="F982" s="188"/>
      <c r="G982" s="189" t="e">
        <f>B982/B$978</f>
        <v>#DIV/0!</v>
      </c>
      <c r="H982" s="190"/>
      <c r="I982" s="191"/>
      <c r="J982" s="191"/>
      <c r="K982" s="192"/>
      <c r="L982" s="187">
        <f>AVERAGE(J599,J611,J623,J515,J527,J539, J551, J563,J635,J647)</f>
        <v>12.047946547619045</v>
      </c>
      <c r="M982" s="193"/>
      <c r="N982" s="193"/>
      <c r="O982" s="193"/>
      <c r="P982" s="194"/>
      <c r="Q982" s="195">
        <f>L982/L$978</f>
        <v>1.0326413839280435</v>
      </c>
      <c r="R982" s="196"/>
      <c r="S982" s="196"/>
      <c r="T982" s="196"/>
      <c r="U982" s="197"/>
      <c r="V982" s="186" t="e">
        <f t="shared" ref="V982:X994" si="200">L982-B982</f>
        <v>#DIV/0!</v>
      </c>
      <c r="W982" s="187"/>
      <c r="X982" s="198"/>
      <c r="Y982" s="199" t="e">
        <f>V982/V$978</f>
        <v>#DIV/0!</v>
      </c>
      <c r="Z982" s="190"/>
      <c r="AA982" s="200"/>
    </row>
    <row r="983" spans="1:32">
      <c r="A983" s="185" t="s">
        <v>97</v>
      </c>
      <c r="B983" s="186" t="e">
        <f>AVERAGE(B600,B612,B624,B516,B528,B540,B552,B564,B636,B648)</f>
        <v>#DIV/0!</v>
      </c>
      <c r="C983" s="187">
        <f t="shared" ref="C983:F986" si="201">AVERAGE(C600,C612,C624,C516,C528,C540,C552,C564,C636,C648)</f>
        <v>363.98201285337848</v>
      </c>
      <c r="D983" s="187">
        <f t="shared" si="201"/>
        <v>43.459932401656303</v>
      </c>
      <c r="E983" s="187" t="e">
        <f t="shared" si="201"/>
        <v>#DIV/0!</v>
      </c>
      <c r="F983" s="201" t="e">
        <f t="shared" si="201"/>
        <v>#DIV/0!</v>
      </c>
      <c r="G983" s="189" t="e">
        <f>B983/B$978</f>
        <v>#DIV/0!</v>
      </c>
      <c r="H983" s="190">
        <f t="shared" ref="H983:H994" si="202">D983/D$978</f>
        <v>1.0173829357857613</v>
      </c>
      <c r="I983" s="191">
        <f>D983/D$978</f>
        <v>1.0173829357857613</v>
      </c>
      <c r="J983" s="191" t="e">
        <f>E983/E$978</f>
        <v>#DIV/0!</v>
      </c>
      <c r="K983" s="192" t="e">
        <f>F983/F$978</f>
        <v>#DIV/0!</v>
      </c>
      <c r="L983" s="187">
        <f>AVERAGE(J600,J612,J624,J516,J528,J540, J552, J564,J636,J648)</f>
        <v>11.491671904761905</v>
      </c>
      <c r="M983" s="193">
        <f t="shared" ref="M983:P986" si="203">AVERAGE(K600,K612,K624,K516,K528,K540, K552, K564,K636,K648)</f>
        <v>386.5675</v>
      </c>
      <c r="N983" s="193">
        <f t="shared" si="203"/>
        <v>44.937363636363642</v>
      </c>
      <c r="O983" s="193">
        <f t="shared" si="203"/>
        <v>1.955923095238095</v>
      </c>
      <c r="P983" s="201">
        <f t="shared" si="203"/>
        <v>0.3592774441264292</v>
      </c>
      <c r="Q983" s="195">
        <f t="shared" ref="Q983:U994" si="204">L983/L$978</f>
        <v>0.98496253552232937</v>
      </c>
      <c r="R983" s="202">
        <f>M983/M$978</f>
        <v>0.99131880994862875</v>
      </c>
      <c r="S983" s="202">
        <f>N983/N$978</f>
        <v>1.0193446672295541</v>
      </c>
      <c r="T983" s="196">
        <f>O983/O$978</f>
        <v>1.4369006109729536</v>
      </c>
      <c r="U983" s="197">
        <f>P983/P$978</f>
        <v>1.0069569640081304</v>
      </c>
      <c r="V983" s="186" t="e">
        <f t="shared" si="200"/>
        <v>#DIV/0!</v>
      </c>
      <c r="W983" s="187">
        <f t="shared" si="200"/>
        <v>22.585487146621517</v>
      </c>
      <c r="X983" s="198">
        <f>N983-D983</f>
        <v>1.4774312347073391</v>
      </c>
      <c r="Y983" s="199" t="e">
        <f t="shared" ref="Y983:AA994" si="205">V983/V$978</f>
        <v>#DIV/0!</v>
      </c>
      <c r="Z983" s="190">
        <f>W983/W$978</f>
        <v>1.1589423230352562</v>
      </c>
      <c r="AA983" s="203">
        <f>X983/X$978</f>
        <v>1.0806385795046005</v>
      </c>
    </row>
    <row r="984" spans="1:32">
      <c r="A984" s="185" t="s">
        <v>98</v>
      </c>
      <c r="B984" s="186" t="e">
        <f>AVERAGE(B601,B613,B625,B517,B529,B541,B553,B565,B637,B649)</f>
        <v>#DIV/0!</v>
      </c>
      <c r="C984" s="187">
        <f t="shared" si="201"/>
        <v>376.03681761904761</v>
      </c>
      <c r="D984" s="187">
        <f t="shared" si="201"/>
        <v>43.865287142857149</v>
      </c>
      <c r="E984" s="187" t="e">
        <f t="shared" si="201"/>
        <v>#DIV/0!</v>
      </c>
      <c r="F984" s="201" t="e">
        <f t="shared" si="201"/>
        <v>#DIV/0!</v>
      </c>
      <c r="G984" s="189" t="e">
        <f t="shared" ref="G984:G993" si="206">B984/B$978</f>
        <v>#DIV/0!</v>
      </c>
      <c r="H984" s="190">
        <f t="shared" si="202"/>
        <v>1.0268721589356316</v>
      </c>
      <c r="I984" s="191">
        <f t="shared" ref="I984:K994" si="207">D984/D$978</f>
        <v>1.0268721589356316</v>
      </c>
      <c r="J984" s="191" t="e">
        <f t="shared" si="207"/>
        <v>#DIV/0!</v>
      </c>
      <c r="K984" s="192" t="e">
        <f t="shared" si="207"/>
        <v>#DIV/0!</v>
      </c>
      <c r="L984" s="187">
        <f>AVERAGE(J601,J613,J625,J517,J529,J541, J553, J565,J637,J649)</f>
        <v>11.798413809523812</v>
      </c>
      <c r="M984" s="193">
        <f t="shared" si="203"/>
        <v>397.24052380952378</v>
      </c>
      <c r="N984" s="193">
        <f t="shared" si="203"/>
        <v>44.971142857142858</v>
      </c>
      <c r="O984" s="193">
        <f t="shared" si="203"/>
        <v>1.8877034285714287</v>
      </c>
      <c r="P984" s="201">
        <f t="shared" si="203"/>
        <v>0.35376489715723713</v>
      </c>
      <c r="Q984" s="195">
        <f t="shared" si="204"/>
        <v>1.011253686781185</v>
      </c>
      <c r="R984" s="202">
        <f t="shared" si="204"/>
        <v>1.0186888533728962</v>
      </c>
      <c r="S984" s="202">
        <f t="shared" si="204"/>
        <v>1.0201109041820176</v>
      </c>
      <c r="T984" s="196">
        <f t="shared" si="204"/>
        <v>1.3867836708169956</v>
      </c>
      <c r="U984" s="197">
        <f t="shared" si="204"/>
        <v>0.9915067940884833</v>
      </c>
      <c r="V984" s="186" t="e">
        <f t="shared" si="200"/>
        <v>#DIV/0!</v>
      </c>
      <c r="W984" s="187">
        <f t="shared" si="200"/>
        <v>21.203706190476169</v>
      </c>
      <c r="X984" s="198">
        <f>N984-D984</f>
        <v>1.1058557142857097</v>
      </c>
      <c r="Y984" s="199" t="e">
        <f t="shared" si="205"/>
        <v>#DIV/0!</v>
      </c>
      <c r="Z984" s="190">
        <f t="shared" si="205"/>
        <v>1.0880381879663559</v>
      </c>
      <c r="AA984" s="203">
        <f t="shared" si="205"/>
        <v>0.8088568321485875</v>
      </c>
    </row>
    <row r="985" spans="1:32">
      <c r="A985" s="185" t="s">
        <v>99</v>
      </c>
      <c r="B985" s="186" t="e">
        <f>AVERAGE(B602,B614,B626,B518,B530,B542,B554,B566,B638,B650)</f>
        <v>#DIV/0!</v>
      </c>
      <c r="C985" s="187">
        <f t="shared" si="201"/>
        <v>377.17125662337662</v>
      </c>
      <c r="D985" s="187">
        <f t="shared" si="201"/>
        <v>42.998614242424239</v>
      </c>
      <c r="E985" s="187" t="e">
        <f t="shared" si="201"/>
        <v>#DIV/0!</v>
      </c>
      <c r="F985" s="201" t="e">
        <f t="shared" si="201"/>
        <v>#DIV/0!</v>
      </c>
      <c r="G985" s="189" t="e">
        <f t="shared" si="206"/>
        <v>#DIV/0!</v>
      </c>
      <c r="H985" s="190">
        <f t="shared" si="202"/>
        <v>1.0065836271528534</v>
      </c>
      <c r="I985" s="191">
        <f t="shared" si="207"/>
        <v>1.0065836271528534</v>
      </c>
      <c r="J985" s="191" t="e">
        <f t="shared" si="207"/>
        <v>#DIV/0!</v>
      </c>
      <c r="K985" s="192" t="e">
        <f t="shared" si="207"/>
        <v>#DIV/0!</v>
      </c>
      <c r="L985" s="187">
        <f>AVERAGE(J602,J614,J626,J518,J530,J542, J554, J566,J638,J650)</f>
        <v>11.994909285714286</v>
      </c>
      <c r="M985" s="193">
        <f t="shared" si="203"/>
        <v>400.09799999999996</v>
      </c>
      <c r="N985" s="193">
        <f t="shared" si="203"/>
        <v>43.967550000000003</v>
      </c>
      <c r="O985" s="193">
        <f t="shared" si="203"/>
        <v>1.6436772142857141</v>
      </c>
      <c r="P985" s="201">
        <f t="shared" si="203"/>
        <v>0.35107252028055169</v>
      </c>
      <c r="Q985" s="195">
        <f t="shared" si="204"/>
        <v>1.0280955078887852</v>
      </c>
      <c r="R985" s="202">
        <f t="shared" si="204"/>
        <v>1.0260166031102627</v>
      </c>
      <c r="S985" s="202">
        <f t="shared" si="204"/>
        <v>0.99734572740670668</v>
      </c>
      <c r="T985" s="196">
        <f t="shared" si="204"/>
        <v>1.2075120945192186</v>
      </c>
      <c r="U985" s="197">
        <f t="shared" si="204"/>
        <v>0.98396079394281633</v>
      </c>
      <c r="V985" s="186" t="e">
        <f t="shared" si="200"/>
        <v>#DIV/0!</v>
      </c>
      <c r="W985" s="187">
        <f t="shared" si="200"/>
        <v>22.926743376623335</v>
      </c>
      <c r="X985" s="198">
        <f t="shared" si="200"/>
        <v>0.968935757575764</v>
      </c>
      <c r="Y985" s="199" t="e">
        <f t="shared" si="205"/>
        <v>#DIV/0!</v>
      </c>
      <c r="Z985" s="190">
        <f t="shared" si="205"/>
        <v>1.1764534037297332</v>
      </c>
      <c r="AA985" s="203">
        <f t="shared" si="205"/>
        <v>0.70870937076492702</v>
      </c>
    </row>
    <row r="986" spans="1:32">
      <c r="A986" s="185" t="s">
        <v>100</v>
      </c>
      <c r="B986" s="186" t="e">
        <f>AVERAGE(B603,B615,B627,B519,B531,B543,B555,B567,B639,B651)</f>
        <v>#DIV/0!</v>
      </c>
      <c r="C986" s="187">
        <f t="shared" si="201"/>
        <v>376.07242258145362</v>
      </c>
      <c r="D986" s="187">
        <f t="shared" si="201"/>
        <v>43.311703909774437</v>
      </c>
      <c r="E986" s="187" t="e">
        <f t="shared" si="201"/>
        <v>#DIV/0!</v>
      </c>
      <c r="F986" s="201" t="e">
        <f t="shared" si="201"/>
        <v>#DIV/0!</v>
      </c>
      <c r="G986" s="189" t="e">
        <f t="shared" si="206"/>
        <v>#DIV/0!</v>
      </c>
      <c r="H986" s="190">
        <f t="shared" si="202"/>
        <v>1.0139129548192902</v>
      </c>
      <c r="I986" s="191">
        <f t="shared" si="207"/>
        <v>1.0139129548192902</v>
      </c>
      <c r="J986" s="191" t="e">
        <f t="shared" si="207"/>
        <v>#DIV/0!</v>
      </c>
      <c r="K986" s="192" t="e">
        <f t="shared" si="207"/>
        <v>#DIV/0!</v>
      </c>
      <c r="L986" s="187">
        <f>AVERAGE(J603,J615,J627,J519,J531,J543, J555, J567,J639,J651)</f>
        <v>12.136001334586467</v>
      </c>
      <c r="M986" s="193">
        <f t="shared" si="203"/>
        <v>394.68052380952383</v>
      </c>
      <c r="N986" s="193">
        <f t="shared" si="203"/>
        <v>43.607142857142854</v>
      </c>
      <c r="O986" s="193">
        <f t="shared" si="203"/>
        <v>1.3437559035087718</v>
      </c>
      <c r="P986" s="201">
        <f t="shared" si="203"/>
        <v>0.35144896330158465</v>
      </c>
      <c r="Q986" s="195">
        <f t="shared" si="204"/>
        <v>1.040188646585305</v>
      </c>
      <c r="R986" s="202">
        <f t="shared" si="204"/>
        <v>1.0121239555129664</v>
      </c>
      <c r="S986" s="202">
        <f t="shared" si="204"/>
        <v>0.98917036798696567</v>
      </c>
      <c r="T986" s="196">
        <f t="shared" si="204"/>
        <v>0.98717770829083928</v>
      </c>
      <c r="U986" s="197">
        <f t="shared" si="204"/>
        <v>0.98501586135041019</v>
      </c>
      <c r="V986" s="186" t="e">
        <f t="shared" si="200"/>
        <v>#DIV/0!</v>
      </c>
      <c r="W986" s="187">
        <f t="shared" si="200"/>
        <v>18.608101228070211</v>
      </c>
      <c r="X986" s="198">
        <f t="shared" si="200"/>
        <v>0.29543894736841736</v>
      </c>
      <c r="Y986" s="199" t="e">
        <f t="shared" si="205"/>
        <v>#DIV/0!</v>
      </c>
      <c r="Z986" s="190">
        <f t="shared" si="205"/>
        <v>0.95484839111654207</v>
      </c>
      <c r="AA986" s="203">
        <f t="shared" si="205"/>
        <v>0.2160931195405402</v>
      </c>
    </row>
    <row r="987" spans="1:32">
      <c r="A987" s="185" t="s">
        <v>101</v>
      </c>
      <c r="B987" s="186" t="e">
        <f t="shared" ref="B987:F993" si="208">AVERAGE(B592,B604,B616,B508,B520,B532,B544,B556,B568,B628)</f>
        <v>#DIV/0!</v>
      </c>
      <c r="C987" s="187">
        <f t="shared" si="208"/>
        <v>362.60660736842101</v>
      </c>
      <c r="D987" s="187">
        <f t="shared" si="208"/>
        <v>41.503906842105259</v>
      </c>
      <c r="E987" s="187" t="e">
        <f t="shared" si="208"/>
        <v>#DIV/0!</v>
      </c>
      <c r="F987" s="201" t="e">
        <f t="shared" si="208"/>
        <v>#DIV/0!</v>
      </c>
      <c r="G987" s="189" t="e">
        <f t="shared" si="206"/>
        <v>#DIV/0!</v>
      </c>
      <c r="H987" s="190">
        <f t="shared" si="202"/>
        <v>0.97159301122130926</v>
      </c>
      <c r="I987" s="191">
        <f t="shared" si="207"/>
        <v>0.97159301122130926</v>
      </c>
      <c r="J987" s="191" t="e">
        <f t="shared" si="207"/>
        <v>#DIV/0!</v>
      </c>
      <c r="K987" s="192" t="e">
        <f t="shared" si="207"/>
        <v>#DIV/0!</v>
      </c>
      <c r="L987" s="187">
        <f t="shared" ref="L987:L993" si="209">AVERAGE(J580,J592,J604,J616,J508,J520,J532,J544, J556, J568)</f>
        <v>11.205257894736842</v>
      </c>
      <c r="M987" s="193">
        <f t="shared" ref="M987:M994" si="210">AVERAGE(K592,K604,K616,K508,K520,K532,K544, K556, K568,K628)</f>
        <v>374.85300000000001</v>
      </c>
      <c r="N987" s="193">
        <f t="shared" ref="N987:N994" si="211">AVERAGE(L592,L604,L616,L628,L520,L532,L544, L556, L568,L640)</f>
        <v>42.216250000000002</v>
      </c>
      <c r="O987" s="193">
        <f t="shared" ref="O987:P994" si="212">AVERAGE(M604,M616,M508,M520,M532,M544, M556, M568,M628,M640)</f>
        <v>1.1090293421052626</v>
      </c>
      <c r="P987" s="201">
        <f t="shared" si="212"/>
        <v>0.356538747685054</v>
      </c>
      <c r="Q987" s="195">
        <f t="shared" si="204"/>
        <v>0.96041370817489147</v>
      </c>
      <c r="R987" s="202">
        <f t="shared" si="204"/>
        <v>0.9612779912063828</v>
      </c>
      <c r="S987" s="202">
        <f t="shared" si="204"/>
        <v>0.95761980289175497</v>
      </c>
      <c r="T987" s="196">
        <f t="shared" si="204"/>
        <v>0.81473803501665776</v>
      </c>
      <c r="U987" s="197">
        <f t="shared" si="204"/>
        <v>0.99928114272006596</v>
      </c>
      <c r="V987" s="186" t="e">
        <f t="shared" si="200"/>
        <v>#DIV/0!</v>
      </c>
      <c r="W987" s="187">
        <f t="shared" si="200"/>
        <v>12.246392631578999</v>
      </c>
      <c r="X987" s="198">
        <f t="shared" si="200"/>
        <v>0.71234315789474323</v>
      </c>
      <c r="Y987" s="199" t="e">
        <f t="shared" si="205"/>
        <v>#DIV/0!</v>
      </c>
      <c r="Z987" s="190">
        <f t="shared" si="205"/>
        <v>0.62840631389113388</v>
      </c>
      <c r="AA987" s="203">
        <f t="shared" si="205"/>
        <v>0.52102966296071418</v>
      </c>
    </row>
    <row r="988" spans="1:32">
      <c r="A988" s="185" t="s">
        <v>90</v>
      </c>
      <c r="B988" s="186" t="e">
        <f t="shared" si="208"/>
        <v>#DIV/0!</v>
      </c>
      <c r="C988" s="187">
        <f t="shared" si="208"/>
        <v>367.22362059288537</v>
      </c>
      <c r="D988" s="187">
        <f t="shared" si="208"/>
        <v>42.704774901185772</v>
      </c>
      <c r="E988" s="187" t="e">
        <f t="shared" si="208"/>
        <v>#DIV/0!</v>
      </c>
      <c r="F988" s="201" t="e">
        <f t="shared" si="208"/>
        <v>#DIV/0!</v>
      </c>
      <c r="G988" s="189" t="e">
        <f t="shared" si="206"/>
        <v>#DIV/0!</v>
      </c>
      <c r="H988" s="190">
        <f t="shared" si="202"/>
        <v>0.99970494338326821</v>
      </c>
      <c r="I988" s="191">
        <f t="shared" si="207"/>
        <v>0.99970494338326821</v>
      </c>
      <c r="J988" s="191" t="e">
        <f t="shared" si="207"/>
        <v>#DIV/0!</v>
      </c>
      <c r="K988" s="192" t="e">
        <f t="shared" si="207"/>
        <v>#DIV/0!</v>
      </c>
      <c r="L988" s="187">
        <f t="shared" si="209"/>
        <v>11.292033478260867</v>
      </c>
      <c r="M988" s="193">
        <f t="shared" si="210"/>
        <v>377.61349999999999</v>
      </c>
      <c r="N988" s="193">
        <f t="shared" si="211"/>
        <v>42.894500000000001</v>
      </c>
      <c r="O988" s="193">
        <f t="shared" si="212"/>
        <v>1.1017955652173905</v>
      </c>
      <c r="P988" s="201">
        <f t="shared" si="212"/>
        <v>0.35776570547459741</v>
      </c>
      <c r="Q988" s="195">
        <f t="shared" si="204"/>
        <v>0.96785132904308169</v>
      </c>
      <c r="R988" s="202">
        <f t="shared" si="204"/>
        <v>0.96835705391823301</v>
      </c>
      <c r="S988" s="202">
        <f t="shared" si="204"/>
        <v>0.97300500719842198</v>
      </c>
      <c r="T988" s="196">
        <f t="shared" si="204"/>
        <v>0.80942380847312378</v>
      </c>
      <c r="U988" s="197">
        <f t="shared" si="204"/>
        <v>1.0027199717112063</v>
      </c>
      <c r="V988" s="186" t="e">
        <f t="shared" si="200"/>
        <v>#DIV/0!</v>
      </c>
      <c r="W988" s="187">
        <f t="shared" si="200"/>
        <v>10.38987940711462</v>
      </c>
      <c r="X988" s="198">
        <f t="shared" si="200"/>
        <v>0.18972509881422894</v>
      </c>
      <c r="Y988" s="199" t="e">
        <f t="shared" si="205"/>
        <v>#DIV/0!</v>
      </c>
      <c r="Z988" s="190">
        <f t="shared" si="205"/>
        <v>0.5331419640394518</v>
      </c>
      <c r="AA988" s="203">
        <f t="shared" si="205"/>
        <v>0.13877076405494507</v>
      </c>
    </row>
    <row r="989" spans="1:32">
      <c r="A989" s="185" t="s">
        <v>91</v>
      </c>
      <c r="B989" s="186" t="e">
        <f t="shared" si="208"/>
        <v>#DIV/0!</v>
      </c>
      <c r="C989" s="187">
        <f t="shared" si="208"/>
        <v>368.08067761904761</v>
      </c>
      <c r="D989" s="187">
        <f t="shared" si="208"/>
        <v>43.654643809523819</v>
      </c>
      <c r="E989" s="187" t="e">
        <f t="shared" si="208"/>
        <v>#DIV/0!</v>
      </c>
      <c r="F989" s="201" t="e">
        <f t="shared" si="208"/>
        <v>#DIV/0!</v>
      </c>
      <c r="G989" s="189" t="e">
        <f t="shared" si="206"/>
        <v>#DIV/0!</v>
      </c>
      <c r="H989" s="190">
        <f t="shared" si="202"/>
        <v>1.0219410667542228</v>
      </c>
      <c r="I989" s="191">
        <f t="shared" si="207"/>
        <v>1.0219410667542228</v>
      </c>
      <c r="J989" s="191" t="e">
        <f t="shared" si="207"/>
        <v>#DIV/0!</v>
      </c>
      <c r="K989" s="192" t="e">
        <f t="shared" si="207"/>
        <v>#DIV/0!</v>
      </c>
      <c r="L989" s="187">
        <f t="shared" si="209"/>
        <v>11.539090952380953</v>
      </c>
      <c r="M989" s="193">
        <f t="shared" si="210"/>
        <v>376.48300000000006</v>
      </c>
      <c r="N989" s="193">
        <f t="shared" si="211"/>
        <v>44.005099999999992</v>
      </c>
      <c r="O989" s="193">
        <f t="shared" si="212"/>
        <v>0.89326667919799418</v>
      </c>
      <c r="P989" s="201">
        <f t="shared" si="212"/>
        <v>0.36403293143855553</v>
      </c>
      <c r="Q989" s="195">
        <f t="shared" si="204"/>
        <v>0.98902686887277569</v>
      </c>
      <c r="R989" s="202">
        <f t="shared" si="204"/>
        <v>0.96545798476563516</v>
      </c>
      <c r="S989" s="202">
        <f t="shared" si="204"/>
        <v>0.9981974994991728</v>
      </c>
      <c r="T989" s="196">
        <f t="shared" si="204"/>
        <v>0.65623001243059309</v>
      </c>
      <c r="U989" s="197">
        <f t="shared" si="204"/>
        <v>1.0202853016048341</v>
      </c>
      <c r="V989" s="186" t="e">
        <f t="shared" si="200"/>
        <v>#DIV/0!</v>
      </c>
      <c r="W989" s="187">
        <f t="shared" si="200"/>
        <v>8.4023223809524552</v>
      </c>
      <c r="X989" s="198">
        <f t="shared" si="200"/>
        <v>0.35045619047617294</v>
      </c>
      <c r="Y989" s="199" t="e">
        <f t="shared" si="205"/>
        <v>#DIV/0!</v>
      </c>
      <c r="Z989" s="190">
        <f t="shared" si="205"/>
        <v>0.43115328688089904</v>
      </c>
      <c r="AA989" s="203">
        <f t="shared" si="205"/>
        <v>0.25633442082316898</v>
      </c>
    </row>
    <row r="990" spans="1:32">
      <c r="A990" s="185" t="s">
        <v>92</v>
      </c>
      <c r="B990" s="186" t="e">
        <f t="shared" si="208"/>
        <v>#DIV/0!</v>
      </c>
      <c r="C990" s="187">
        <f t="shared" si="208"/>
        <v>373.25594606060605</v>
      </c>
      <c r="D990" s="187">
        <f t="shared" si="208"/>
        <v>43.923941645021642</v>
      </c>
      <c r="E990" s="187" t="e">
        <f t="shared" si="208"/>
        <v>#DIV/0!</v>
      </c>
      <c r="F990" s="201" t="e">
        <f t="shared" si="208"/>
        <v>#DIV/0!</v>
      </c>
      <c r="G990" s="189" t="e">
        <f t="shared" si="206"/>
        <v>#DIV/0!</v>
      </c>
      <c r="H990" s="190">
        <f t="shared" si="202"/>
        <v>1.0282452418262735</v>
      </c>
      <c r="I990" s="191">
        <f t="shared" si="207"/>
        <v>1.0282452418262735</v>
      </c>
      <c r="J990" s="191" t="e">
        <f t="shared" si="207"/>
        <v>#DIV/0!</v>
      </c>
      <c r="K990" s="192" t="e">
        <f t="shared" si="207"/>
        <v>#DIV/0!</v>
      </c>
      <c r="L990" s="187">
        <f t="shared" si="209"/>
        <v>11.7278275</v>
      </c>
      <c r="M990" s="193">
        <f t="shared" si="210"/>
        <v>385.28650000000005</v>
      </c>
      <c r="N990" s="193">
        <f t="shared" si="211"/>
        <v>45.082000000000001</v>
      </c>
      <c r="O990" s="193">
        <f t="shared" si="212"/>
        <v>0.94348479004329067</v>
      </c>
      <c r="P990" s="201">
        <f t="shared" si="212"/>
        <v>0.36213879892979206</v>
      </c>
      <c r="Q990" s="195">
        <f t="shared" si="204"/>
        <v>1.0052036645583153</v>
      </c>
      <c r="R990" s="202">
        <f t="shared" si="204"/>
        <v>0.98803379660543744</v>
      </c>
      <c r="S990" s="202">
        <f t="shared" si="204"/>
        <v>1.0226255518660727</v>
      </c>
      <c r="T990" s="196">
        <f t="shared" si="204"/>
        <v>0.69312227794511738</v>
      </c>
      <c r="U990" s="197">
        <f t="shared" si="204"/>
        <v>1.0149765633257275</v>
      </c>
      <c r="V990" s="186" t="e">
        <f t="shared" si="200"/>
        <v>#DIV/0!</v>
      </c>
      <c r="W990" s="187">
        <f t="shared" si="200"/>
        <v>12.030553939393997</v>
      </c>
      <c r="X990" s="198">
        <f t="shared" si="200"/>
        <v>1.1580583549783583</v>
      </c>
      <c r="Y990" s="199" t="e">
        <f t="shared" si="205"/>
        <v>#DIV/0!</v>
      </c>
      <c r="Z990" s="190">
        <f t="shared" si="205"/>
        <v>0.61733085673150401</v>
      </c>
      <c r="AA990" s="203">
        <f t="shared" si="205"/>
        <v>0.84703944678355392</v>
      </c>
    </row>
    <row r="991" spans="1:32">
      <c r="A991" s="185" t="s">
        <v>93</v>
      </c>
      <c r="B991" s="186" t="e">
        <f t="shared" si="208"/>
        <v>#DIV/0!</v>
      </c>
      <c r="C991" s="187">
        <f t="shared" si="208"/>
        <v>377.87890173160179</v>
      </c>
      <c r="D991" s="187">
        <f t="shared" si="208"/>
        <v>43.202764545454542</v>
      </c>
      <c r="E991" s="187" t="e">
        <f t="shared" si="208"/>
        <v>#DIV/0!</v>
      </c>
      <c r="F991" s="201" t="e">
        <f t="shared" si="208"/>
        <v>#DIV/0!</v>
      </c>
      <c r="G991" s="189" t="e">
        <f t="shared" si="206"/>
        <v>#DIV/0!</v>
      </c>
      <c r="H991" s="190">
        <f t="shared" si="202"/>
        <v>1.0113627195987176</v>
      </c>
      <c r="I991" s="191">
        <f t="shared" si="207"/>
        <v>1.0113627195987176</v>
      </c>
      <c r="J991" s="191" t="e">
        <f t="shared" si="207"/>
        <v>#DIV/0!</v>
      </c>
      <c r="K991" s="192" t="e">
        <f t="shared" si="207"/>
        <v>#DIV/0!</v>
      </c>
      <c r="L991" s="187">
        <f t="shared" si="209"/>
        <v>11.694698636363636</v>
      </c>
      <c r="M991" s="193">
        <f t="shared" si="210"/>
        <v>390.29250000000002</v>
      </c>
      <c r="N991" s="193">
        <f t="shared" si="211"/>
        <v>45.240549999999999</v>
      </c>
      <c r="O991" s="193">
        <f t="shared" si="212"/>
        <v>0.88635362554112673</v>
      </c>
      <c r="P991" s="201">
        <f t="shared" si="212"/>
        <v>0.36252855665760031</v>
      </c>
      <c r="Q991" s="195">
        <f t="shared" si="204"/>
        <v>1.0023641569743296</v>
      </c>
      <c r="R991" s="202">
        <f t="shared" si="204"/>
        <v>1.0008712492174723</v>
      </c>
      <c r="S991" s="202">
        <f t="shared" si="204"/>
        <v>1.026222048943584</v>
      </c>
      <c r="T991" s="196">
        <f t="shared" si="204"/>
        <v>0.65115140220945222</v>
      </c>
      <c r="U991" s="197">
        <f t="shared" si="204"/>
        <v>1.0160689482352416</v>
      </c>
      <c r="V991" s="186" t="e">
        <f t="shared" si="200"/>
        <v>#DIV/0!</v>
      </c>
      <c r="W991" s="187">
        <f t="shared" si="200"/>
        <v>12.413598268398232</v>
      </c>
      <c r="X991" s="198">
        <f t="shared" si="200"/>
        <v>2.0377854545454568</v>
      </c>
      <c r="Y991" s="199" t="e">
        <f t="shared" si="205"/>
        <v>#DIV/0!</v>
      </c>
      <c r="Z991" s="190">
        <f t="shared" si="205"/>
        <v>0.63698623461198756</v>
      </c>
      <c r="AA991" s="203">
        <f t="shared" si="205"/>
        <v>1.4904988653305071</v>
      </c>
    </row>
    <row r="992" spans="1:32">
      <c r="A992" s="185" t="s">
        <v>94</v>
      </c>
      <c r="B992" s="186" t="e">
        <f t="shared" si="208"/>
        <v>#DIV/0!</v>
      </c>
      <c r="C992" s="187">
        <f t="shared" si="208"/>
        <v>378.36207939393933</v>
      </c>
      <c r="D992" s="187">
        <f t="shared" si="208"/>
        <v>41.48097086580087</v>
      </c>
      <c r="E992" s="187" t="e">
        <f t="shared" si="208"/>
        <v>#DIV/0!</v>
      </c>
      <c r="F992" s="201" t="e">
        <f t="shared" si="208"/>
        <v>#DIV/0!</v>
      </c>
      <c r="G992" s="189" t="e">
        <f t="shared" si="206"/>
        <v>#DIV/0!</v>
      </c>
      <c r="H992" s="190">
        <f t="shared" si="202"/>
        <v>0.97105608744765926</v>
      </c>
      <c r="I992" s="191">
        <f t="shared" si="207"/>
        <v>0.97105608744765926</v>
      </c>
      <c r="J992" s="191" t="e">
        <f t="shared" si="207"/>
        <v>#DIV/0!</v>
      </c>
      <c r="K992" s="192" t="e">
        <f t="shared" si="207"/>
        <v>#DIV/0!</v>
      </c>
      <c r="L992" s="187">
        <f t="shared" si="209"/>
        <v>11.728986666666666</v>
      </c>
      <c r="M992" s="193">
        <f t="shared" si="210"/>
        <v>401.95600000000002</v>
      </c>
      <c r="N992" s="193">
        <f t="shared" si="211"/>
        <v>44.385550000000002</v>
      </c>
      <c r="O992" s="193">
        <f t="shared" si="212"/>
        <v>1.1764803333333327</v>
      </c>
      <c r="P992" s="201">
        <f t="shared" si="212"/>
        <v>0.35260402427392268</v>
      </c>
      <c r="Q992" s="195">
        <f t="shared" si="204"/>
        <v>1.0053030178768363</v>
      </c>
      <c r="R992" s="202">
        <f t="shared" si="204"/>
        <v>1.030781282885165</v>
      </c>
      <c r="S992" s="202">
        <f t="shared" si="204"/>
        <v>1.0068275046277708</v>
      </c>
      <c r="T992" s="196">
        <f t="shared" si="204"/>
        <v>0.86429027494997024</v>
      </c>
      <c r="U992" s="197">
        <f t="shared" si="204"/>
        <v>0.98825318311653942</v>
      </c>
      <c r="V992" s="186" t="e">
        <f t="shared" si="200"/>
        <v>#DIV/0!</v>
      </c>
      <c r="W992" s="187">
        <f t="shared" si="200"/>
        <v>23.593920606060692</v>
      </c>
      <c r="X992" s="198">
        <f t="shared" si="200"/>
        <v>2.9045791341991318</v>
      </c>
      <c r="Y992" s="199" t="e">
        <f t="shared" si="205"/>
        <v>#DIV/0!</v>
      </c>
      <c r="Z992" s="190">
        <f t="shared" si="205"/>
        <v>1.2106886594557102</v>
      </c>
      <c r="AA992" s="203">
        <f t="shared" si="205"/>
        <v>2.1244983833453404</v>
      </c>
    </row>
    <row r="993" spans="1:34">
      <c r="A993" s="185" t="s">
        <v>95</v>
      </c>
      <c r="B993" s="186" t="e">
        <f t="shared" si="208"/>
        <v>#DIV/0!</v>
      </c>
      <c r="C993" s="187">
        <f t="shared" si="208"/>
        <v>367.8518696932054</v>
      </c>
      <c r="D993" s="187">
        <f t="shared" si="208"/>
        <v>41.459896751364568</v>
      </c>
      <c r="E993" s="187" t="e">
        <f t="shared" si="208"/>
        <v>#DIV/0!</v>
      </c>
      <c r="F993" s="201" t="e">
        <f t="shared" si="208"/>
        <v>#DIV/0!</v>
      </c>
      <c r="G993" s="189" t="e">
        <f t="shared" si="206"/>
        <v>#DIV/0!</v>
      </c>
      <c r="H993" s="190">
        <f t="shared" si="202"/>
        <v>0.97056274925706709</v>
      </c>
      <c r="I993" s="191">
        <f t="shared" si="207"/>
        <v>0.97056274925706709</v>
      </c>
      <c r="J993" s="191" t="e">
        <f t="shared" si="207"/>
        <v>#DIV/0!</v>
      </c>
      <c r="K993" s="192" t="e">
        <f t="shared" si="207"/>
        <v>#DIV/0!</v>
      </c>
      <c r="L993" s="187">
        <f t="shared" si="209"/>
        <v>11.348550909090909</v>
      </c>
      <c r="M993" s="193">
        <f t="shared" si="210"/>
        <v>397.58200000000005</v>
      </c>
      <c r="N993" s="193">
        <f t="shared" si="211"/>
        <v>44.447199999999995</v>
      </c>
      <c r="O993" s="193">
        <f t="shared" si="212"/>
        <v>1.5169993517786557</v>
      </c>
      <c r="P993" s="201">
        <f t="shared" si="212"/>
        <v>0.35629517740661842</v>
      </c>
      <c r="Q993" s="195">
        <f t="shared" si="204"/>
        <v>0.97269549379412179</v>
      </c>
      <c r="R993" s="202">
        <f t="shared" si="204"/>
        <v>1.0195645394323005</v>
      </c>
      <c r="S993" s="202">
        <f t="shared" si="204"/>
        <v>1.0082259533494899</v>
      </c>
      <c r="T993" s="196">
        <f t="shared" si="204"/>
        <v>1.1144493874647869</v>
      </c>
      <c r="U993" s="197">
        <f t="shared" si="204"/>
        <v>0.99859848147287167</v>
      </c>
      <c r="V993" s="186" t="e">
        <f t="shared" si="200"/>
        <v>#DIV/0!</v>
      </c>
      <c r="W993" s="187">
        <f t="shared" si="200"/>
        <v>29.730130306794649</v>
      </c>
      <c r="X993" s="198">
        <f t="shared" si="200"/>
        <v>2.9873032486354276</v>
      </c>
      <c r="Y993" s="199" t="e">
        <f t="shared" si="205"/>
        <v>#DIV/0!</v>
      </c>
      <c r="Z993" s="190">
        <f t="shared" si="205"/>
        <v>1.5255595798407007</v>
      </c>
      <c r="AA993" s="203">
        <f t="shared" si="205"/>
        <v>2.1850053412430612</v>
      </c>
    </row>
    <row r="994" spans="1:34" ht="12" thickBot="1">
      <c r="A994" s="185" t="s">
        <v>96</v>
      </c>
      <c r="B994" s="204"/>
      <c r="C994" s="187">
        <f>AVERAGE(C599,C611,C623,C515,C527,C539,C551,C563,C575,C635)</f>
        <v>357.05463714285713</v>
      </c>
      <c r="D994" s="187">
        <f>AVERAGE(D599,D611,D623,D515,D527,D539,D551,D563,D575,D635)</f>
        <v>41.042110300751879</v>
      </c>
      <c r="E994" s="187" t="e">
        <f>AVERAGE(E599,E611,E623,E515,E527,E539,E551,E563,E575,E635)</f>
        <v>#DIV/0!</v>
      </c>
      <c r="F994" s="201" t="e">
        <f>AVERAGE(F599,F611,F623,F515,F527,F539,F551,F563,F575,F635)</f>
        <v>#DIV/0!</v>
      </c>
      <c r="G994" s="205"/>
      <c r="H994" s="206">
        <f t="shared" si="202"/>
        <v>0.96078250381794505</v>
      </c>
      <c r="I994" s="207">
        <f>D994/D$978</f>
        <v>0.96078250381794505</v>
      </c>
      <c r="J994" s="207" t="e">
        <f t="shared" si="207"/>
        <v>#DIV/0!</v>
      </c>
      <c r="K994" s="208" t="e">
        <f t="shared" si="207"/>
        <v>#DIV/0!</v>
      </c>
      <c r="L994" s="209"/>
      <c r="M994" s="193">
        <f t="shared" si="210"/>
        <v>396.78</v>
      </c>
      <c r="N994" s="193">
        <f t="shared" si="211"/>
        <v>43.260399999999997</v>
      </c>
      <c r="O994" s="193">
        <f t="shared" si="212"/>
        <v>1.8760474523809534</v>
      </c>
      <c r="P994" s="201">
        <f t="shared" si="212"/>
        <v>0.35407502369295119</v>
      </c>
      <c r="Q994" s="210"/>
      <c r="R994" s="211">
        <f t="shared" si="204"/>
        <v>1.0175078800246191</v>
      </c>
      <c r="S994" s="211">
        <f t="shared" si="204"/>
        <v>0.9813049648184875</v>
      </c>
      <c r="T994" s="212">
        <f t="shared" si="204"/>
        <v>1.3782207169102922</v>
      </c>
      <c r="U994" s="213">
        <f t="shared" si="204"/>
        <v>0.99237599442367352</v>
      </c>
      <c r="V994" s="204"/>
      <c r="W994" s="214">
        <f t="shared" si="200"/>
        <v>39.725362857142841</v>
      </c>
      <c r="X994" s="215">
        <f t="shared" si="200"/>
        <v>2.2182896992481176</v>
      </c>
      <c r="Y994" s="205"/>
      <c r="Z994" s="206">
        <f t="shared" si="205"/>
        <v>2.0384507987007261</v>
      </c>
      <c r="AA994" s="216">
        <f t="shared" si="205"/>
        <v>1.6225252135000536</v>
      </c>
    </row>
    <row r="995" spans="1:34" ht="12" thickTop="1">
      <c r="A995" s="217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9"/>
      <c r="M995" s="219"/>
      <c r="N995" s="219"/>
      <c r="O995" s="219"/>
      <c r="P995" s="219"/>
      <c r="Q995" s="159"/>
      <c r="R995" s="160"/>
      <c r="S995" s="160"/>
      <c r="T995" s="160"/>
      <c r="U995" s="160"/>
      <c r="V995" s="124"/>
      <c r="Z995" s="119"/>
      <c r="AA995" s="119"/>
    </row>
    <row r="996" spans="1:34">
      <c r="A996" s="108" t="s">
        <v>147</v>
      </c>
      <c r="B996" s="126"/>
      <c r="C996" s="122"/>
      <c r="D996" s="126"/>
      <c r="E996" s="126"/>
      <c r="J996" s="122"/>
      <c r="K996" s="122"/>
      <c r="L996" s="159"/>
      <c r="M996" s="159"/>
      <c r="N996" s="159"/>
      <c r="O996" s="159"/>
      <c r="P996" s="159"/>
      <c r="Q996" s="159"/>
      <c r="R996" s="160"/>
      <c r="S996" s="160"/>
      <c r="T996" s="160"/>
      <c r="U996" s="160"/>
      <c r="V996" s="124"/>
      <c r="Z996" s="119"/>
      <c r="AA996" s="119"/>
    </row>
    <row r="997" spans="1:34">
      <c r="A997" s="99"/>
      <c r="G997" s="220"/>
      <c r="H997" s="122"/>
      <c r="I997" s="122"/>
      <c r="J997" s="122"/>
      <c r="K997" s="122"/>
      <c r="L997" s="159"/>
      <c r="M997" s="159"/>
      <c r="N997" s="159"/>
      <c r="O997" s="159"/>
      <c r="P997" s="159"/>
      <c r="Q997" s="159"/>
      <c r="R997" s="160"/>
      <c r="S997" s="160"/>
      <c r="T997" s="160"/>
      <c r="U997" s="160"/>
      <c r="V997" s="124"/>
      <c r="Z997" s="119"/>
      <c r="AA997" s="119"/>
    </row>
    <row r="998" spans="1:34">
      <c r="A998" s="99"/>
      <c r="C998" s="221" t="s">
        <v>148</v>
      </c>
      <c r="D998" s="221" t="s">
        <v>149</v>
      </c>
      <c r="E998" s="221" t="s">
        <v>150</v>
      </c>
      <c r="F998" s="221" t="s">
        <v>151</v>
      </c>
      <c r="G998" s="221" t="s">
        <v>152</v>
      </c>
      <c r="H998" s="221" t="s">
        <v>153</v>
      </c>
      <c r="I998" s="221" t="s">
        <v>154</v>
      </c>
      <c r="J998" s="221" t="s">
        <v>155</v>
      </c>
      <c r="K998" s="221" t="s">
        <v>156</v>
      </c>
      <c r="L998" s="221" t="s">
        <v>157</v>
      </c>
      <c r="M998" s="221" t="s">
        <v>158</v>
      </c>
      <c r="N998" s="221" t="s">
        <v>159</v>
      </c>
      <c r="O998" s="221" t="s">
        <v>160</v>
      </c>
      <c r="P998" s="221" t="s">
        <v>161</v>
      </c>
      <c r="Q998" s="221" t="s">
        <v>162</v>
      </c>
      <c r="R998" s="221" t="s">
        <v>163</v>
      </c>
      <c r="S998" s="221" t="s">
        <v>164</v>
      </c>
      <c r="T998" s="221" t="s">
        <v>165</v>
      </c>
      <c r="U998" s="221" t="s">
        <v>166</v>
      </c>
      <c r="V998" s="221" t="s">
        <v>167</v>
      </c>
      <c r="W998" s="221" t="s">
        <v>168</v>
      </c>
      <c r="X998" s="221" t="s">
        <v>169</v>
      </c>
      <c r="Y998" s="221" t="s">
        <v>170</v>
      </c>
      <c r="Z998" s="221" t="s">
        <v>171</v>
      </c>
      <c r="AA998" s="221" t="s">
        <v>172</v>
      </c>
      <c r="AB998" s="221" t="s">
        <v>173</v>
      </c>
      <c r="AC998" s="221" t="s">
        <v>174</v>
      </c>
      <c r="AD998" s="221" t="s">
        <v>175</v>
      </c>
      <c r="AE998" s="221" t="s">
        <v>176</v>
      </c>
      <c r="AF998" s="221" t="s">
        <v>177</v>
      </c>
      <c r="AG998" s="221" t="s">
        <v>178</v>
      </c>
      <c r="AH998" s="221" t="s">
        <v>179</v>
      </c>
    </row>
    <row r="999" spans="1:34">
      <c r="A999" s="249" t="s">
        <v>180</v>
      </c>
      <c r="B999" s="249"/>
      <c r="C999" s="222" t="e">
        <f>AVERAGE(B$527:B$538)</f>
        <v>#DIV/0!</v>
      </c>
      <c r="D999" s="222" t="e">
        <f>AVERAGE(B$539:B$550)</f>
        <v>#DIV/0!</v>
      </c>
      <c r="E999" s="222" t="e">
        <f>AVERAGE(B$551:B$562)</f>
        <v>#DIV/0!</v>
      </c>
      <c r="F999" s="222" t="e">
        <f>AVERAGE(B563:B574)</f>
        <v>#DIV/0!</v>
      </c>
      <c r="G999" s="222" t="e">
        <f>AVERAGE(B575:B586)</f>
        <v>#DIV/0!</v>
      </c>
      <c r="H999" s="222" t="e">
        <f>AVERAGE(B$587:B$598)</f>
        <v>#DIV/0!</v>
      </c>
      <c r="I999" s="223" t="e">
        <f>AVERAGE(B599:B610)</f>
        <v>#DIV/0!</v>
      </c>
      <c r="J999" s="223" t="e">
        <f>AVERAGE(B611:B622)</f>
        <v>#DIV/0!</v>
      </c>
      <c r="K999" s="223" t="e">
        <f>AVERAGE($B623:$B634)</f>
        <v>#DIV/0!</v>
      </c>
      <c r="L999" s="223" t="e">
        <f>AVERAGE($B635:$B646)</f>
        <v>#DIV/0!</v>
      </c>
      <c r="M999" s="223" t="e">
        <f>AVERAGE($B647:$B658)</f>
        <v>#DIV/0!</v>
      </c>
      <c r="N999" s="224" t="e">
        <f>AVERAGE(B659:B670)</f>
        <v>#DIV/0!</v>
      </c>
      <c r="O999" s="224">
        <v>9.25</v>
      </c>
      <c r="P999" s="224">
        <v>9.5</v>
      </c>
      <c r="Q999" s="224">
        <v>9.5</v>
      </c>
      <c r="R999" s="224">
        <v>10</v>
      </c>
      <c r="S999" s="224">
        <v>10.5</v>
      </c>
      <c r="T999" s="224">
        <v>11</v>
      </c>
      <c r="U999" s="224" t="e">
        <f t="shared" ref="U999" si="213">MROUND(FORECAST(U1013,K999:T999,K1013:T1013),0.25)</f>
        <v>#DIV/0!</v>
      </c>
      <c r="V999" s="224">
        <v>10.5</v>
      </c>
      <c r="W999" s="224">
        <v>11</v>
      </c>
      <c r="X999" s="224">
        <v>11.25</v>
      </c>
      <c r="Y999" s="224">
        <v>12</v>
      </c>
      <c r="Z999" s="225" t="e">
        <f>(Y999/N999)^(1/12)-1</f>
        <v>#DIV/0!</v>
      </c>
      <c r="AA999" s="225" t="e">
        <f>(N999/C999)^(1/12)-1</f>
        <v>#DIV/0!</v>
      </c>
      <c r="AB999" s="222"/>
      <c r="AC999" s="222"/>
      <c r="AD999" s="222"/>
      <c r="AE999" s="222"/>
      <c r="AF999" s="223"/>
      <c r="AG999" s="223"/>
      <c r="AH999" s="223"/>
    </row>
    <row r="1000" spans="1:34">
      <c r="A1000" s="249" t="s">
        <v>181</v>
      </c>
      <c r="B1000" s="249"/>
      <c r="C1000" s="222">
        <f>AVERAGE(J$527:J$538)</f>
        <v>13.789208333333333</v>
      </c>
      <c r="D1000" s="222">
        <f>AVERAGE(J$539:J$550)</f>
        <v>10.103008333333333</v>
      </c>
      <c r="E1000" s="222">
        <f>AVERAGE(J$551:J$562)</f>
        <v>9.5404916666666661</v>
      </c>
      <c r="F1000" s="222">
        <f>AVERAGE(J$563:J$574)</f>
        <v>9.7633583333333327</v>
      </c>
      <c r="G1000" s="222">
        <f>AVERAGE(J575:J586)</f>
        <v>9.5338500000000028</v>
      </c>
      <c r="H1000" s="222">
        <f>AVERAGE(J587:J598)</f>
        <v>8.5338166666666666</v>
      </c>
      <c r="I1000" s="226">
        <f>AVERAGE(J599:J610)</f>
        <v>8.8294750000000004</v>
      </c>
      <c r="J1000" s="226">
        <f>AVERAGE(J611:J622)</f>
        <v>13.377785806103697</v>
      </c>
      <c r="K1000" s="223">
        <f>AVERAGE($J623:$J634)</f>
        <v>15.073317848062183</v>
      </c>
      <c r="L1000" s="223">
        <f>AVERAGE($J635:$J646)</f>
        <v>14.781170357530849</v>
      </c>
      <c r="M1000" s="223">
        <f>AVERAGE($J647:$J658)</f>
        <v>12.169015573498138</v>
      </c>
      <c r="N1000" s="227" t="e">
        <f t="shared" ref="N1000:Y1000" si="214">N999+N1001</f>
        <v>#DIV/0!</v>
      </c>
      <c r="O1000" s="227">
        <f t="shared" si="214"/>
        <v>9.2371119999999998</v>
      </c>
      <c r="P1000" s="227">
        <f t="shared" si="214"/>
        <v>9.5085999999999995</v>
      </c>
      <c r="Q1000" s="227">
        <f t="shared" si="214"/>
        <v>9.5085999999999995</v>
      </c>
      <c r="R1000" s="227">
        <f t="shared" si="214"/>
        <v>10.1494</v>
      </c>
      <c r="S1000" s="227">
        <f t="shared" si="214"/>
        <v>10.543799999999999</v>
      </c>
      <c r="T1000" s="227">
        <f t="shared" si="214"/>
        <v>11.043799999999999</v>
      </c>
      <c r="U1000" s="227" t="e">
        <f t="shared" si="214"/>
        <v>#DIV/0!</v>
      </c>
      <c r="V1000" s="227">
        <f t="shared" si="214"/>
        <v>10.526199999999999</v>
      </c>
      <c r="W1000" s="227">
        <f t="shared" si="214"/>
        <v>11.026199999999999</v>
      </c>
      <c r="X1000" s="227">
        <f t="shared" si="214"/>
        <v>11.276199999999999</v>
      </c>
      <c r="Y1000" s="227">
        <f t="shared" si="214"/>
        <v>12.026199999999999</v>
      </c>
      <c r="Z1000" s="225" t="e">
        <f t="shared" ref="Z1000:Z1009" si="215">(Y1000/N1000)^(1/12)-1</f>
        <v>#DIV/0!</v>
      </c>
      <c r="AA1000" s="225" t="e">
        <f t="shared" ref="AA1000:AA1009" si="216">(N1000/C1000)^(1/12)-1</f>
        <v>#DIV/0!</v>
      </c>
    </row>
    <row r="1001" spans="1:34" ht="12" thickBot="1">
      <c r="A1001" s="246" t="s">
        <v>133</v>
      </c>
      <c r="B1001" s="246"/>
      <c r="C1001" s="226" t="e">
        <f t="shared" ref="C1001:M1001" si="217">C1000-C999</f>
        <v>#DIV/0!</v>
      </c>
      <c r="D1001" s="226" t="e">
        <f t="shared" si="217"/>
        <v>#DIV/0!</v>
      </c>
      <c r="E1001" s="226" t="e">
        <f t="shared" si="217"/>
        <v>#DIV/0!</v>
      </c>
      <c r="F1001" s="228" t="e">
        <f t="shared" si="217"/>
        <v>#DIV/0!</v>
      </c>
      <c r="G1001" s="228" t="e">
        <f t="shared" si="217"/>
        <v>#DIV/0!</v>
      </c>
      <c r="H1001" s="228" t="e">
        <f t="shared" si="217"/>
        <v>#DIV/0!</v>
      </c>
      <c r="I1001" s="228" t="e">
        <f t="shared" si="217"/>
        <v>#DIV/0!</v>
      </c>
      <c r="J1001" s="226" t="e">
        <f t="shared" si="217"/>
        <v>#DIV/0!</v>
      </c>
      <c r="K1001" s="226" t="e">
        <f t="shared" si="217"/>
        <v>#DIV/0!</v>
      </c>
      <c r="L1001" s="226" t="e">
        <f t="shared" si="217"/>
        <v>#DIV/0!</v>
      </c>
      <c r="M1001" s="226" t="e">
        <f t="shared" si="217"/>
        <v>#DIV/0!</v>
      </c>
      <c r="N1001" s="229">
        <f>(0.0176*O1013)+0.0262-0.15</f>
        <v>-0.18839200000000003</v>
      </c>
      <c r="O1001" s="229">
        <f>(0.0176*P1013)+0.0262-0.05</f>
        <v>-1.288799999999992E-2</v>
      </c>
      <c r="P1001" s="229">
        <f t="shared" ref="P1001:Y1001" si="218">(0.0176*Q1013)+0.0262</f>
        <v>8.6E-3</v>
      </c>
      <c r="Q1001" s="229">
        <f t="shared" si="218"/>
        <v>8.6E-3</v>
      </c>
      <c r="R1001" s="229">
        <f t="shared" si="218"/>
        <v>0.14940000000000001</v>
      </c>
      <c r="S1001" s="229">
        <f t="shared" si="218"/>
        <v>4.3800000000000006E-2</v>
      </c>
      <c r="T1001" s="229">
        <f t="shared" si="218"/>
        <v>4.3800000000000006E-2</v>
      </c>
      <c r="U1001" s="229">
        <f t="shared" si="218"/>
        <v>2.6200000000000001E-2</v>
      </c>
      <c r="V1001" s="229">
        <f t="shared" si="218"/>
        <v>2.6200000000000001E-2</v>
      </c>
      <c r="W1001" s="229">
        <f t="shared" si="218"/>
        <v>2.6200000000000001E-2</v>
      </c>
      <c r="X1001" s="229">
        <f t="shared" si="218"/>
        <v>2.6200000000000001E-2</v>
      </c>
      <c r="Y1001" s="229">
        <f t="shared" si="218"/>
        <v>2.6200000000000001E-2</v>
      </c>
      <c r="Z1001" s="225" t="e">
        <f t="shared" si="215"/>
        <v>#NUM!</v>
      </c>
      <c r="AA1001" s="225" t="e">
        <f t="shared" si="216"/>
        <v>#DIV/0!</v>
      </c>
    </row>
    <row r="1002" spans="1:34">
      <c r="A1002" s="249" t="s">
        <v>182</v>
      </c>
      <c r="B1002" s="249"/>
      <c r="C1002" s="230">
        <f>AVERAGE(C$528:C$539)</f>
        <v>430.1739833333333</v>
      </c>
      <c r="D1002" s="230">
        <f>AVERAGE(C$540:C$551)</f>
        <v>335.88539166666664</v>
      </c>
      <c r="E1002" s="230">
        <f>AVERAGE(C$552:C$563)</f>
        <v>312.5489833333333</v>
      </c>
      <c r="F1002" s="230">
        <f>AVERAGE(C$564:C$575)</f>
        <v>315.12828333333329</v>
      </c>
      <c r="G1002" s="230">
        <f>AVERAGE(C576:C587)</f>
        <v>341.10750000000002</v>
      </c>
      <c r="H1002" s="231">
        <f>AVERAGE(C588:C599)</f>
        <v>306.51244847543762</v>
      </c>
      <c r="I1002" s="232">
        <f>AVERAGE(C600:C611)</f>
        <v>298.17820888271405</v>
      </c>
      <c r="J1002" s="232">
        <f>AVERAGE($C612:$C623)</f>
        <v>390.67706252621019</v>
      </c>
      <c r="K1002" s="232">
        <f>AVERAGE($C624:$C635)</f>
        <v>417.56116594186392</v>
      </c>
      <c r="L1002" s="232">
        <f>AVERAGE($C636:$C647)</f>
        <v>435.63628008179211</v>
      </c>
      <c r="M1002" s="232">
        <f>AVERAGE($C648:$C659)</f>
        <v>364.96015104048001</v>
      </c>
      <c r="N1002" s="233" t="e">
        <f t="shared" ref="N1002:V1003" si="219">((N999+N1008)-(N1005*0.11))/(44/2000)</f>
        <v>#DIV/0!</v>
      </c>
      <c r="O1002" s="233">
        <f t="shared" si="219"/>
        <v>257.83143939393943</v>
      </c>
      <c r="P1002" s="233">
        <f t="shared" si="219"/>
        <v>61.306894697453828</v>
      </c>
      <c r="Q1002" s="233">
        <f>((Q999+Q1008)-(Q1005*0.11))/(44/2000)</f>
        <v>466.02272727272725</v>
      </c>
      <c r="R1002" s="233">
        <f t="shared" ref="R1002:Y1003" si="220">((R999+R1008)-(R1005*0.11))/(44/2000)</f>
        <v>491.02272727272731</v>
      </c>
      <c r="S1002" s="233">
        <f t="shared" si="220"/>
        <v>518.29545454545462</v>
      </c>
      <c r="T1002" s="233">
        <f t="shared" si="220"/>
        <v>549.09090909090912</v>
      </c>
      <c r="U1002" s="233" t="e">
        <f t="shared" si="220"/>
        <v>#DIV/0!</v>
      </c>
      <c r="V1002" s="233">
        <f t="shared" si="220"/>
        <v>520.56818181818176</v>
      </c>
      <c r="W1002" s="233">
        <f t="shared" si="220"/>
        <v>541.02272727272725</v>
      </c>
      <c r="X1002" s="233">
        <f t="shared" si="220"/>
        <v>553.63636363636363</v>
      </c>
      <c r="Y1002" s="233">
        <f t="shared" si="220"/>
        <v>587.9545454545455</v>
      </c>
      <c r="Z1002" s="225" t="e">
        <f t="shared" si="215"/>
        <v>#DIV/0!</v>
      </c>
      <c r="AA1002" s="225" t="e">
        <f t="shared" si="216"/>
        <v>#DIV/0!</v>
      </c>
    </row>
    <row r="1003" spans="1:34">
      <c r="A1003" s="249" t="s">
        <v>183</v>
      </c>
      <c r="B1003" s="249"/>
      <c r="C1003" s="222">
        <f>AVERAGE(K$528:K$539)</f>
        <v>489.94166666666666</v>
      </c>
      <c r="D1003" s="222">
        <f>AVERAGE(K$540:K$551)</f>
        <v>368.49166666666673</v>
      </c>
      <c r="E1003" s="222">
        <f>AVERAGE(K$552:K$563)</f>
        <v>324.55916666666667</v>
      </c>
      <c r="F1003" s="222">
        <f>AVERAGE(K$564:K$575)</f>
        <v>316.88416666666666</v>
      </c>
      <c r="G1003" s="222">
        <f>AVERAGE(K576:K587)</f>
        <v>345.02250000000004</v>
      </c>
      <c r="H1003" s="119">
        <f>AVERAGE(K588:K599)</f>
        <v>308.28208333333333</v>
      </c>
      <c r="I1003" s="223">
        <f>AVERAGE(K600:K611)</f>
        <v>299.49999999999994</v>
      </c>
      <c r="J1003" s="223">
        <f>AVERAGE($K612:$K623)</f>
        <v>392.31</v>
      </c>
      <c r="K1003" s="223">
        <f>AVERAGE($K624:$K635)</f>
        <v>439.54958333333337</v>
      </c>
      <c r="L1003" s="223">
        <f>AVERAGE($K636:$K647)</f>
        <v>451.90875</v>
      </c>
      <c r="M1003" s="223">
        <f>AVERAGE($K648:$K659)</f>
        <v>398.11527189185085</v>
      </c>
      <c r="N1003" s="234" t="e">
        <f t="shared" si="219"/>
        <v>#DIV/0!</v>
      </c>
      <c r="O1003" s="234">
        <f t="shared" si="219"/>
        <v>86.191924030903053</v>
      </c>
      <c r="P1003" s="234">
        <f t="shared" si="219"/>
        <v>95.272436435692669</v>
      </c>
      <c r="Q1003" s="234">
        <f>((Q1000+Q1009)-(Q1006*0.11))/(44/2000)</f>
        <v>126.43886952381953</v>
      </c>
      <c r="R1003" s="234">
        <f t="shared" si="219"/>
        <v>188.53452370088743</v>
      </c>
      <c r="S1003" s="234">
        <f t="shared" si="219"/>
        <v>207.30523694223393</v>
      </c>
      <c r="T1003" s="234">
        <f t="shared" si="219"/>
        <v>305.80003147631004</v>
      </c>
      <c r="U1003" s="234" t="e">
        <f t="shared" si="219"/>
        <v>#DIV/0!</v>
      </c>
      <c r="V1003" s="234">
        <f t="shared" si="219"/>
        <v>253.87636656322036</v>
      </c>
      <c r="W1003" s="234">
        <f t="shared" si="220"/>
        <v>287.63433730405677</v>
      </c>
      <c r="X1003" s="234">
        <f t="shared" si="220"/>
        <v>348.28881262640346</v>
      </c>
      <c r="Y1003" s="234">
        <f t="shared" si="220"/>
        <v>478.88671065917839</v>
      </c>
      <c r="Z1003" s="225" t="e">
        <f t="shared" si="215"/>
        <v>#DIV/0!</v>
      </c>
      <c r="AA1003" s="225" t="e">
        <f t="shared" si="216"/>
        <v>#DIV/0!</v>
      </c>
    </row>
    <row r="1004" spans="1:34" ht="12" thickBot="1">
      <c r="A1004" s="246" t="s">
        <v>133</v>
      </c>
      <c r="B1004" s="246"/>
      <c r="C1004" s="222">
        <f t="shared" ref="C1004:Y1004" si="221">C1003-C1002</f>
        <v>59.767683333333366</v>
      </c>
      <c r="D1004" s="222">
        <f t="shared" si="221"/>
        <v>32.606275000000096</v>
      </c>
      <c r="E1004" s="222">
        <f t="shared" si="221"/>
        <v>12.010183333333373</v>
      </c>
      <c r="F1004" s="222">
        <f t="shared" si="221"/>
        <v>1.7558833333333723</v>
      </c>
      <c r="G1004" s="222">
        <f t="shared" si="221"/>
        <v>3.9150000000000205</v>
      </c>
      <c r="H1004" s="222">
        <f t="shared" si="221"/>
        <v>1.76963485789571</v>
      </c>
      <c r="I1004" s="222">
        <f t="shared" si="221"/>
        <v>1.3217911172858976</v>
      </c>
      <c r="J1004" s="222">
        <f t="shared" si="221"/>
        <v>1.6329374737898092</v>
      </c>
      <c r="K1004" s="222">
        <f t="shared" si="221"/>
        <v>21.988417391469454</v>
      </c>
      <c r="L1004" s="222">
        <f t="shared" si="221"/>
        <v>16.272469918207889</v>
      </c>
      <c r="M1004" s="222">
        <f t="shared" si="221"/>
        <v>33.155120851370839</v>
      </c>
      <c r="N1004" s="229" t="e">
        <f t="shared" si="221"/>
        <v>#DIV/0!</v>
      </c>
      <c r="O1004" s="229">
        <f t="shared" si="221"/>
        <v>-171.63951536303637</v>
      </c>
      <c r="P1004" s="229">
        <f t="shared" si="221"/>
        <v>33.965541738238841</v>
      </c>
      <c r="Q1004" s="229">
        <f t="shared" si="221"/>
        <v>-339.58385774890769</v>
      </c>
      <c r="R1004" s="229">
        <f t="shared" si="221"/>
        <v>-302.4882035718399</v>
      </c>
      <c r="S1004" s="229">
        <f t="shared" si="221"/>
        <v>-310.99021760322069</v>
      </c>
      <c r="T1004" s="229">
        <f t="shared" si="221"/>
        <v>-243.29087761459908</v>
      </c>
      <c r="U1004" s="229" t="e">
        <f t="shared" si="221"/>
        <v>#DIV/0!</v>
      </c>
      <c r="V1004" s="229">
        <f t="shared" si="221"/>
        <v>-266.6918152549614</v>
      </c>
      <c r="W1004" s="229">
        <f t="shared" si="221"/>
        <v>-253.38838996867048</v>
      </c>
      <c r="X1004" s="229">
        <f t="shared" si="221"/>
        <v>-205.34755100996017</v>
      </c>
      <c r="Y1004" s="229">
        <f t="shared" si="221"/>
        <v>-109.06783479536711</v>
      </c>
      <c r="Z1004" s="225" t="e">
        <f t="shared" si="215"/>
        <v>#DIV/0!</v>
      </c>
      <c r="AA1004" s="225" t="e">
        <f t="shared" si="216"/>
        <v>#DIV/0!</v>
      </c>
    </row>
    <row r="1005" spans="1:34">
      <c r="A1005" s="249" t="s">
        <v>184</v>
      </c>
      <c r="B1005" s="249"/>
      <c r="C1005" s="230">
        <f>AVERAGE(D$528:D$539)</f>
        <v>38.876349999999995</v>
      </c>
      <c r="D1005" s="230">
        <f>AVERAGE(D$540:D$551)</f>
        <v>31.409616666666668</v>
      </c>
      <c r="E1005" s="230">
        <f>AVERAGE(D$552:D$563)</f>
        <v>31.195491666666669</v>
      </c>
      <c r="F1005" s="230">
        <f>AVERAGE(D$564:D$575)</f>
        <v>33.776241666666664</v>
      </c>
      <c r="G1005" s="230">
        <f>AVERAGE(D576:D587)</f>
        <v>31.270833333333332</v>
      </c>
      <c r="H1005" s="230">
        <f>AVERAGE(D588:D599)</f>
        <v>28.583151060292366</v>
      </c>
      <c r="I1005" s="232">
        <f>AVERAGE(D600:D611)</f>
        <v>29.954793384977595</v>
      </c>
      <c r="J1005" s="232">
        <f>AVERAGE($D612:$D623)</f>
        <v>52.158720627325891</v>
      </c>
      <c r="K1005" s="232">
        <f>AVERAGE($D624:$D635)</f>
        <v>67.47372524278417</v>
      </c>
      <c r="L1005" s="232">
        <f>AVERAGE($D636:$D647)</f>
        <v>61.71523714052919</v>
      </c>
      <c r="M1005" s="232">
        <f>AVERAGE($D648:$D659)</f>
        <v>46.628797087415506</v>
      </c>
      <c r="N1005" s="235">
        <f>AVERAGE(D660:D671)</f>
        <v>44.211559828012064</v>
      </c>
      <c r="O1005" s="235">
        <f>AVERAGE(D672:D683)</f>
        <v>42.979166666666664</v>
      </c>
      <c r="P1005" s="235">
        <f t="shared" ref="P1005" si="222">P1006+P1007</f>
        <v>82.284075605963778</v>
      </c>
      <c r="Q1005" s="235">
        <f>MROUND((((2.2975*'[8]Soy Complex'!BQ$46)+30.078)+((0.0024*'[8]Soy Complex'!BQ$38)-38.92)+((-0.047*('[8]Soy Complex'!BQ$46/'[8]Soy Complex'!BQ$38))-3.9175))/100,0.25)</f>
        <v>2.25</v>
      </c>
      <c r="R1005" s="235">
        <f>MROUND((((2.2975*'[8]Soy Complex'!BR$46)+30.078)+((0.0024*'[8]Soy Complex'!BR$38)-38.92)+((-0.047*('[8]Soy Complex'!BR$46/'[8]Soy Complex'!BR$38))-3.9175))/100,0.25)</f>
        <v>2.25</v>
      </c>
      <c r="S1005" s="235">
        <f>MROUND((((2.2975*'[8]Soy Complex'!BS$46)+30.078)+((0.0024*'[8]Soy Complex'!BS$38)-38.92)+((-0.047*('[8]Soy Complex'!BS$46/'[8]Soy Complex'!BS$38))-3.9175))/100,0.25)</f>
        <v>2.25</v>
      </c>
      <c r="T1005" s="235">
        <f>MROUND((((2.2975*'[8]Soy Complex'!BT$46)+30.078)+((0.0024*'[8]Soy Complex'!BT$38)-38.92)+((-0.047*('[8]Soy Complex'!BT$46/'[8]Soy Complex'!BT$38))-3.9175))/100,0.25)</f>
        <v>2</v>
      </c>
      <c r="U1005" s="235">
        <f>MROUND((((2.2975*'[8]Soy Complex'!BU$46)+30.078)+((0.0024*'[8]Soy Complex'!BU$38)-38.92)+((-0.047*('[8]Soy Complex'!BU$46/'[8]Soy Complex'!BU$38))-3.9175))/100,0.25)</f>
        <v>2</v>
      </c>
      <c r="V1005" s="235">
        <f>MROUND((((2.2975*'[8]Soy Complex'!BV$46)+30.078)+((0.0024*'[8]Soy Complex'!BV$38)-38.92)+((-0.047*('[8]Soy Complex'!BV$46/'[8]Soy Complex'!BV$38))-3.9175))/100,0.25)</f>
        <v>2.25</v>
      </c>
      <c r="W1005" s="235">
        <f>MROUND((((2.2975*'[8]Soy Complex'!BW$46)+30.078)+((0.0024*'[8]Soy Complex'!BW$38)-38.92)+((-0.047*('[8]Soy Complex'!BW$46/'[8]Soy Complex'!BW$38))-3.9175))/100,0.25)</f>
        <v>2.25</v>
      </c>
      <c r="X1005" s="235">
        <f>MROUND((((2.2975*'[8]Soy Complex'!BX$46)+30.078)+((0.0024*'[8]Soy Complex'!BX$38)-38.92)+((-0.047*('[8]Soy Complex'!BX$46/'[8]Soy Complex'!BX$38))-3.9175))/100,0.25)</f>
        <v>2</v>
      </c>
      <c r="Y1005" s="235">
        <f>MROUND((((2.2975*'[8]Soy Complex'!BY$46)+30.078)+((0.0024*'[8]Soy Complex'!BY$38)-38.92)+((-0.047*('[8]Soy Complex'!BY$46/'[8]Soy Complex'!BY$38))-3.9175))/100,0.25)</f>
        <v>1.5</v>
      </c>
      <c r="Z1005" s="225">
        <f t="shared" si="215"/>
        <v>-0.24569621817427723</v>
      </c>
      <c r="AA1005" s="225">
        <f t="shared" si="216"/>
        <v>1.0774312065165992E-2</v>
      </c>
    </row>
    <row r="1006" spans="1:34">
      <c r="A1006" s="249" t="s">
        <v>185</v>
      </c>
      <c r="B1006" s="249"/>
      <c r="C1006" s="222">
        <f>AVERAGE(L$528:L$539)</f>
        <v>38.230833333333337</v>
      </c>
      <c r="D1006" s="222">
        <f>AVERAGE(L$540:L$551)</f>
        <v>31.604166666666668</v>
      </c>
      <c r="E1006" s="222">
        <f>AVERAGE(L$552:L$563)</f>
        <v>29.860833333333332</v>
      </c>
      <c r="F1006" s="222">
        <f>AVERAGE(L$564:L$575)</f>
        <v>32.547500000000007</v>
      </c>
      <c r="G1006" s="222">
        <f>AVERAGE(L576:L587)</f>
        <v>30.042500000000004</v>
      </c>
      <c r="H1006" s="222">
        <f>AVERAGE(L588:L599)</f>
        <v>28.257500000000004</v>
      </c>
      <c r="I1006" s="226">
        <f>AVERAGE(L600:L611)</f>
        <v>29.664999999999996</v>
      </c>
      <c r="J1006" s="226">
        <f>AVERAGE($L612:$L623)</f>
        <v>56.873333333333335</v>
      </c>
      <c r="K1006" s="226">
        <f>AVERAGE($L624:$L635)</f>
        <v>72.985208333333333</v>
      </c>
      <c r="L1006" s="226">
        <f>AVERAGE($L636:$L647)</f>
        <v>65.259416666666667</v>
      </c>
      <c r="M1006" s="226">
        <f>AVERAGE($L648:$L659)</f>
        <v>46.895472596263382</v>
      </c>
      <c r="N1006" s="227">
        <f>'[8]Soy Complex'!BN$526</f>
        <v>48.605737367285641</v>
      </c>
      <c r="O1006" s="227">
        <f>'[8]Soy Complex'!BO$526</f>
        <v>80.82626973927394</v>
      </c>
      <c r="P1006" s="227">
        <f>'[8]Soy Complex'!BP$526</f>
        <v>79.205512712861463</v>
      </c>
      <c r="Q1006" s="227">
        <f>'[8]Soy Complex'!BQ$526</f>
        <v>73.881317004327002</v>
      </c>
      <c r="R1006" s="227">
        <f>'[8]Soy Complex'!BR$526</f>
        <v>70.469458896186154</v>
      </c>
      <c r="S1006" s="227">
        <f>'[8]Soy Complex'!BS$526</f>
        <v>71.209861702462291</v>
      </c>
      <c r="T1006" s="227">
        <f>'[8]Soy Complex'!BT$526</f>
        <v>61.965448250192537</v>
      </c>
      <c r="U1006" s="227">
        <f>'[8]Soy Complex'!BU$526</f>
        <v>55.610310718966204</v>
      </c>
      <c r="V1006" s="227">
        <f>'[8]Soy Complex'!BV$526</f>
        <v>63.09927214190138</v>
      </c>
      <c r="W1006" s="227">
        <f>'[8]Soy Complex'!BW$526</f>
        <v>60.893132539188642</v>
      </c>
      <c r="X1006" s="227">
        <f>'[8]Soy Complex'!BX$526</f>
        <v>53.307692020173846</v>
      </c>
      <c r="Y1006" s="227">
        <f>'[8]Soy Complex'!BY$526</f>
        <v>34.006294231800688</v>
      </c>
      <c r="Z1006" s="225">
        <f t="shared" si="215"/>
        <v>-2.9327674719415109E-2</v>
      </c>
      <c r="AA1006" s="225">
        <f t="shared" si="216"/>
        <v>2.0209776395817558E-2</v>
      </c>
    </row>
    <row r="1007" spans="1:34" ht="12" thickBot="1">
      <c r="A1007" s="246" t="s">
        <v>133</v>
      </c>
      <c r="B1007" s="246"/>
      <c r="C1007" s="222">
        <f t="shared" ref="C1007:M1007" si="223">C1006-C1005</f>
        <v>-0.64551666666665852</v>
      </c>
      <c r="D1007" s="222">
        <f t="shared" si="223"/>
        <v>0.19454999999999956</v>
      </c>
      <c r="E1007" s="222">
        <f t="shared" si="223"/>
        <v>-1.3346583333333371</v>
      </c>
      <c r="F1007" s="222">
        <f t="shared" si="223"/>
        <v>-1.2287416666666573</v>
      </c>
      <c r="G1007" s="222">
        <f t="shared" si="223"/>
        <v>-1.2283333333333282</v>
      </c>
      <c r="H1007" s="222">
        <f t="shared" si="223"/>
        <v>-0.3256510602923619</v>
      </c>
      <c r="I1007" s="222">
        <f t="shared" si="223"/>
        <v>-0.28979338497759954</v>
      </c>
      <c r="J1007" s="222">
        <f t="shared" si="223"/>
        <v>4.7146127060074434</v>
      </c>
      <c r="K1007" s="222">
        <f t="shared" si="223"/>
        <v>5.511483090549163</v>
      </c>
      <c r="L1007" s="222">
        <f t="shared" si="223"/>
        <v>3.5441795261374764</v>
      </c>
      <c r="M1007" s="222">
        <f t="shared" si="223"/>
        <v>0.26667550884787516</v>
      </c>
      <c r="N1007" s="224">
        <f>AVERAGE(Q660:Q671)</f>
        <v>1.657597340436066</v>
      </c>
      <c r="O1007" s="224">
        <f>AVERAGE(Q672:Q683)</f>
        <v>6.8369881428703394</v>
      </c>
      <c r="P1007" s="224">
        <f>AVERAGE(Q684:Q695)</f>
        <v>3.0785628931023208</v>
      </c>
      <c r="Q1007" s="224">
        <f>AVERAGE(Q696:Q707)</f>
        <v>3.5382749926033745</v>
      </c>
      <c r="R1007" s="224">
        <f>AVERAGE(Q708:Q719)</f>
        <v>3.3349267481714762</v>
      </c>
      <c r="S1007" s="224">
        <f>AVERAGE(Q720:Q731)</f>
        <v>3.2907024012138315</v>
      </c>
      <c r="T1007" s="224">
        <f>AVERAGE(Q732:Q743)</f>
        <v>4.6084620086824346</v>
      </c>
      <c r="U1007" s="224">
        <v>1</v>
      </c>
      <c r="V1007" s="224">
        <v>1</v>
      </c>
      <c r="W1007" s="224">
        <v>1</v>
      </c>
      <c r="X1007" s="224">
        <v>1</v>
      </c>
      <c r="Y1007" s="224">
        <v>1</v>
      </c>
      <c r="Z1007" s="225">
        <f t="shared" si="215"/>
        <v>-4.1239617720493005E-2</v>
      </c>
      <c r="AA1007" s="225" t="e">
        <f t="shared" si="216"/>
        <v>#NUM!</v>
      </c>
    </row>
    <row r="1008" spans="1:34">
      <c r="A1008" s="246" t="s">
        <v>186</v>
      </c>
      <c r="B1008" s="246"/>
      <c r="C1008" s="230" t="e">
        <f>AVERAGE(E$528:E$539)</f>
        <v>#DIV/0!</v>
      </c>
      <c r="D1008" s="230" t="e">
        <f>AVERAGE(E$540:E$551)</f>
        <v>#DIV/0!</v>
      </c>
      <c r="E1008" s="230" t="e">
        <f>AVERAGE(E$552:E$563)</f>
        <v>#DIV/0!</v>
      </c>
      <c r="F1008" s="230" t="e">
        <f>AVERAGE(E$564:E$575)</f>
        <v>#DIV/0!</v>
      </c>
      <c r="G1008" s="231" t="e">
        <f>AVERAGE(E576:E587)</f>
        <v>#DIV/0!</v>
      </c>
      <c r="H1008" s="231" t="e">
        <f>AVERAGE(E588:E599)</f>
        <v>#DIV/0!</v>
      </c>
      <c r="I1008" s="232" t="e">
        <f>AVERAGE(E600:E611)</f>
        <v>#DIV/0!</v>
      </c>
      <c r="J1008" s="232" t="e">
        <f>AVERAGE($E611:$E622)</f>
        <v>#DIV/0!</v>
      </c>
      <c r="K1008" s="232" t="e">
        <f>AVERAGE($E623:$E634)</f>
        <v>#DIV/0!</v>
      </c>
      <c r="L1008" s="232" t="e">
        <f>AVERAGE($E635:$E646)</f>
        <v>#DIV/0!</v>
      </c>
      <c r="M1008" s="232" t="e">
        <f>AVERAGE($E647:$E658)</f>
        <v>#DIV/0!</v>
      </c>
      <c r="N1008" s="235" t="e">
        <f>AVERAGE($E659:$E711)</f>
        <v>#DIV/0!</v>
      </c>
      <c r="O1008" s="236">
        <v>1.1499999999999999</v>
      </c>
      <c r="P1008" s="236">
        <v>0.9</v>
      </c>
      <c r="Q1008" s="236">
        <v>1</v>
      </c>
      <c r="R1008" s="236">
        <v>1.05</v>
      </c>
      <c r="S1008" s="236">
        <v>1.1499999999999999</v>
      </c>
      <c r="T1008" s="236">
        <v>1.3</v>
      </c>
      <c r="U1008" s="236">
        <v>1.25</v>
      </c>
      <c r="V1008" s="236">
        <v>1.2</v>
      </c>
      <c r="W1008" s="236">
        <v>1.1499999999999999</v>
      </c>
      <c r="X1008" s="236">
        <v>1.1499999999999999</v>
      </c>
      <c r="Y1008" s="236">
        <v>1.1000000000000001</v>
      </c>
      <c r="Z1008" s="225" t="e">
        <f t="shared" si="215"/>
        <v>#DIV/0!</v>
      </c>
      <c r="AA1008" s="225" t="e">
        <f t="shared" si="216"/>
        <v>#DIV/0!</v>
      </c>
    </row>
    <row r="1009" spans="1:27" ht="12" thickBot="1">
      <c r="A1009" s="246" t="s">
        <v>187</v>
      </c>
      <c r="B1009" s="246"/>
      <c r="C1009" s="222">
        <f>AVERAGE(M$528:M$539)</f>
        <v>1.430525</v>
      </c>
      <c r="D1009" s="222">
        <f>AVERAGE(M$540:M$551)</f>
        <v>1.6613499999999999</v>
      </c>
      <c r="E1009" s="222">
        <f>AVERAGE(M$552:M$563)</f>
        <v>0.81183499999999986</v>
      </c>
      <c r="F1009" s="222">
        <f>AVERAGE(M$564:M$575)</f>
        <v>0.81147666666666673</v>
      </c>
      <c r="G1009" s="119">
        <f>AVERAGE(M576:M587)</f>
        <v>1.4987949999999997</v>
      </c>
      <c r="H1009" s="119">
        <f>AVERAGE(M588:M599)</f>
        <v>1.2966641666666667</v>
      </c>
      <c r="I1009" s="223">
        <f>AVERAGE(M600:M611)</f>
        <v>0.9060956349206345</v>
      </c>
      <c r="J1009" s="223">
        <f>AVERAGE($M611:$M622)</f>
        <v>1.1750491938963024</v>
      </c>
      <c r="K1009" s="223">
        <f>AVERAGE($M623:$M634)</f>
        <v>2.3430509019378158</v>
      </c>
      <c r="L1009" s="223">
        <f>AVERAGE($M635:$M646)</f>
        <v>2.5041013091358164</v>
      </c>
      <c r="M1009" s="223">
        <f>AVERAGE($M647:$M658)</f>
        <v>2.0720796437115512</v>
      </c>
      <c r="N1009" s="237">
        <v>1.5</v>
      </c>
      <c r="O1009" s="237">
        <v>1.55</v>
      </c>
      <c r="P1009" s="237">
        <v>1.3</v>
      </c>
      <c r="Q1009" s="237">
        <v>1.4</v>
      </c>
      <c r="R1009" s="237">
        <v>1.75</v>
      </c>
      <c r="S1009" s="237">
        <v>1.85</v>
      </c>
      <c r="T1009" s="237">
        <v>2.5</v>
      </c>
      <c r="U1009" s="237">
        <v>2</v>
      </c>
      <c r="V1009" s="237">
        <v>2</v>
      </c>
      <c r="W1009" s="237">
        <v>2</v>
      </c>
      <c r="X1009" s="237">
        <v>2.25</v>
      </c>
      <c r="Y1009" s="237">
        <v>2.25</v>
      </c>
      <c r="Z1009" s="225">
        <f t="shared" si="215"/>
        <v>3.436608313191658E-2</v>
      </c>
      <c r="AA1009" s="225">
        <f t="shared" si="216"/>
        <v>3.9597858457218749E-3</v>
      </c>
    </row>
    <row r="1010" spans="1:27">
      <c r="A1010" s="246" t="s">
        <v>188</v>
      </c>
      <c r="B1010" s="246"/>
      <c r="C1010" s="238" t="e">
        <f>AVERAGE(F$528:F$539)</f>
        <v>#DIV/0!</v>
      </c>
      <c r="D1010" s="238" t="e">
        <f>AVERAGE(F$540:F$551)</f>
        <v>#DIV/0!</v>
      </c>
      <c r="E1010" s="238" t="e">
        <f>AVERAGE(F$552:F$563)</f>
        <v>#DIV/0!</v>
      </c>
      <c r="F1010" s="238" t="e">
        <f>AVERAGE(F$564:F$575)</f>
        <v>#DIV/0!</v>
      </c>
      <c r="G1010" s="238" t="e">
        <f>AVERAGE(F576:F587)</f>
        <v>#DIV/0!</v>
      </c>
      <c r="H1010" s="238" t="e">
        <f>AVERAGE(F588:F599)</f>
        <v>#DIV/0!</v>
      </c>
      <c r="I1010" s="238" t="e">
        <f>AVERAGE(F600:F611)</f>
        <v>#DIV/0!</v>
      </c>
      <c r="J1010" s="238" t="e">
        <f>AVERAGE($F612:$F623)</f>
        <v>#DIV/0!</v>
      </c>
      <c r="K1010" s="238" t="e">
        <f>AVERAGE($F624:$F635)</f>
        <v>#DIV/0!</v>
      </c>
      <c r="L1010" s="238" t="e">
        <f>AVERAGE($F636:$F647)</f>
        <v>#DIV/0!</v>
      </c>
      <c r="M1010" s="238" t="e">
        <f>AVERAGE($F648:$F659)</f>
        <v>#DIV/0!</v>
      </c>
      <c r="N1010" s="239" t="e">
        <f t="shared" ref="N1010:Y1010" si="224">(N1006/100*11/(N999+N1008))</f>
        <v>#DIV/0!</v>
      </c>
      <c r="O1010" s="239">
        <f t="shared" si="224"/>
        <v>0.85489323762693592</v>
      </c>
      <c r="P1010" s="239">
        <f t="shared" si="224"/>
        <v>0.83775061523218841</v>
      </c>
      <c r="Q1010" s="239">
        <f t="shared" si="224"/>
        <v>0.77399474956914005</v>
      </c>
      <c r="R1010" s="239">
        <f t="shared" si="224"/>
        <v>0.70150592566339154</v>
      </c>
      <c r="S1010" s="239">
        <f t="shared" si="224"/>
        <v>0.67236779289878557</v>
      </c>
      <c r="T1010" s="239">
        <f t="shared" si="224"/>
        <v>0.55416254532692499</v>
      </c>
      <c r="U1010" s="239" t="e">
        <f t="shared" si="224"/>
        <v>#DIV/0!</v>
      </c>
      <c r="V1010" s="239">
        <f t="shared" si="224"/>
        <v>0.59324102013753444</v>
      </c>
      <c r="W1010" s="239">
        <f t="shared" si="224"/>
        <v>0.55129585014903304</v>
      </c>
      <c r="X1010" s="239">
        <f t="shared" si="224"/>
        <v>0.47289081630799379</v>
      </c>
      <c r="Y1010" s="239">
        <f t="shared" si="224"/>
        <v>0.28554903553420424</v>
      </c>
      <c r="Z1010" s="119"/>
      <c r="AA1010" s="119"/>
    </row>
    <row r="1011" spans="1:27">
      <c r="A1011" s="246" t="s">
        <v>189</v>
      </c>
      <c r="B1011" s="246"/>
      <c r="C1011" s="128">
        <f>AVERAGE(N$528:N$539)</f>
        <v>0.28088916299500077</v>
      </c>
      <c r="D1011" s="128">
        <f>AVERAGE(N$540:N$551)</f>
        <v>0.3009785322199009</v>
      </c>
      <c r="E1011" s="128">
        <f>AVERAGE(N$552:N$563)</f>
        <v>0.31719616952139268</v>
      </c>
      <c r="F1011" s="128">
        <f>AVERAGE(N$564:N$575)</f>
        <v>0.33921857279025341</v>
      </c>
      <c r="G1011" s="128">
        <f>AVERAGE(N576:N587)</f>
        <v>0.30412708009537653</v>
      </c>
      <c r="H1011" s="128">
        <f>AVERAGE(N588:N599)</f>
        <v>0.31434118851879839</v>
      </c>
      <c r="I1011" s="128">
        <f>AVERAGE(N600:N611)</f>
        <v>0.33057154765865915</v>
      </c>
      <c r="J1011" s="128">
        <f>AVERAGE($N612:$N623)</f>
        <v>0.41406369212906613</v>
      </c>
      <c r="K1011" s="128">
        <f>AVERAGE($N624:$N635)</f>
        <v>0.45456163152613943</v>
      </c>
      <c r="L1011" s="128">
        <f>AVERAGE($N636:$N647)</f>
        <v>0.41848979824209037</v>
      </c>
      <c r="M1011" s="128">
        <f>AVERAGE($N648:$N659)</f>
        <v>0.37044732641007522</v>
      </c>
      <c r="N1011" s="240" t="e">
        <f t="shared" ref="N1011:Y1011" si="225">(N1006/100*11/(N1000+N1009))</f>
        <v>#DIV/0!</v>
      </c>
      <c r="O1011" s="240">
        <f t="shared" si="225"/>
        <v>0.82421408726637235</v>
      </c>
      <c r="P1011" s="240">
        <f t="shared" si="225"/>
        <v>0.80608093540465553</v>
      </c>
      <c r="Q1011" s="240">
        <f t="shared" si="225"/>
        <v>0.74500347161652003</v>
      </c>
      <c r="R1011" s="240">
        <f t="shared" si="225"/>
        <v>0.65143120481540895</v>
      </c>
      <c r="S1011" s="240">
        <f t="shared" si="225"/>
        <v>0.63201639426736378</v>
      </c>
      <c r="T1011" s="240">
        <f t="shared" si="225"/>
        <v>0.50327081819882002</v>
      </c>
      <c r="U1011" s="240" t="e">
        <f t="shared" si="225"/>
        <v>#DIV/0!</v>
      </c>
      <c r="V1011" s="240">
        <f t="shared" si="225"/>
        <v>0.55411217572840543</v>
      </c>
      <c r="W1011" s="240">
        <f t="shared" si="225"/>
        <v>0.51421324555977577</v>
      </c>
      <c r="X1011" s="240">
        <f t="shared" si="225"/>
        <v>0.4335176266962727</v>
      </c>
      <c r="Y1011" s="240">
        <f t="shared" si="225"/>
        <v>0.26202297288480658</v>
      </c>
    </row>
    <row r="1012" spans="1:27">
      <c r="A1012" s="246" t="s">
        <v>190</v>
      </c>
      <c r="B1012" s="246"/>
      <c r="C1012" s="241" t="e">
        <f t="shared" ref="C1012:L1012" si="226">C1009-C1008</f>
        <v>#DIV/0!</v>
      </c>
      <c r="D1012" s="241" t="e">
        <f t="shared" si="226"/>
        <v>#DIV/0!</v>
      </c>
      <c r="E1012" s="241" t="e">
        <f t="shared" si="226"/>
        <v>#DIV/0!</v>
      </c>
      <c r="F1012" s="241" t="e">
        <f t="shared" si="226"/>
        <v>#DIV/0!</v>
      </c>
      <c r="G1012" s="241" t="e">
        <f t="shared" si="226"/>
        <v>#DIV/0!</v>
      </c>
      <c r="H1012" s="241" t="e">
        <f t="shared" si="226"/>
        <v>#DIV/0!</v>
      </c>
      <c r="I1012" s="241" t="e">
        <f t="shared" si="226"/>
        <v>#DIV/0!</v>
      </c>
      <c r="J1012" s="241" t="e">
        <f t="shared" si="226"/>
        <v>#DIV/0!</v>
      </c>
      <c r="K1012" s="241" t="e">
        <f t="shared" si="226"/>
        <v>#DIV/0!</v>
      </c>
      <c r="L1012" s="241" t="e">
        <f t="shared" si="226"/>
        <v>#DIV/0!</v>
      </c>
      <c r="M1012" s="241" t="e">
        <f>M1009-M1008</f>
        <v>#DIV/0!</v>
      </c>
      <c r="N1012" s="242" t="e">
        <f t="shared" ref="N1012:Y1012" si="227">N1009-N1008</f>
        <v>#DIV/0!</v>
      </c>
      <c r="O1012" s="242">
        <f t="shared" si="227"/>
        <v>0.40000000000000013</v>
      </c>
      <c r="P1012" s="242">
        <f t="shared" si="227"/>
        <v>0.4</v>
      </c>
      <c r="Q1012" s="242">
        <f t="shared" si="227"/>
        <v>0.39999999999999991</v>
      </c>
      <c r="R1012" s="242">
        <f t="shared" si="227"/>
        <v>0.7</v>
      </c>
      <c r="S1012" s="242">
        <f t="shared" si="227"/>
        <v>0.70000000000000018</v>
      </c>
      <c r="T1012" s="242">
        <f t="shared" si="227"/>
        <v>1.2</v>
      </c>
      <c r="U1012" s="242">
        <f t="shared" si="227"/>
        <v>0.75</v>
      </c>
      <c r="V1012" s="242">
        <f t="shared" si="227"/>
        <v>0.8</v>
      </c>
      <c r="W1012" s="242">
        <f t="shared" si="227"/>
        <v>0.85000000000000009</v>
      </c>
      <c r="X1012" s="242">
        <f t="shared" si="227"/>
        <v>1.1000000000000001</v>
      </c>
      <c r="Y1012" s="242">
        <f t="shared" si="227"/>
        <v>1.1499999999999999</v>
      </c>
    </row>
    <row r="1013" spans="1:27">
      <c r="A1013" s="247" t="s">
        <v>191</v>
      </c>
      <c r="B1013" s="247"/>
      <c r="C1013" s="108">
        <f>'[8]Soy Complex'!BC$4-'[8]Soy Complex'!BB$4</f>
        <v>-0.35799999999998988</v>
      </c>
      <c r="D1013" s="108">
        <f>'[8]Soy Complex'!BD$4-'[8]Soy Complex'!BC$4</f>
        <v>6.4359999999999928</v>
      </c>
      <c r="E1013" s="108">
        <f>'[8]Soy Complex'!BE$4-'[8]Soy Complex'!BD$4</f>
        <v>-0.62599999999999056</v>
      </c>
      <c r="F1013" s="108">
        <f>'[8]Soy Complex'!BF$4-'[8]Soy Complex'!BE$4</f>
        <v>0.80299999999999727</v>
      </c>
      <c r="G1013" s="108">
        <f>'[8]Soy Complex'!BG$4-'[8]Soy Complex'!BF$4</f>
        <v>6.7090000000000032</v>
      </c>
      <c r="H1013" s="108">
        <f>'[8]Soy Complex'!BH$4-'[8]Soy Complex'!BG$4</f>
        <v>-0.99500000000000455</v>
      </c>
      <c r="I1013" s="108">
        <f>'[8]Soy Complex'!BI$4-'[8]Soy Complex'!BH$4</f>
        <v>-13.067000000000007</v>
      </c>
      <c r="J1013" s="108">
        <f>'[8]Soy Complex'!BJ$4-'[8]Soy Complex'!BI$4</f>
        <v>7.2540000000000049</v>
      </c>
      <c r="K1013" s="108">
        <f>'[8]Soy Complex'!BK$4-'[8]Soy Complex'!BJ$4</f>
        <v>3.840999999999994</v>
      </c>
      <c r="L1013" s="108">
        <f>'[8]Soy Complex'!BL$4-'[8]Soy Complex'!BK$4</f>
        <v>0.25500000000000966</v>
      </c>
      <c r="M1013" s="108">
        <f>'[8]Soy Complex'!BM$4-'[8]Soy Complex'!BL$4</f>
        <v>-3.8500000000000085</v>
      </c>
      <c r="N1013" s="108">
        <f>'[8]Soy Complex'!BN$4-'[8]Soy Complex'!BM$4</f>
        <v>3.4500000000000028</v>
      </c>
      <c r="O1013" s="108">
        <f>'[8]Soy Complex'!BO$4-'[8]Soy Complex'!BN$4</f>
        <v>-3.6700000000000017</v>
      </c>
      <c r="P1013" s="108">
        <f>'[8]Soy Complex'!BP$4-'[8]Soy Complex'!BO$4</f>
        <v>0.62000000000000455</v>
      </c>
      <c r="Q1013" s="108">
        <f>'[8]Soy Complex'!BQ$4-'[8]Soy Complex'!BP$4</f>
        <v>-1</v>
      </c>
      <c r="R1013" s="108">
        <f>'[8]Soy Complex'!BR$4-'[8]Soy Complex'!BQ$4</f>
        <v>-1</v>
      </c>
      <c r="S1013" s="108">
        <f>'[8]Soy Complex'!BS$4-'[8]Soy Complex'!BR$4</f>
        <v>7</v>
      </c>
      <c r="T1013" s="108">
        <f>'[8]Soy Complex'!BT$4-'[8]Soy Complex'!BS$4</f>
        <v>1</v>
      </c>
      <c r="U1013" s="108">
        <f>'[8]Soy Complex'!BU$4-'[8]Soy Complex'!BT$4</f>
        <v>1</v>
      </c>
      <c r="V1013" s="108">
        <f>'[8]Soy Complex'!BV$4-'[8]Soy Complex'!BU$4</f>
        <v>0</v>
      </c>
      <c r="W1013" s="108">
        <f>'[8]Soy Complex'!BW$4-'[8]Soy Complex'!BV$4</f>
        <v>0</v>
      </c>
    </row>
    <row r="1014" spans="1:27">
      <c r="A1014" s="248" t="s">
        <v>192</v>
      </c>
      <c r="B1014" s="248"/>
      <c r="C1014" s="108">
        <f t="shared" ref="C1014:J1014" si="228">D1013</f>
        <v>6.4359999999999928</v>
      </c>
      <c r="D1014" s="108">
        <f t="shared" si="228"/>
        <v>-0.62599999999999056</v>
      </c>
      <c r="E1014" s="108">
        <f t="shared" si="228"/>
        <v>0.80299999999999727</v>
      </c>
      <c r="F1014" s="108">
        <f t="shared" si="228"/>
        <v>6.7090000000000032</v>
      </c>
      <c r="G1014" s="108">
        <f t="shared" si="228"/>
        <v>-0.99500000000000455</v>
      </c>
      <c r="H1014" s="108">
        <f t="shared" si="228"/>
        <v>-13.067000000000007</v>
      </c>
      <c r="I1014" s="108">
        <f t="shared" si="228"/>
        <v>7.2540000000000049</v>
      </c>
      <c r="J1014" s="108">
        <f t="shared" si="228"/>
        <v>3.840999999999994</v>
      </c>
      <c r="K1014" s="108">
        <f>L1013</f>
        <v>0.25500000000000966</v>
      </c>
      <c r="L1014" s="108">
        <f>M1013</f>
        <v>-3.8500000000000085</v>
      </c>
      <c r="M1014" s="108">
        <f>N1013</f>
        <v>3.4500000000000028</v>
      </c>
      <c r="N1014" s="108">
        <f t="shared" ref="N1014:O1014" si="229">O1013</f>
        <v>-3.6700000000000017</v>
      </c>
      <c r="O1014" s="108">
        <f t="shared" si="229"/>
        <v>0.62000000000000455</v>
      </c>
    </row>
    <row r="1015" spans="1:27">
      <c r="A1015" s="247" t="s">
        <v>193</v>
      </c>
      <c r="B1015" s="247"/>
    </row>
    <row r="1016" spans="1:27">
      <c r="A1016" s="247" t="s">
        <v>194</v>
      </c>
      <c r="B1016" s="247"/>
    </row>
    <row r="1017" spans="1:27">
      <c r="A1017" s="243" t="s">
        <v>195</v>
      </c>
    </row>
  </sheetData>
  <mergeCells count="31">
    <mergeCell ref="AP1:AS1"/>
    <mergeCell ref="B977:F977"/>
    <mergeCell ref="L977:P977"/>
    <mergeCell ref="V977:X977"/>
    <mergeCell ref="V980:X980"/>
    <mergeCell ref="Y980:AA980"/>
    <mergeCell ref="K1:L1"/>
    <mergeCell ref="M1:N1"/>
    <mergeCell ref="P1:Q1"/>
    <mergeCell ref="A1004:B1004"/>
    <mergeCell ref="B980:F980"/>
    <mergeCell ref="G980:K980"/>
    <mergeCell ref="L980:P980"/>
    <mergeCell ref="Q980:U980"/>
    <mergeCell ref="A999:B999"/>
    <mergeCell ref="A1000:B1000"/>
    <mergeCell ref="A1001:B1001"/>
    <mergeCell ref="A1002:B1002"/>
    <mergeCell ref="A1003:B1003"/>
    <mergeCell ref="A1016:B1016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</mergeCells>
  <hyperlinks>
    <hyperlink ref="O1" r:id="rId1" display="Soybean Prices" xr:uid="{E768F2C8-1618-4125-8EC4-B55A50DCC663}"/>
    <hyperlink ref="K1" r:id="rId2" xr:uid="{2BE61A8A-0839-486E-AEA0-A94F238DD6A1}"/>
  </hyperlinks>
  <pageMargins left="0.7" right="0.7" top="0.75" bottom="0.75" header="0.3" footer="0.3"/>
  <pageSetup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Futures Price Forecasts</vt:lpstr>
      <vt:lpstr>Forecasts</vt:lpstr>
      <vt:lpstr>Sheet1</vt:lpstr>
      <vt:lpstr>Prices</vt:lpstr>
      <vt:lpstr>Forecasts!Print_Area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2025-07-17T09:19:47Z</dcterms:created>
  <dcterms:modified xsi:type="dcterms:W3CDTF">2025-08-07T13:19:43Z</dcterms:modified>
</cp:coreProperties>
</file>