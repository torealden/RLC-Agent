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em\Dropbox\RLC Documents\Models\Oilseeds\"/>
    </mc:Choice>
  </mc:AlternateContent>
  <xr:revisionPtr revIDLastSave="0" documentId="13_ncr:1_{709E796B-F774-478F-9324-4FC43A0A3E00}" xr6:coauthVersionLast="47" xr6:coauthVersionMax="47" xr10:uidLastSave="{00000000-0000-0000-0000-000000000000}"/>
  <bookViews>
    <workbookView xWindow="-28800" yWindow="120" windowWidth="29010" windowHeight="16080" xr2:uid="{2513D62B-8BAE-4405-933B-5EAFE8AB0969}"/>
  </bookViews>
  <sheets>
    <sheet name="Malaysia" sheetId="1" r:id="rId1"/>
    <sheet name="Indonesia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53" i="2" l="1"/>
  <c r="AU53" i="2"/>
  <c r="AT53" i="2"/>
  <c r="AS53" i="2"/>
  <c r="AR53" i="2"/>
  <c r="AQ53" i="2"/>
  <c r="BB52" i="2"/>
  <c r="BA52" i="2"/>
  <c r="AZ52" i="2"/>
  <c r="AY52" i="2"/>
  <c r="AX52" i="2"/>
  <c r="AW52" i="2"/>
  <c r="AV52" i="2"/>
  <c r="AU52" i="2"/>
  <c r="AT52" i="2"/>
  <c r="AS52" i="2"/>
  <c r="AR52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AX20" i="2"/>
  <c r="AW20" i="2"/>
  <c r="AV20" i="2"/>
  <c r="AU20" i="2"/>
  <c r="AT20" i="2"/>
  <c r="AS20" i="2"/>
  <c r="AS21" i="2" s="1"/>
  <c r="AR20" i="2"/>
  <c r="AR21" i="2" s="1"/>
  <c r="AQ20" i="2"/>
  <c r="AQ21" i="2" s="1"/>
  <c r="F85" i="2"/>
  <c r="F83" i="2"/>
  <c r="E83" i="2"/>
  <c r="D83" i="2"/>
  <c r="C83" i="2"/>
  <c r="B83" i="2"/>
  <c r="AX53" i="2"/>
  <c r="AW53" i="2"/>
  <c r="AP20" i="2"/>
  <c r="AP21" i="2" s="1"/>
  <c r="AV21" i="2"/>
  <c r="AU21" i="2"/>
  <c r="AT21" i="2"/>
  <c r="AO21" i="2"/>
  <c r="AD21" i="2"/>
  <c r="AC21" i="2"/>
  <c r="AB21" i="2"/>
  <c r="AA21" i="2"/>
  <c r="Z21" i="2"/>
  <c r="Y21" i="2"/>
  <c r="X21" i="2"/>
  <c r="W21" i="2"/>
  <c r="V21" i="2"/>
  <c r="U21" i="2"/>
  <c r="AO20" i="2"/>
  <c r="AN20" i="2"/>
  <c r="AN21" i="2" s="1"/>
  <c r="AM20" i="2"/>
  <c r="AM21" i="2" s="1"/>
  <c r="AL20" i="2"/>
  <c r="AL21" i="2" s="1"/>
  <c r="AK20" i="2"/>
  <c r="AK21" i="2" s="1"/>
  <c r="AJ20" i="2"/>
  <c r="AJ21" i="2" s="1"/>
  <c r="AI20" i="2"/>
  <c r="AI21" i="2" s="1"/>
  <c r="AH20" i="2"/>
  <c r="AH21" i="2" s="1"/>
  <c r="AG20" i="2"/>
  <c r="AG21" i="2" s="1"/>
  <c r="AF20" i="2"/>
  <c r="AF21" i="2" s="1"/>
  <c r="AE20" i="2"/>
  <c r="AE21" i="2" s="1"/>
  <c r="AD20" i="2"/>
  <c r="AC20" i="2"/>
  <c r="AB20" i="2"/>
  <c r="AA20" i="2"/>
  <c r="Z20" i="2"/>
  <c r="Y20" i="2"/>
  <c r="X20" i="2"/>
  <c r="W20" i="2"/>
  <c r="V20" i="2"/>
  <c r="U20" i="2"/>
  <c r="AZ3" i="2"/>
  <c r="BA3" i="2" s="1"/>
  <c r="AW50" i="1"/>
  <c r="AV50" i="1"/>
  <c r="AA50" i="1"/>
  <c r="Z50" i="1"/>
  <c r="Y50" i="1"/>
  <c r="X50" i="1"/>
  <c r="AC49" i="1"/>
  <c r="AB49" i="1"/>
  <c r="G49" i="1"/>
  <c r="AK48" i="1"/>
  <c r="AJ48" i="1"/>
  <c r="AI48" i="1"/>
  <c r="AH48" i="1"/>
  <c r="AG48" i="1"/>
  <c r="AF48" i="1"/>
  <c r="O48" i="1"/>
  <c r="N48" i="1"/>
  <c r="M48" i="1"/>
  <c r="L48" i="1"/>
  <c r="K48" i="1"/>
  <c r="J48" i="1"/>
  <c r="AW44" i="1"/>
  <c r="AV44" i="1"/>
  <c r="AS44" i="1"/>
  <c r="AR44" i="1"/>
  <c r="AQ44" i="1"/>
  <c r="AP44" i="1"/>
  <c r="AO44" i="1"/>
  <c r="AN44" i="1"/>
  <c r="AM44" i="1"/>
  <c r="AL44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AW43" i="1"/>
  <c r="AV43" i="1"/>
  <c r="AS43" i="1"/>
  <c r="AR43" i="1"/>
  <c r="AQ43" i="1"/>
  <c r="AP43" i="1"/>
  <c r="AO43" i="1"/>
  <c r="AN43" i="1"/>
  <c r="AM43" i="1"/>
  <c r="AL43" i="1"/>
  <c r="AK43" i="1"/>
  <c r="AJ43" i="1"/>
  <c r="AI43" i="1"/>
  <c r="AH43" i="1"/>
  <c r="AG43" i="1"/>
  <c r="AF43" i="1"/>
  <c r="AE43" i="1"/>
  <c r="AT43" i="1" s="1"/>
  <c r="AD43" i="1"/>
  <c r="AH49" i="1" s="1"/>
  <c r="AC43" i="1"/>
  <c r="AG49" i="1" s="1"/>
  <c r="AB43" i="1"/>
  <c r="AF49" i="1" s="1"/>
  <c r="AA43" i="1"/>
  <c r="AE49" i="1" s="1"/>
  <c r="Z43" i="1"/>
  <c r="AD49" i="1" s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M49" i="1" s="1"/>
  <c r="H43" i="1"/>
  <c r="L49" i="1" s="1"/>
  <c r="G43" i="1"/>
  <c r="K49" i="1" s="1"/>
  <c r="F43" i="1"/>
  <c r="J49" i="1" s="1"/>
  <c r="E43" i="1"/>
  <c r="I49" i="1" s="1"/>
  <c r="D43" i="1"/>
  <c r="H49" i="1" s="1"/>
  <c r="C43" i="1"/>
  <c r="AW42" i="1"/>
  <c r="AV42" i="1"/>
  <c r="AS42" i="1"/>
  <c r="AR42" i="1"/>
  <c r="AQ42" i="1"/>
  <c r="AP42" i="1"/>
  <c r="AO42" i="1"/>
  <c r="AN42" i="1"/>
  <c r="AM42" i="1"/>
  <c r="AL42" i="1"/>
  <c r="AK42" i="1"/>
  <c r="AJ42" i="1"/>
  <c r="AI42" i="1"/>
  <c r="AM48" i="1" s="1"/>
  <c r="AH42" i="1"/>
  <c r="AL48" i="1" s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U48" i="1" s="1"/>
  <c r="P42" i="1"/>
  <c r="T48" i="1" s="1"/>
  <c r="O42" i="1"/>
  <c r="S48" i="1" s="1"/>
  <c r="N42" i="1"/>
  <c r="R48" i="1" s="1"/>
  <c r="M42" i="1"/>
  <c r="Q48" i="1" s="1"/>
  <c r="L42" i="1"/>
  <c r="P48" i="1" s="1"/>
  <c r="K42" i="1"/>
  <c r="J42" i="1"/>
  <c r="I42" i="1"/>
  <c r="H42" i="1"/>
  <c r="G42" i="1"/>
  <c r="F42" i="1"/>
  <c r="E42" i="1"/>
  <c r="D42" i="1"/>
  <c r="C42" i="1"/>
  <c r="AS41" i="1"/>
  <c r="AR41" i="1"/>
  <c r="AQ41" i="1"/>
  <c r="AP41" i="1"/>
  <c r="W41" i="1"/>
  <c r="V41" i="1"/>
  <c r="U41" i="1"/>
  <c r="T41" i="1"/>
  <c r="AW39" i="1"/>
  <c r="AV39" i="1"/>
  <c r="AS39" i="1"/>
  <c r="AS50" i="1" s="1"/>
  <c r="AR39" i="1"/>
  <c r="AR50" i="1" s="1"/>
  <c r="AQ39" i="1"/>
  <c r="AQ50" i="1" s="1"/>
  <c r="AP39" i="1"/>
  <c r="AP50" i="1" s="1"/>
  <c r="AO39" i="1"/>
  <c r="AO50" i="1" s="1"/>
  <c r="AN39" i="1"/>
  <c r="AN50" i="1" s="1"/>
  <c r="AM39" i="1"/>
  <c r="AM50" i="1" s="1"/>
  <c r="AL39" i="1"/>
  <c r="AL50" i="1" s="1"/>
  <c r="AK39" i="1"/>
  <c r="AK50" i="1" s="1"/>
  <c r="AJ39" i="1"/>
  <c r="AJ50" i="1" s="1"/>
  <c r="AI39" i="1"/>
  <c r="AI50" i="1" s="1"/>
  <c r="AH39" i="1"/>
  <c r="AH50" i="1" s="1"/>
  <c r="AG39" i="1"/>
  <c r="AG50" i="1" s="1"/>
  <c r="AF39" i="1"/>
  <c r="AF50" i="1" s="1"/>
  <c r="AE39" i="1"/>
  <c r="AE50" i="1" s="1"/>
  <c r="AT50" i="1" s="1"/>
  <c r="AT39" i="1" s="1"/>
  <c r="AT6" i="1" s="1"/>
  <c r="AD39" i="1"/>
  <c r="AD50" i="1" s="1"/>
  <c r="AC39" i="1"/>
  <c r="AC50" i="1" s="1"/>
  <c r="AB39" i="1"/>
  <c r="AB50" i="1" s="1"/>
  <c r="AA39" i="1"/>
  <c r="Z39" i="1"/>
  <c r="Y39" i="1"/>
  <c r="X39" i="1"/>
  <c r="W39" i="1"/>
  <c r="W50" i="1" s="1"/>
  <c r="V39" i="1"/>
  <c r="V50" i="1" s="1"/>
  <c r="U39" i="1"/>
  <c r="U50" i="1" s="1"/>
  <c r="T39" i="1"/>
  <c r="T50" i="1" s="1"/>
  <c r="S39" i="1"/>
  <c r="S50" i="1" s="1"/>
  <c r="R39" i="1"/>
  <c r="R50" i="1" s="1"/>
  <c r="Q39" i="1"/>
  <c r="Q50" i="1" s="1"/>
  <c r="P39" i="1"/>
  <c r="P50" i="1" s="1"/>
  <c r="O39" i="1"/>
  <c r="O50" i="1" s="1"/>
  <c r="N39" i="1"/>
  <c r="N50" i="1" s="1"/>
  <c r="M39" i="1"/>
  <c r="M50" i="1" s="1"/>
  <c r="L39" i="1"/>
  <c r="L50" i="1" s="1"/>
  <c r="K39" i="1"/>
  <c r="K50" i="1" s="1"/>
  <c r="J39" i="1"/>
  <c r="J50" i="1" s="1"/>
  <c r="I39" i="1"/>
  <c r="I50" i="1" s="1"/>
  <c r="H39" i="1"/>
  <c r="H50" i="1" s="1"/>
  <c r="G39" i="1"/>
  <c r="G50" i="1" s="1"/>
  <c r="F39" i="1"/>
  <c r="E39" i="1"/>
  <c r="D39" i="1"/>
  <c r="C39" i="1"/>
  <c r="AW38" i="1"/>
  <c r="AW49" i="1" s="1"/>
  <c r="AV38" i="1"/>
  <c r="AV49" i="1" s="1"/>
  <c r="AS38" i="1"/>
  <c r="AS49" i="1" s="1"/>
  <c r="AR38" i="1"/>
  <c r="AR49" i="1" s="1"/>
  <c r="AQ38" i="1"/>
  <c r="AQ49" i="1" s="1"/>
  <c r="AP38" i="1"/>
  <c r="AP49" i="1" s="1"/>
  <c r="AO38" i="1"/>
  <c r="AO49" i="1" s="1"/>
  <c r="AN38" i="1"/>
  <c r="AN49" i="1" s="1"/>
  <c r="AM38" i="1"/>
  <c r="AM49" i="1" s="1"/>
  <c r="AL38" i="1"/>
  <c r="AL49" i="1" s="1"/>
  <c r="AK38" i="1"/>
  <c r="AK49" i="1" s="1"/>
  <c r="AJ38" i="1"/>
  <c r="AJ49" i="1" s="1"/>
  <c r="AI38" i="1"/>
  <c r="AH38" i="1"/>
  <c r="AG38" i="1"/>
  <c r="AF38" i="1"/>
  <c r="AE38" i="1"/>
  <c r="AD38" i="1"/>
  <c r="AC38" i="1"/>
  <c r="AB38" i="1"/>
  <c r="AA38" i="1"/>
  <c r="AA49" i="1" s="1"/>
  <c r="Z38" i="1"/>
  <c r="Z49" i="1" s="1"/>
  <c r="Y38" i="1"/>
  <c r="Y49" i="1" s="1"/>
  <c r="X38" i="1"/>
  <c r="X49" i="1" s="1"/>
  <c r="W38" i="1"/>
  <c r="W49" i="1" s="1"/>
  <c r="V38" i="1"/>
  <c r="V49" i="1" s="1"/>
  <c r="U38" i="1"/>
  <c r="U49" i="1" s="1"/>
  <c r="T38" i="1"/>
  <c r="T49" i="1" s="1"/>
  <c r="S38" i="1"/>
  <c r="S49" i="1" s="1"/>
  <c r="R38" i="1"/>
  <c r="R49" i="1" s="1"/>
  <c r="Q38" i="1"/>
  <c r="Q49" i="1" s="1"/>
  <c r="P38" i="1"/>
  <c r="P49" i="1" s="1"/>
  <c r="O38" i="1"/>
  <c r="O49" i="1" s="1"/>
  <c r="N38" i="1"/>
  <c r="N49" i="1" s="1"/>
  <c r="M38" i="1"/>
  <c r="L38" i="1"/>
  <c r="K38" i="1"/>
  <c r="J38" i="1"/>
  <c r="I38" i="1"/>
  <c r="H38" i="1"/>
  <c r="G38" i="1"/>
  <c r="F38" i="1"/>
  <c r="E38" i="1"/>
  <c r="D38" i="1"/>
  <c r="C38" i="1"/>
  <c r="AW37" i="1"/>
  <c r="AW48" i="1" s="1"/>
  <c r="AV37" i="1"/>
  <c r="AV48" i="1" s="1"/>
  <c r="AS37" i="1"/>
  <c r="AS48" i="1" s="1"/>
  <c r="AR37" i="1"/>
  <c r="AR48" i="1" s="1"/>
  <c r="AQ37" i="1"/>
  <c r="AP37" i="1"/>
  <c r="AO37" i="1"/>
  <c r="AN37" i="1"/>
  <c r="AM37" i="1"/>
  <c r="AL37" i="1"/>
  <c r="AK37" i="1"/>
  <c r="AJ37" i="1"/>
  <c r="AI37" i="1"/>
  <c r="AH37" i="1"/>
  <c r="AG37" i="1"/>
  <c r="AF37" i="1"/>
  <c r="AE37" i="1"/>
  <c r="AE48" i="1" s="1"/>
  <c r="AD37" i="1"/>
  <c r="AD48" i="1" s="1"/>
  <c r="AC37" i="1"/>
  <c r="AC48" i="1" s="1"/>
  <c r="AB37" i="1"/>
  <c r="AB48" i="1" s="1"/>
  <c r="AA37" i="1"/>
  <c r="AA48" i="1" s="1"/>
  <c r="Z37" i="1"/>
  <c r="Z48" i="1" s="1"/>
  <c r="Y37" i="1"/>
  <c r="Y48" i="1" s="1"/>
  <c r="X37" i="1"/>
  <c r="X48" i="1" s="1"/>
  <c r="W37" i="1"/>
  <c r="W48" i="1" s="1"/>
  <c r="V37" i="1"/>
  <c r="V48" i="1" s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I48" i="1" s="1"/>
  <c r="H37" i="1"/>
  <c r="H48" i="1" s="1"/>
  <c r="G37" i="1"/>
  <c r="G48" i="1" s="1"/>
  <c r="F37" i="1"/>
  <c r="E37" i="1"/>
  <c r="D37" i="1"/>
  <c r="C37" i="1"/>
  <c r="AW33" i="1"/>
  <c r="AV33" i="1"/>
  <c r="AS33" i="1"/>
  <c r="AR33" i="1"/>
  <c r="AQ33" i="1"/>
  <c r="AP33" i="1"/>
  <c r="AO33" i="1"/>
  <c r="AN33" i="1"/>
  <c r="AM33" i="1"/>
  <c r="AL33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AW32" i="1"/>
  <c r="AV32" i="1"/>
  <c r="AS32" i="1"/>
  <c r="AR32" i="1"/>
  <c r="AQ32" i="1"/>
  <c r="AP32" i="1"/>
  <c r="AO32" i="1"/>
  <c r="AN32" i="1"/>
  <c r="AM32" i="1"/>
  <c r="AL32" i="1"/>
  <c r="AK32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AW31" i="1"/>
  <c r="AV31" i="1"/>
  <c r="AS31" i="1"/>
  <c r="AR31" i="1"/>
  <c r="AQ31" i="1"/>
  <c r="AP31" i="1"/>
  <c r="AO31" i="1"/>
  <c r="AN31" i="1"/>
  <c r="AM31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AS30" i="1"/>
  <c r="AR30" i="1"/>
  <c r="AQ30" i="1"/>
  <c r="AP30" i="1"/>
  <c r="AO30" i="1"/>
  <c r="AN30" i="1"/>
  <c r="W30" i="1"/>
  <c r="V30" i="1"/>
  <c r="U30" i="1"/>
  <c r="T30" i="1"/>
  <c r="S30" i="1"/>
  <c r="R30" i="1"/>
  <c r="AW28" i="1"/>
  <c r="AV28" i="1"/>
  <c r="AS28" i="1"/>
  <c r="AR28" i="1"/>
  <c r="AQ28" i="1"/>
  <c r="AP28" i="1"/>
  <c r="AO28" i="1"/>
  <c r="AN28" i="1"/>
  <c r="AM28" i="1"/>
  <c r="AL28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AW27" i="1"/>
  <c r="AV27" i="1"/>
  <c r="AS27" i="1"/>
  <c r="AR27" i="1"/>
  <c r="AQ27" i="1"/>
  <c r="AP27" i="1"/>
  <c r="AO27" i="1"/>
  <c r="AN27" i="1"/>
  <c r="AM27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AW26" i="1"/>
  <c r="AV26" i="1"/>
  <c r="AS26" i="1"/>
  <c r="AR26" i="1"/>
  <c r="AQ26" i="1"/>
  <c r="AP26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AQ25" i="1"/>
  <c r="AB25" i="1"/>
  <c r="U25" i="1"/>
  <c r="F25" i="1"/>
  <c r="AW14" i="1"/>
  <c r="AV14" i="1"/>
  <c r="AU14" i="1"/>
  <c r="AS14" i="1"/>
  <c r="AR14" i="1"/>
  <c r="AQ14" i="1"/>
  <c r="AP14" i="1"/>
  <c r="AO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W13" i="1"/>
  <c r="AV13" i="1"/>
  <c r="AU13" i="1"/>
  <c r="AS13" i="1"/>
  <c r="AR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E11" i="1" s="1"/>
  <c r="AD13" i="1"/>
  <c r="AD11" i="1" s="1"/>
  <c r="AC13" i="1"/>
  <c r="AC11" i="1" s="1"/>
  <c r="AB13" i="1"/>
  <c r="AB11" i="1" s="1"/>
  <c r="AA13" i="1"/>
  <c r="AA11" i="1" s="1"/>
  <c r="Z13" i="1"/>
  <c r="Z11" i="1" s="1"/>
  <c r="Y13" i="1"/>
  <c r="Y11" i="1" s="1"/>
  <c r="X13" i="1"/>
  <c r="X11" i="1" s="1"/>
  <c r="W13" i="1"/>
  <c r="W11" i="1" s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I11" i="1" s="1"/>
  <c r="H13" i="1"/>
  <c r="H11" i="1" s="1"/>
  <c r="G13" i="1"/>
  <c r="G11" i="1" s="1"/>
  <c r="F13" i="1"/>
  <c r="F11" i="1" s="1"/>
  <c r="E13" i="1"/>
  <c r="E11" i="1" s="1"/>
  <c r="D13" i="1"/>
  <c r="D11" i="1" s="1"/>
  <c r="C13" i="1"/>
  <c r="C11" i="1" s="1"/>
  <c r="B13" i="1"/>
  <c r="B11" i="1" s="1"/>
  <c r="AW12" i="1"/>
  <c r="AV12" i="1"/>
  <c r="AU12" i="1"/>
  <c r="AS12" i="1"/>
  <c r="AR12" i="1"/>
  <c r="AQ12" i="1"/>
  <c r="AP12" i="1"/>
  <c r="AO12" i="1"/>
  <c r="AN12" i="1"/>
  <c r="AN11" i="1" s="1"/>
  <c r="AM12" i="1"/>
  <c r="AM11" i="1" s="1"/>
  <c r="AL12" i="1"/>
  <c r="AL11" i="1" s="1"/>
  <c r="AK12" i="1"/>
  <c r="AK11" i="1" s="1"/>
  <c r="AJ12" i="1"/>
  <c r="AJ11" i="1" s="1"/>
  <c r="AI12" i="1"/>
  <c r="AI11" i="1" s="1"/>
  <c r="AH12" i="1"/>
  <c r="AH11" i="1" s="1"/>
  <c r="AG12" i="1"/>
  <c r="AG11" i="1" s="1"/>
  <c r="AF12" i="1"/>
  <c r="AF11" i="1" s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R11" i="1" s="1"/>
  <c r="Q12" i="1"/>
  <c r="Q11" i="1" s="1"/>
  <c r="P12" i="1"/>
  <c r="P11" i="1" s="1"/>
  <c r="O12" i="1"/>
  <c r="O11" i="1" s="1"/>
  <c r="N12" i="1"/>
  <c r="N11" i="1" s="1"/>
  <c r="M12" i="1"/>
  <c r="M11" i="1" s="1"/>
  <c r="L12" i="1"/>
  <c r="L11" i="1" s="1"/>
  <c r="K12" i="1"/>
  <c r="K11" i="1" s="1"/>
  <c r="J12" i="1"/>
  <c r="J11" i="1" s="1"/>
  <c r="I12" i="1"/>
  <c r="H12" i="1"/>
  <c r="G12" i="1"/>
  <c r="F12" i="1"/>
  <c r="E12" i="1"/>
  <c r="D12" i="1"/>
  <c r="C12" i="1"/>
  <c r="B12" i="1"/>
  <c r="AS11" i="1"/>
  <c r="AR11" i="1"/>
  <c r="AQ11" i="1"/>
  <c r="AP11" i="1"/>
  <c r="AO11" i="1"/>
  <c r="V11" i="1"/>
  <c r="U11" i="1"/>
  <c r="T11" i="1"/>
  <c r="S11" i="1"/>
  <c r="AW7" i="1"/>
  <c r="AW30" i="1" s="1"/>
  <c r="AV7" i="1"/>
  <c r="AV30" i="1" s="1"/>
  <c r="AU7" i="1"/>
  <c r="AS7" i="1"/>
  <c r="AR7" i="1"/>
  <c r="AQ7" i="1"/>
  <c r="AP7" i="1"/>
  <c r="AO7" i="1"/>
  <c r="AO41" i="1" s="1"/>
  <c r="AN7" i="1"/>
  <c r="AN41" i="1" s="1"/>
  <c r="AM7" i="1"/>
  <c r="AM30" i="1" s="1"/>
  <c r="AL7" i="1"/>
  <c r="AL30" i="1" s="1"/>
  <c r="AK7" i="1"/>
  <c r="AK30" i="1" s="1"/>
  <c r="AJ7" i="1"/>
  <c r="AJ30" i="1" s="1"/>
  <c r="AI7" i="1"/>
  <c r="AI30" i="1" s="1"/>
  <c r="AH7" i="1"/>
  <c r="AH30" i="1" s="1"/>
  <c r="AG7" i="1"/>
  <c r="AG30" i="1" s="1"/>
  <c r="AF7" i="1"/>
  <c r="AF41" i="1" s="1"/>
  <c r="AE7" i="1"/>
  <c r="AE41" i="1" s="1"/>
  <c r="AD7" i="1"/>
  <c r="AD41" i="1" s="1"/>
  <c r="AC7" i="1"/>
  <c r="AC41" i="1" s="1"/>
  <c r="AB7" i="1"/>
  <c r="AB41" i="1" s="1"/>
  <c r="AA7" i="1"/>
  <c r="AA41" i="1" s="1"/>
  <c r="Z7" i="1"/>
  <c r="Z41" i="1" s="1"/>
  <c r="Y7" i="1"/>
  <c r="Y30" i="1" s="1"/>
  <c r="X7" i="1"/>
  <c r="X30" i="1" s="1"/>
  <c r="W7" i="1"/>
  <c r="V7" i="1"/>
  <c r="U7" i="1"/>
  <c r="T7" i="1"/>
  <c r="S7" i="1"/>
  <c r="S41" i="1" s="1"/>
  <c r="R7" i="1"/>
  <c r="R41" i="1" s="1"/>
  <c r="Q7" i="1"/>
  <c r="Q30" i="1" s="1"/>
  <c r="P7" i="1"/>
  <c r="P30" i="1" s="1"/>
  <c r="O7" i="1"/>
  <c r="O41" i="1" s="1"/>
  <c r="N7" i="1"/>
  <c r="N30" i="1" s="1"/>
  <c r="M7" i="1"/>
  <c r="M30" i="1" s="1"/>
  <c r="L7" i="1"/>
  <c r="L30" i="1" s="1"/>
  <c r="K7" i="1"/>
  <c r="K30" i="1" s="1"/>
  <c r="J7" i="1"/>
  <c r="J41" i="1" s="1"/>
  <c r="I7" i="1"/>
  <c r="I41" i="1" s="1"/>
  <c r="H7" i="1"/>
  <c r="H30" i="1" s="1"/>
  <c r="G7" i="1"/>
  <c r="G30" i="1" s="1"/>
  <c r="F7" i="1"/>
  <c r="F41" i="1" s="1"/>
  <c r="E7" i="1"/>
  <c r="E30" i="1" s="1"/>
  <c r="D7" i="1"/>
  <c r="D30" i="1" s="1"/>
  <c r="C7" i="1"/>
  <c r="C41" i="1" s="1"/>
  <c r="B7" i="1"/>
  <c r="AW3" i="1"/>
  <c r="AW25" i="1" s="1"/>
  <c r="AV3" i="1"/>
  <c r="AV25" i="1" s="1"/>
  <c r="AU3" i="1"/>
  <c r="AS3" i="1"/>
  <c r="AR3" i="1"/>
  <c r="AS36" i="1" s="1"/>
  <c r="AQ3" i="1"/>
  <c r="AQ36" i="1" s="1"/>
  <c r="AP3" i="1"/>
  <c r="AO3" i="1"/>
  <c r="AP36" i="1" s="1"/>
  <c r="AN3" i="1"/>
  <c r="AN25" i="1" s="1"/>
  <c r="AM3" i="1"/>
  <c r="AN36" i="1" s="1"/>
  <c r="AL3" i="1"/>
  <c r="AM36" i="1" s="1"/>
  <c r="AK3" i="1"/>
  <c r="AK25" i="1" s="1"/>
  <c r="AJ3" i="1"/>
  <c r="AJ25" i="1" s="1"/>
  <c r="AI3" i="1"/>
  <c r="AI25" i="1" s="1"/>
  <c r="AH3" i="1"/>
  <c r="AH25" i="1" s="1"/>
  <c r="AG3" i="1"/>
  <c r="AG25" i="1" s="1"/>
  <c r="AF3" i="1"/>
  <c r="AG36" i="1" s="1"/>
  <c r="AE3" i="1"/>
  <c r="AF36" i="1" s="1"/>
  <c r="AF47" i="1" s="1"/>
  <c r="AD3" i="1"/>
  <c r="AD25" i="1" s="1"/>
  <c r="AC3" i="1"/>
  <c r="AC36" i="1" s="1"/>
  <c r="AB3" i="1"/>
  <c r="AB36" i="1" s="1"/>
  <c r="AA3" i="1"/>
  <c r="AA25" i="1" s="1"/>
  <c r="Z3" i="1"/>
  <c r="Z25" i="1" s="1"/>
  <c r="Y3" i="1"/>
  <c r="Y25" i="1" s="1"/>
  <c r="X3" i="1"/>
  <c r="Y36" i="1" s="1"/>
  <c r="Y47" i="1" s="1"/>
  <c r="W3" i="1"/>
  <c r="V3" i="1"/>
  <c r="W25" i="1" s="1"/>
  <c r="U3" i="1"/>
  <c r="U36" i="1" s="1"/>
  <c r="T3" i="1"/>
  <c r="S3" i="1"/>
  <c r="T36" i="1" s="1"/>
  <c r="R3" i="1"/>
  <c r="R25" i="1" s="1"/>
  <c r="Q3" i="1"/>
  <c r="Q25" i="1" s="1"/>
  <c r="P3" i="1"/>
  <c r="P25" i="1" s="1"/>
  <c r="O3" i="1"/>
  <c r="O25" i="1" s="1"/>
  <c r="N3" i="1"/>
  <c r="O36" i="1" s="1"/>
  <c r="M3" i="1"/>
  <c r="N36" i="1" s="1"/>
  <c r="L3" i="1"/>
  <c r="M36" i="1" s="1"/>
  <c r="M47" i="1" s="1"/>
  <c r="K3" i="1"/>
  <c r="K25" i="1" s="1"/>
  <c r="J3" i="1"/>
  <c r="J25" i="1" s="1"/>
  <c r="I3" i="1"/>
  <c r="I25" i="1" s="1"/>
  <c r="H3" i="1"/>
  <c r="I36" i="1" s="1"/>
  <c r="G3" i="1"/>
  <c r="G36" i="1" s="1"/>
  <c r="G47" i="1" s="1"/>
  <c r="F3" i="1"/>
  <c r="F36" i="1" s="1"/>
  <c r="E3" i="1"/>
  <c r="E25" i="1" s="1"/>
  <c r="D3" i="1"/>
  <c r="D25" i="1" s="1"/>
  <c r="C3" i="1"/>
  <c r="C25" i="1" s="1"/>
  <c r="B3" i="1"/>
  <c r="C36" i="1" s="1"/>
  <c r="AG47" i="1" l="1"/>
  <c r="AU28" i="1"/>
  <c r="AT28" i="1"/>
  <c r="AU39" i="1"/>
  <c r="AU50" i="1" s="1"/>
  <c r="AX50" i="1" s="1"/>
  <c r="AN47" i="1"/>
  <c r="AT9" i="1"/>
  <c r="I47" i="1"/>
  <c r="N47" i="1"/>
  <c r="O47" i="1"/>
  <c r="AT49" i="1"/>
  <c r="AT38" i="1" s="1"/>
  <c r="AT5" i="1" s="1"/>
  <c r="AB47" i="1"/>
  <c r="AW21" i="2"/>
  <c r="AX21" i="2" s="1"/>
  <c r="AP47" i="1"/>
  <c r="AS47" i="1"/>
  <c r="AC47" i="1"/>
  <c r="AE36" i="1"/>
  <c r="AE47" i="1" s="1"/>
  <c r="L36" i="1"/>
  <c r="AU11" i="1"/>
  <c r="AJ36" i="1"/>
  <c r="AJ47" i="1" s="1"/>
  <c r="M25" i="1"/>
  <c r="Q36" i="1"/>
  <c r="AO48" i="1"/>
  <c r="BB3" i="2"/>
  <c r="AT42" i="1"/>
  <c r="AT8" i="1" s="1"/>
  <c r="S25" i="1"/>
  <c r="AO25" i="1"/>
  <c r="I30" i="1"/>
  <c r="AE30" i="1"/>
  <c r="K41" i="1"/>
  <c r="AG41" i="1"/>
  <c r="AT41" i="1" s="1"/>
  <c r="AT7" i="1" s="1"/>
  <c r="J36" i="1"/>
  <c r="J47" i="1" s="1"/>
  <c r="AI36" i="1"/>
  <c r="AI47" i="1" s="1"/>
  <c r="Y41" i="1"/>
  <c r="C30" i="1"/>
  <c r="AK36" i="1"/>
  <c r="AK47" i="1" s="1"/>
  <c r="AW41" i="1"/>
  <c r="AI49" i="1"/>
  <c r="F30" i="1"/>
  <c r="H41" i="1"/>
  <c r="AO36" i="1"/>
  <c r="AO47" i="1" s="1"/>
  <c r="AQ48" i="1"/>
  <c r="AD30" i="1"/>
  <c r="T25" i="1"/>
  <c r="AP25" i="1"/>
  <c r="J30" i="1"/>
  <c r="AF30" i="1"/>
  <c r="V36" i="1"/>
  <c r="V47" i="1" s="1"/>
  <c r="AR36" i="1"/>
  <c r="AR47" i="1" s="1"/>
  <c r="L41" i="1"/>
  <c r="AH41" i="1"/>
  <c r="L25" i="1"/>
  <c r="E41" i="1"/>
  <c r="AC25" i="1"/>
  <c r="AF25" i="1"/>
  <c r="AV41" i="1"/>
  <c r="AA30" i="1"/>
  <c r="G41" i="1"/>
  <c r="AB30" i="1"/>
  <c r="R36" i="1"/>
  <c r="AP48" i="1"/>
  <c r="M41" i="1"/>
  <c r="AI41" i="1"/>
  <c r="V25" i="1"/>
  <c r="AR25" i="1"/>
  <c r="X36" i="1"/>
  <c r="X47" i="1" s="1"/>
  <c r="N41" i="1"/>
  <c r="AJ41" i="1"/>
  <c r="H36" i="1"/>
  <c r="AE25" i="1"/>
  <c r="AH36" i="1"/>
  <c r="AH47" i="1" s="1"/>
  <c r="X41" i="1"/>
  <c r="D41" i="1"/>
  <c r="AV11" i="1"/>
  <c r="N25" i="1"/>
  <c r="P36" i="1"/>
  <c r="P47" i="1" s="1"/>
  <c r="S36" i="1"/>
  <c r="S47" i="1" s="1"/>
  <c r="K36" i="1"/>
  <c r="K47" i="1" s="1"/>
  <c r="AW11" i="1"/>
  <c r="Z30" i="1"/>
  <c r="W36" i="1"/>
  <c r="W47" i="1" s="1"/>
  <c r="AS25" i="1"/>
  <c r="X25" i="1"/>
  <c r="D36" i="1"/>
  <c r="Z36" i="1"/>
  <c r="Z47" i="1" s="1"/>
  <c r="AV36" i="1"/>
  <c r="AV47" i="1" s="1"/>
  <c r="P41" i="1"/>
  <c r="T47" i="1" s="1"/>
  <c r="AL41" i="1"/>
  <c r="H25" i="1"/>
  <c r="AL36" i="1"/>
  <c r="AL47" i="1" s="1"/>
  <c r="AN48" i="1"/>
  <c r="AT48" i="1" s="1"/>
  <c r="AL25" i="1"/>
  <c r="AC30" i="1"/>
  <c r="AK41" i="1"/>
  <c r="O30" i="1"/>
  <c r="E36" i="1"/>
  <c r="AA36" i="1"/>
  <c r="AA47" i="1" s="1"/>
  <c r="AW36" i="1"/>
  <c r="AW47" i="1" s="1"/>
  <c r="Q41" i="1"/>
  <c r="U47" i="1" s="1"/>
  <c r="AM41" i="1"/>
  <c r="AQ47" i="1" s="1"/>
  <c r="AD36" i="1"/>
  <c r="AD47" i="1" s="1"/>
  <c r="AT44" i="1"/>
  <c r="AT10" i="1" s="1"/>
  <c r="AT14" i="1" s="1"/>
  <c r="AM25" i="1"/>
  <c r="G25" i="1"/>
  <c r="AT30" i="1" l="1"/>
  <c r="AU41" i="1"/>
  <c r="AX41" i="1" s="1"/>
  <c r="AU30" i="1"/>
  <c r="AT37" i="1"/>
  <c r="AT4" i="1" s="1"/>
  <c r="AX39" i="1"/>
  <c r="AX6" i="1" s="1"/>
  <c r="BA50" i="1"/>
  <c r="BA39" i="1" s="1"/>
  <c r="R47" i="1"/>
  <c r="L47" i="1"/>
  <c r="AT27" i="1"/>
  <c r="AT13" i="1"/>
  <c r="AU38" i="1"/>
  <c r="AU49" i="1" s="1"/>
  <c r="AU27" i="1"/>
  <c r="AU31" i="1"/>
  <c r="AT31" i="1"/>
  <c r="AU42" i="1"/>
  <c r="AT47" i="1"/>
  <c r="AT36" i="1" s="1"/>
  <c r="AT3" i="1" s="1"/>
  <c r="AX44" i="1"/>
  <c r="AX10" i="1" s="1"/>
  <c r="AY50" i="1"/>
  <c r="AY39" i="1" s="1"/>
  <c r="AM47" i="1"/>
  <c r="AU43" i="1"/>
  <c r="AU32" i="1"/>
  <c r="AT32" i="1"/>
  <c r="AY21" i="2"/>
  <c r="Q47" i="1"/>
  <c r="AU33" i="1"/>
  <c r="AT33" i="1"/>
  <c r="AU44" i="1"/>
  <c r="AZ50" i="1"/>
  <c r="AZ39" i="1" s="1"/>
  <c r="H47" i="1"/>
  <c r="AX7" i="1" l="1"/>
  <c r="AY41" i="1"/>
  <c r="AZ41" i="1" s="1"/>
  <c r="AZ21" i="2"/>
  <c r="BA21" i="2" s="1"/>
  <c r="BB21" i="2" s="1"/>
  <c r="AT25" i="1"/>
  <c r="AU36" i="1"/>
  <c r="AU47" i="1" s="1"/>
  <c r="AT11" i="1"/>
  <c r="AU25" i="1"/>
  <c r="AX28" i="1"/>
  <c r="AY6" i="1"/>
  <c r="AX14" i="1"/>
  <c r="AX33" i="1"/>
  <c r="AX49" i="1"/>
  <c r="AX38" i="1" s="1"/>
  <c r="AX5" i="1" s="1"/>
  <c r="AX42" i="1"/>
  <c r="AX8" i="1" s="1"/>
  <c r="AY42" i="1"/>
  <c r="AX43" i="1"/>
  <c r="AX9" i="1" s="1"/>
  <c r="AY43" i="1"/>
  <c r="AZ43" i="1" s="1"/>
  <c r="AU26" i="1"/>
  <c r="AU37" i="1"/>
  <c r="AU48" i="1" s="1"/>
  <c r="AT12" i="1"/>
  <c r="AT26" i="1"/>
  <c r="BB50" i="1"/>
  <c r="BB39" i="1" s="1"/>
  <c r="AY44" i="1"/>
  <c r="AY8" i="1" l="1"/>
  <c r="AX31" i="1"/>
  <c r="BA41" i="1"/>
  <c r="BB41" i="1"/>
  <c r="AY7" i="1"/>
  <c r="AX30" i="1"/>
  <c r="AZ44" i="1"/>
  <c r="BA43" i="1"/>
  <c r="BB43" i="1" s="1"/>
  <c r="AX47" i="1"/>
  <c r="AY47" i="1" s="1"/>
  <c r="AZ42" i="1"/>
  <c r="AY49" i="1"/>
  <c r="AX48" i="1"/>
  <c r="AX37" i="1" s="1"/>
  <c r="AX4" i="1" s="1"/>
  <c r="AX32" i="1"/>
  <c r="AY9" i="1"/>
  <c r="AX13" i="1"/>
  <c r="AX27" i="1"/>
  <c r="AY10" i="1"/>
  <c r="AY14" i="1"/>
  <c r="AZ6" i="1"/>
  <c r="AY28" i="1"/>
  <c r="AY36" i="1" l="1"/>
  <c r="AZ47" i="1"/>
  <c r="AZ36" i="1" s="1"/>
  <c r="BA6" i="1"/>
  <c r="AZ28" i="1"/>
  <c r="AZ14" i="1"/>
  <c r="AX36" i="1"/>
  <c r="AX3" i="1" s="1"/>
  <c r="BA47" i="1"/>
  <c r="BA36" i="1" s="1"/>
  <c r="BA44" i="1"/>
  <c r="BB44" i="1" s="1"/>
  <c r="AY48" i="1"/>
  <c r="AY31" i="1"/>
  <c r="AZ8" i="1"/>
  <c r="AX12" i="1"/>
  <c r="AX26" i="1"/>
  <c r="AY30" i="1"/>
  <c r="AZ7" i="1"/>
  <c r="AZ9" i="1"/>
  <c r="AY32" i="1"/>
  <c r="BA42" i="1"/>
  <c r="BB42" i="1" s="1"/>
  <c r="AY38" i="1"/>
  <c r="AY5" i="1" s="1"/>
  <c r="AZ49" i="1"/>
  <c r="AZ38" i="1" s="1"/>
  <c r="BA49" i="1"/>
  <c r="BA38" i="1" s="1"/>
  <c r="AZ10" i="1"/>
  <c r="AY33" i="1"/>
  <c r="BB47" i="1" l="1"/>
  <c r="BB36" i="1" s="1"/>
  <c r="BB49" i="1"/>
  <c r="BB38" i="1" s="1"/>
  <c r="AZ30" i="1"/>
  <c r="BA7" i="1"/>
  <c r="AZ31" i="1"/>
  <c r="BA8" i="1"/>
  <c r="AY37" i="1"/>
  <c r="AY4" i="1" s="1"/>
  <c r="AZ48" i="1"/>
  <c r="AX11" i="1"/>
  <c r="AY3" i="1"/>
  <c r="AX25" i="1"/>
  <c r="BA9" i="1"/>
  <c r="AZ32" i="1"/>
  <c r="BA10" i="1"/>
  <c r="AZ33" i="1"/>
  <c r="BB6" i="1"/>
  <c r="BA14" i="1"/>
  <c r="BA28" i="1"/>
  <c r="AY13" i="1"/>
  <c r="AY27" i="1"/>
  <c r="AZ5" i="1"/>
  <c r="AZ13" i="1" l="1"/>
  <c r="AZ27" i="1"/>
  <c r="BA5" i="1"/>
  <c r="BB28" i="1"/>
  <c r="BB10" i="1"/>
  <c r="BB33" i="1" s="1"/>
  <c r="BA33" i="1"/>
  <c r="BB9" i="1"/>
  <c r="BB32" i="1" s="1"/>
  <c r="BA32" i="1"/>
  <c r="AY11" i="1"/>
  <c r="AY25" i="1"/>
  <c r="AZ3" i="1"/>
  <c r="AZ37" i="1"/>
  <c r="BA48" i="1"/>
  <c r="AY26" i="1"/>
  <c r="AY12" i="1"/>
  <c r="AZ4" i="1"/>
  <c r="BA31" i="1"/>
  <c r="BB8" i="1"/>
  <c r="BB31" i="1" s="1"/>
  <c r="BB7" i="1"/>
  <c r="BB30" i="1" s="1"/>
  <c r="BA30" i="1"/>
  <c r="BA37" i="1" l="1"/>
  <c r="BB48" i="1"/>
  <c r="BB37" i="1" s="1"/>
  <c r="BB14" i="1"/>
  <c r="AZ26" i="1"/>
  <c r="AZ12" i="1"/>
  <c r="BA4" i="1"/>
  <c r="AZ11" i="1"/>
  <c r="AZ25" i="1"/>
  <c r="BA3" i="1"/>
  <c r="BA13" i="1"/>
  <c r="BA27" i="1"/>
  <c r="BB5" i="1"/>
  <c r="BB13" i="1" l="1"/>
  <c r="BB27" i="1"/>
  <c r="BA11" i="1"/>
  <c r="BA25" i="1"/>
  <c r="BB3" i="1"/>
  <c r="BA12" i="1"/>
  <c r="BA26" i="1"/>
  <c r="BB4" i="1"/>
  <c r="BB26" i="1" l="1"/>
  <c r="BB12" i="1"/>
  <c r="BB25" i="1"/>
  <c r="BB11" i="1"/>
  <c r="AY20" i="2" l="1"/>
  <c r="AZ20" i="2"/>
  <c r="BA20" i="2" l="1"/>
  <c r="AZ53" i="2"/>
  <c r="AY53" i="2"/>
  <c r="BA53" i="2" l="1"/>
  <c r="BB20" i="2"/>
  <c r="BB53" i="2" s="1"/>
</calcChain>
</file>

<file path=xl/sharedStrings.xml><?xml version="1.0" encoding="utf-8"?>
<sst xmlns="http://schemas.openxmlformats.org/spreadsheetml/2006/main" count="102" uniqueCount="57">
  <si>
    <t>Calendar Year</t>
  </si>
  <si>
    <t>MALAYSIA PALM OIL AREA (1,000 Hectares)</t>
  </si>
  <si>
    <t>Mature Planted Area</t>
  </si>
  <si>
    <t xml:space="preserve">    P. Malaysia</t>
  </si>
  <si>
    <t xml:space="preserve">    Sabah</t>
  </si>
  <si>
    <t xml:space="preserve">    Sarawak</t>
  </si>
  <si>
    <t>Immature Planted Area</t>
  </si>
  <si>
    <t>Total Planted Area</t>
  </si>
  <si>
    <t>Source: MPOB</t>
  </si>
  <si>
    <t>MPOB Planted Area Reports</t>
  </si>
  <si>
    <t>* trees typically take 3 - 4 years to mature</t>
  </si>
  <si>
    <t>Calendar Year Production and Yield</t>
  </si>
  <si>
    <t>Production</t>
  </si>
  <si>
    <t>Yield</t>
  </si>
  <si>
    <t>Change in Yr/Yr Production</t>
  </si>
  <si>
    <t>Percent Change in Mature Area</t>
  </si>
  <si>
    <t>Percent Change in Immature Area</t>
  </si>
  <si>
    <t>Yr/Yr Change in Mature Area</t>
  </si>
  <si>
    <t>Yr/Yr Change in Immature Area</t>
  </si>
  <si>
    <t>Change in Mature Area Less Change in Immature Area (t - 4)</t>
  </si>
  <si>
    <t>INDONESIA PALM OIL AREA (1,000 Hectares)</t>
  </si>
  <si>
    <t>Palm Oil</t>
  </si>
  <si>
    <t>92/93</t>
  </si>
  <si>
    <t>Marketing Year Production</t>
  </si>
  <si>
    <t>Directorate General of Estate Crops</t>
  </si>
  <si>
    <t>Old</t>
  </si>
  <si>
    <t>Prime</t>
  </si>
  <si>
    <t>Young</t>
  </si>
  <si>
    <t>Immature</t>
  </si>
  <si>
    <t>Total</t>
  </si>
  <si>
    <t>Riau</t>
  </si>
  <si>
    <t>Sumatera Utara</t>
  </si>
  <si>
    <t>Kalimantan Tengah</t>
  </si>
  <si>
    <t>Kalimantan Barat</t>
  </si>
  <si>
    <t>Kalimantan Timur</t>
  </si>
  <si>
    <t>Sumatera Selatan</t>
  </si>
  <si>
    <t>Jambi</t>
  </si>
  <si>
    <t>Kalimantan Selatan</t>
  </si>
  <si>
    <t>Sumatera Barat</t>
  </si>
  <si>
    <t>Lampung</t>
  </si>
  <si>
    <t>Kalimantan Utara</t>
  </si>
  <si>
    <t>Aceh</t>
  </si>
  <si>
    <t>Bengkulu</t>
  </si>
  <si>
    <t>Bangka-Belitung</t>
  </si>
  <si>
    <t>Sulawesi Tengah</t>
  </si>
  <si>
    <t>Sulawesi Tenggara</t>
  </si>
  <si>
    <t>Sulawesi Barat</t>
  </si>
  <si>
    <t>Sulawesi Selatan</t>
  </si>
  <si>
    <t>Papua Barat</t>
  </si>
  <si>
    <t>Papua</t>
  </si>
  <si>
    <t>Banten</t>
  </si>
  <si>
    <t>Jawa Barat</t>
  </si>
  <si>
    <t>Maluku</t>
  </si>
  <si>
    <t>Kepulauan Riau</t>
  </si>
  <si>
    <t>Gorontalo</t>
  </si>
  <si>
    <t>Indonesia</t>
  </si>
  <si>
    <t>DGEC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</si>
</sst>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);[Red]\(0\)"/>
    <numFmt numFmtId="165" formatCode="0.0%"/>
    <numFmt numFmtId="166" formatCode="#,##0.0_);[Red]\(#,##0.0\)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Display"/>
      <family val="2"/>
    </font>
    <font>
      <sz val="10"/>
      <name val="MS Sans Serif"/>
      <family val="2"/>
    </font>
    <font>
      <b/>
      <sz val="11"/>
      <name val="Bahnschrift SemiBold"/>
      <family val="2"/>
    </font>
    <font>
      <sz val="11"/>
      <color theme="0"/>
      <name val="Aptos Display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1"/>
      <color rgb="FF0070C0"/>
      <name val="Aptos Display"/>
      <family val="2"/>
    </font>
    <font>
      <sz val="11"/>
      <color theme="1"/>
      <name val="Bahnschrift SemiBold"/>
      <family val="2"/>
    </font>
    <font>
      <b/>
      <sz val="10"/>
      <name val="Arial Narrow"/>
      <family val="2"/>
    </font>
    <font>
      <sz val="11"/>
      <name val="Bahnschrift SemiBold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u/>
      <sz val="11"/>
      <color rgb="FF0070C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E9A44"/>
        <bgColor indexed="64"/>
      </patternFill>
    </fill>
  </fills>
  <borders count="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rgb="FF8E9A44"/>
      </top>
      <bottom/>
      <diagonal/>
    </border>
    <border>
      <left/>
      <right/>
      <top/>
      <bottom style="medium">
        <color rgb="FF8E9A44"/>
      </bottom>
      <diagonal/>
    </border>
    <border>
      <left/>
      <right/>
      <top/>
      <bottom style="thick">
        <color rgb="FF8E9A44"/>
      </bottom>
      <diagonal/>
    </border>
    <border>
      <left/>
      <right/>
      <top style="thick">
        <color rgb="FF8E9A44"/>
      </top>
      <bottom/>
      <diagonal/>
    </border>
    <border>
      <left/>
      <right/>
      <top style="medium">
        <color rgb="FF335163"/>
      </top>
      <bottom/>
      <diagonal/>
    </border>
    <border>
      <left/>
      <right/>
      <top style="thin">
        <color rgb="FF8E9A4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0" fontId="5" fillId="0" borderId="0" applyFont="0" applyFill="0" applyBorder="0" applyAlignment="0" applyProtection="0"/>
  </cellStyleXfs>
  <cellXfs count="45">
    <xf numFmtId="0" fontId="0" fillId="0" borderId="0" xfId="0"/>
    <xf numFmtId="0" fontId="4" fillId="0" borderId="0" xfId="0" applyFont="1"/>
    <xf numFmtId="164" fontId="6" fillId="0" borderId="1" xfId="3" quotePrefix="1" applyNumberFormat="1" applyFont="1" applyFill="1" applyBorder="1" applyAlignment="1" applyProtection="1">
      <alignment horizontal="right"/>
    </xf>
    <xf numFmtId="0" fontId="7" fillId="2" borderId="0" xfId="0" applyFont="1" applyFill="1"/>
    <xf numFmtId="0" fontId="2" fillId="2" borderId="0" xfId="0" applyFont="1" applyFill="1"/>
    <xf numFmtId="38" fontId="8" fillId="0" borderId="0" xfId="0" applyNumberFormat="1" applyFont="1"/>
    <xf numFmtId="38" fontId="9" fillId="0" borderId="0" xfId="0" applyNumberFormat="1" applyFont="1"/>
    <xf numFmtId="0" fontId="4" fillId="0" borderId="2" xfId="0" applyFont="1" applyBorder="1"/>
    <xf numFmtId="38" fontId="8" fillId="0" borderId="2" xfId="0" applyNumberFormat="1" applyFont="1" applyBorder="1"/>
    <xf numFmtId="38" fontId="9" fillId="0" borderId="2" xfId="0" applyNumberFormat="1" applyFont="1" applyBorder="1"/>
    <xf numFmtId="38" fontId="8" fillId="0" borderId="3" xfId="0" applyNumberFormat="1" applyFont="1" applyBorder="1"/>
    <xf numFmtId="38" fontId="9" fillId="0" borderId="3" xfId="0" applyNumberFormat="1" applyFont="1" applyBorder="1"/>
    <xf numFmtId="38" fontId="8" fillId="0" borderId="4" xfId="0" applyNumberFormat="1" applyFont="1" applyBorder="1"/>
    <xf numFmtId="38" fontId="9" fillId="0" borderId="4" xfId="0" applyNumberFormat="1" applyFont="1" applyBorder="1"/>
    <xf numFmtId="0" fontId="4" fillId="0" borderId="5" xfId="0" applyFont="1" applyBorder="1"/>
    <xf numFmtId="0" fontId="0" fillId="0" borderId="5" xfId="0" applyBorder="1"/>
    <xf numFmtId="0" fontId="10" fillId="0" borderId="0" xfId="2" applyFont="1" applyFill="1" applyBorder="1"/>
    <xf numFmtId="38" fontId="0" fillId="0" borderId="0" xfId="0" applyNumberFormat="1"/>
    <xf numFmtId="0" fontId="0" fillId="0" borderId="2" xfId="0" applyBorder="1"/>
    <xf numFmtId="0" fontId="11" fillId="0" borderId="2" xfId="0" applyFont="1" applyBorder="1"/>
    <xf numFmtId="165" fontId="8" fillId="0" borderId="2" xfId="1" applyNumberFormat="1" applyFont="1" applyBorder="1"/>
    <xf numFmtId="165" fontId="9" fillId="0" borderId="2" xfId="1" applyNumberFormat="1" applyFont="1" applyBorder="1"/>
    <xf numFmtId="165" fontId="8" fillId="0" borderId="0" xfId="1" applyNumberFormat="1" applyFont="1" applyBorder="1"/>
    <xf numFmtId="165" fontId="9" fillId="0" borderId="0" xfId="1" applyNumberFormat="1" applyFont="1" applyBorder="1"/>
    <xf numFmtId="0" fontId="8" fillId="0" borderId="2" xfId="0" applyFont="1" applyBorder="1"/>
    <xf numFmtId="0" fontId="8" fillId="0" borderId="0" xfId="0" applyFont="1"/>
    <xf numFmtId="9" fontId="8" fillId="0" borderId="0" xfId="1" applyFont="1"/>
    <xf numFmtId="9" fontId="9" fillId="0" borderId="0" xfId="1" applyFont="1" applyBorder="1"/>
    <xf numFmtId="0" fontId="11" fillId="0" borderId="0" xfId="0" applyFont="1"/>
    <xf numFmtId="164" fontId="12" fillId="0" borderId="1" xfId="3" quotePrefix="1" applyNumberFormat="1" applyFont="1" applyFill="1" applyBorder="1" applyAlignment="1" applyProtection="1">
      <alignment horizontal="right"/>
    </xf>
    <xf numFmtId="0" fontId="13" fillId="0" borderId="0" xfId="0" applyFont="1"/>
    <xf numFmtId="0" fontId="11" fillId="0" borderId="6" xfId="0" applyFont="1" applyBorder="1"/>
    <xf numFmtId="0" fontId="0" fillId="0" borderId="6" xfId="0" applyBorder="1"/>
    <xf numFmtId="38" fontId="14" fillId="0" borderId="6" xfId="0" applyNumberFormat="1" applyFont="1" applyBorder="1"/>
    <xf numFmtId="38" fontId="15" fillId="0" borderId="6" xfId="0" applyNumberFormat="1" applyFont="1" applyBorder="1"/>
    <xf numFmtId="0" fontId="11" fillId="0" borderId="7" xfId="0" applyFont="1" applyBorder="1"/>
    <xf numFmtId="0" fontId="0" fillId="0" borderId="7" xfId="0" applyBorder="1"/>
    <xf numFmtId="0" fontId="16" fillId="0" borderId="0" xfId="2" applyFont="1" applyFill="1" applyBorder="1"/>
    <xf numFmtId="40" fontId="14" fillId="0" borderId="0" xfId="0" applyNumberFormat="1" applyFont="1"/>
    <xf numFmtId="0" fontId="14" fillId="0" borderId="0" xfId="0" applyFont="1"/>
    <xf numFmtId="0" fontId="14" fillId="0" borderId="0" xfId="0" applyFont="1" applyAlignment="1">
      <alignment horizontal="center"/>
    </xf>
    <xf numFmtId="38" fontId="14" fillId="0" borderId="0" xfId="0" applyNumberFormat="1" applyFont="1" applyAlignment="1">
      <alignment horizontal="center"/>
    </xf>
    <xf numFmtId="38" fontId="14" fillId="0" borderId="0" xfId="0" applyNumberFormat="1" applyFont="1"/>
    <xf numFmtId="0" fontId="11" fillId="0" borderId="0" xfId="0" applyFont="1" applyAlignment="1">
      <alignment horizontal="center"/>
    </xf>
    <xf numFmtId="166" fontId="14" fillId="0" borderId="0" xfId="0" applyNumberFormat="1" applyFont="1"/>
  </cellXfs>
  <cellStyles count="4">
    <cellStyle name="Comma_sbusbal" xfId="3" xr:uid="{C716E48C-506E-43EC-9AA6-EBB427351DEF}"/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RLC%20Documents\Models\Oilseeds\World%20Lauric%20Oils%20Balance%20Sheets.xlsx" TargetMode="External"/><Relationship Id="rId1" Type="http://schemas.openxmlformats.org/officeDocument/2006/relationships/externalLinkPath" Target="World%20Lauric%20Oils%20Balance%20Shee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ture Planted Area"/>
      <sheetName val="Oil Yield"/>
      <sheetName val="Malaysia PO Extraction Rates"/>
      <sheetName val="Malaysian Palm USDA Comp"/>
      <sheetName val="SE Asia Palm Complex"/>
      <sheetName val="Malaysian BD Exports"/>
      <sheetName val="Malaysian PO Imports"/>
      <sheetName val="Indo PO Exports to Malaysia"/>
      <sheetName val="Malaysian Export Chart"/>
      <sheetName val="Malaysian Stocks Chart"/>
      <sheetName val="Malaysian Production Chart"/>
      <sheetName val="Malaysia Domestic Usage Chart"/>
      <sheetName val="Chart2"/>
      <sheetName val="Malaysia Palm Complex"/>
      <sheetName val="Malaysian Cargo Surveys"/>
      <sheetName val="Indonesia Domestic Use chart"/>
      <sheetName val="Indonesia Palm Complex"/>
      <sheetName val="Philippines Copra Complex"/>
      <sheetName val="Indonesia Copra Complex"/>
      <sheetName val="Indonesia Monthly Dom Use"/>
      <sheetName val="SE Asia Monthly Production"/>
      <sheetName val="Indonesia Monthly Production"/>
      <sheetName val="SE Asia Monthly Exports"/>
      <sheetName val="Indonesia Monthly Exports"/>
      <sheetName val="Indonesia Exports by Region"/>
      <sheetName val="SE Asian PO Exports by Country"/>
      <sheetName val="Indonesia Mth Exp to W Hemi"/>
      <sheetName val="Malaysia Monthly Production"/>
      <sheetName val="Malaysia Monthly Exports"/>
      <sheetName val="Malaysia Monthly Stocks"/>
      <sheetName val="Malaysia PO Monthly Bal"/>
      <sheetName val="Malaysia PKO Monthly Bal"/>
      <sheetName val="MPOB Report Breakdown"/>
      <sheetName val="Chart3"/>
      <sheetName val="SBO-PO spread"/>
      <sheetName val="Chart1"/>
    </sheetNames>
    <sheetDataSet>
      <sheetData sheetId="3"/>
      <sheetData sheetId="4"/>
      <sheetData sheetId="13"/>
      <sheetData sheetId="14"/>
      <sheetData sheetId="16">
        <row r="10">
          <cell r="X10">
            <v>33553.486150311641</v>
          </cell>
          <cell r="Y10">
            <v>40025</v>
          </cell>
          <cell r="Z10">
            <v>47211</v>
          </cell>
          <cell r="AA10">
            <v>51888</v>
          </cell>
          <cell r="AB10">
            <v>50080</v>
          </cell>
          <cell r="AC10">
            <v>52025</v>
          </cell>
        </row>
        <row r="55">
          <cell r="B55" t="str">
            <v xml:space="preserve">93/94 </v>
          </cell>
          <cell r="C55" t="str">
            <v xml:space="preserve">94/95 </v>
          </cell>
          <cell r="D55" t="str">
            <v xml:space="preserve">95/96 </v>
          </cell>
          <cell r="E55" t="str">
            <v xml:space="preserve">96/97 </v>
          </cell>
          <cell r="F55" t="str">
            <v xml:space="preserve">97/98 </v>
          </cell>
          <cell r="G55" t="str">
            <v xml:space="preserve">98/99 </v>
          </cell>
          <cell r="H55" t="str">
            <v xml:space="preserve">99/00 </v>
          </cell>
          <cell r="I55" t="str">
            <v xml:space="preserve">00/01 </v>
          </cell>
          <cell r="J55" t="str">
            <v xml:space="preserve">01/02 </v>
          </cell>
          <cell r="K55" t="str">
            <v xml:space="preserve">02/03 </v>
          </cell>
          <cell r="L55" t="str">
            <v xml:space="preserve">03/04 </v>
          </cell>
          <cell r="M55" t="str">
            <v xml:space="preserve">04/05 </v>
          </cell>
          <cell r="N55" t="str">
            <v xml:space="preserve">05/06 </v>
          </cell>
          <cell r="O55" t="str">
            <v xml:space="preserve">06/07 </v>
          </cell>
          <cell r="P55" t="str">
            <v xml:space="preserve">07/08 </v>
          </cell>
          <cell r="Q55" t="str">
            <v xml:space="preserve">08/09 </v>
          </cell>
          <cell r="R55" t="str">
            <v xml:space="preserve">09/10 </v>
          </cell>
          <cell r="S55" t="str">
            <v xml:space="preserve">10/11 </v>
          </cell>
          <cell r="T55" t="str">
            <v xml:space="preserve">11/12 </v>
          </cell>
          <cell r="U55" t="str">
            <v xml:space="preserve">12/13 </v>
          </cell>
          <cell r="V55" t="str">
            <v xml:space="preserve">13/14 </v>
          </cell>
          <cell r="W55" t="str">
            <v xml:space="preserve">14/15 </v>
          </cell>
          <cell r="X55" t="str">
            <v xml:space="preserve">15/16 </v>
          </cell>
          <cell r="Y55" t="str">
            <v xml:space="preserve">16/17 </v>
          </cell>
          <cell r="Z55" t="str">
            <v xml:space="preserve">17/18 </v>
          </cell>
          <cell r="AA55" t="str">
            <v xml:space="preserve">18/19 </v>
          </cell>
          <cell r="AB55" t="str">
            <v>19/20</v>
          </cell>
          <cell r="AC55" t="str">
            <v>20/21</v>
          </cell>
          <cell r="AD55" t="str">
            <v xml:space="preserve">21/22  </v>
          </cell>
          <cell r="AE55" t="str">
            <v xml:space="preserve">22/23  </v>
          </cell>
          <cell r="AF55" t="str">
            <v xml:space="preserve">23/24  </v>
          </cell>
          <cell r="AG55" t="str">
            <v xml:space="preserve">24/25  </v>
          </cell>
          <cell r="AH55" t="str">
            <v xml:space="preserve">25/26  </v>
          </cell>
          <cell r="AI55" t="str">
            <v xml:space="preserve">26/27  </v>
          </cell>
        </row>
        <row r="56">
          <cell r="Y56">
            <v>3550.0000000000005</v>
          </cell>
          <cell r="Z56">
            <v>4156</v>
          </cell>
          <cell r="AA56">
            <v>4511</v>
          </cell>
          <cell r="AB56">
            <v>4519</v>
          </cell>
          <cell r="AC56">
            <v>5242</v>
          </cell>
          <cell r="AD56">
            <v>4412</v>
          </cell>
          <cell r="AE56">
            <v>5000</v>
          </cell>
          <cell r="AF56">
            <v>4953</v>
          </cell>
          <cell r="AG56">
            <v>4843</v>
          </cell>
          <cell r="AH56" t="e">
            <v>#REF!</v>
          </cell>
          <cell r="AI56" t="e">
            <v>#REF!</v>
          </cell>
        </row>
        <row r="57">
          <cell r="Y57">
            <v>3438</v>
          </cell>
          <cell r="Z57">
            <v>4168</v>
          </cell>
          <cell r="AA57">
            <v>4163</v>
          </cell>
          <cell r="AB57">
            <v>4017.0000000000005</v>
          </cell>
          <cell r="AC57">
            <v>4588</v>
          </cell>
          <cell r="AD57">
            <v>4378</v>
          </cell>
          <cell r="AE57">
            <v>4935</v>
          </cell>
          <cell r="AF57">
            <v>4693.0000000000009</v>
          </cell>
          <cell r="AG57">
            <v>4745</v>
          </cell>
          <cell r="AH57" t="e">
            <v>#REF!</v>
          </cell>
          <cell r="AI57" t="e">
            <v>#REF!</v>
          </cell>
        </row>
        <row r="58">
          <cell r="Y58">
            <v>3152</v>
          </cell>
          <cell r="Z58">
            <v>3803</v>
          </cell>
          <cell r="AA58">
            <v>3679.0000000000005</v>
          </cell>
          <cell r="AB58">
            <v>3797</v>
          </cell>
          <cell r="AC58">
            <v>4048</v>
          </cell>
          <cell r="AD58">
            <v>4363</v>
          </cell>
          <cell r="AE58">
            <v>4717</v>
          </cell>
          <cell r="AF58">
            <v>4376</v>
          </cell>
          <cell r="AG58" t="e">
            <v>#REF!</v>
          </cell>
          <cell r="AH58" t="e">
            <v>#REF!</v>
          </cell>
          <cell r="AI58" t="e">
            <v>#REF!</v>
          </cell>
          <cell r="AJ58">
            <v>-2.0235391286392734E-2</v>
          </cell>
        </row>
        <row r="59">
          <cell r="X59">
            <v>2991</v>
          </cell>
          <cell r="Y59">
            <v>2859</v>
          </cell>
          <cell r="Z59">
            <v>3411</v>
          </cell>
          <cell r="AA59">
            <v>4379</v>
          </cell>
          <cell r="AB59">
            <v>3810</v>
          </cell>
          <cell r="AC59">
            <v>3755</v>
          </cell>
          <cell r="AD59">
            <v>4228</v>
          </cell>
          <cell r="AE59">
            <v>4261</v>
          </cell>
          <cell r="AF59">
            <v>4634</v>
          </cell>
          <cell r="AG59" t="e">
            <v>#REF!</v>
          </cell>
          <cell r="AH59" t="e">
            <v>#REF!</v>
          </cell>
          <cell r="AI59" t="e">
            <v>#REF!</v>
          </cell>
        </row>
        <row r="60">
          <cell r="X60">
            <v>2473</v>
          </cell>
          <cell r="Y60">
            <v>2631</v>
          </cell>
          <cell r="Z60">
            <v>3352</v>
          </cell>
          <cell r="AA60">
            <v>3880</v>
          </cell>
          <cell r="AB60">
            <v>3608</v>
          </cell>
          <cell r="AC60">
            <v>3380</v>
          </cell>
          <cell r="AD60">
            <v>3834</v>
          </cell>
          <cell r="AE60">
            <v>4252</v>
          </cell>
          <cell r="AF60">
            <v>4252</v>
          </cell>
          <cell r="AG60" t="e">
            <v>#REF!</v>
          </cell>
          <cell r="AH60" t="e">
            <v>#REF!</v>
          </cell>
          <cell r="AI60" t="e">
            <v>#REF!</v>
          </cell>
        </row>
        <row r="61">
          <cell r="X61">
            <v>2317</v>
          </cell>
          <cell r="Y61">
            <v>2918</v>
          </cell>
          <cell r="Z61">
            <v>3650</v>
          </cell>
          <cell r="AA61">
            <v>4313</v>
          </cell>
          <cell r="AB61">
            <v>3577</v>
          </cell>
          <cell r="AC61">
            <v>4020</v>
          </cell>
          <cell r="AD61">
            <v>4150</v>
          </cell>
          <cell r="AE61">
            <v>4826</v>
          </cell>
          <cell r="AF61">
            <v>4493</v>
          </cell>
          <cell r="AG61" t="e">
            <v>#REF!</v>
          </cell>
          <cell r="AH61" t="e">
            <v>#REF!</v>
          </cell>
          <cell r="AI61" t="e">
            <v>#REF!</v>
          </cell>
        </row>
        <row r="62">
          <cell r="X62">
            <v>2335</v>
          </cell>
          <cell r="Y62">
            <v>3084</v>
          </cell>
          <cell r="Z62">
            <v>3718</v>
          </cell>
          <cell r="AA62">
            <v>4644</v>
          </cell>
          <cell r="AB62">
            <v>4044.0000000000005</v>
          </cell>
          <cell r="AC62">
            <v>4097</v>
          </cell>
          <cell r="AD62">
            <v>4255</v>
          </cell>
          <cell r="AE62">
            <v>4526</v>
          </cell>
          <cell r="AF62">
            <v>4508</v>
          </cell>
          <cell r="AG62" t="e">
            <v>#REF!</v>
          </cell>
          <cell r="AH62" t="e">
            <v>#REF!</v>
          </cell>
          <cell r="AI62" t="e">
            <v>#REF!</v>
          </cell>
        </row>
        <row r="63">
          <cell r="X63">
            <v>2495</v>
          </cell>
          <cell r="Y63">
            <v>3330</v>
          </cell>
          <cell r="Z63">
            <v>4243</v>
          </cell>
          <cell r="AA63">
            <v>4728</v>
          </cell>
          <cell r="AB63">
            <v>3969</v>
          </cell>
          <cell r="AC63">
            <v>4354</v>
          </cell>
          <cell r="AD63">
            <v>3414</v>
          </cell>
          <cell r="AE63">
            <v>5087</v>
          </cell>
          <cell r="AF63">
            <v>4253</v>
          </cell>
          <cell r="AG63" t="e">
            <v>#REF!</v>
          </cell>
          <cell r="AH63" t="e">
            <v>#REF!</v>
          </cell>
          <cell r="AI63" t="e">
            <v>#REF!</v>
          </cell>
        </row>
        <row r="64">
          <cell r="X64">
            <v>2687.0000000000005</v>
          </cell>
          <cell r="Y64">
            <v>3327</v>
          </cell>
          <cell r="Z64">
            <v>3949.0000000000005</v>
          </cell>
          <cell r="AA64">
            <v>3980</v>
          </cell>
          <cell r="AB64">
            <v>4509</v>
          </cell>
          <cell r="AC64">
            <v>4908</v>
          </cell>
          <cell r="AD64">
            <v>3619</v>
          </cell>
          <cell r="AE64">
            <v>4426</v>
          </cell>
          <cell r="AF64">
            <v>4045</v>
          </cell>
          <cell r="AG64" t="e">
            <v>#REF!</v>
          </cell>
          <cell r="AH64" t="e">
            <v>#REF!</v>
          </cell>
          <cell r="AI64" t="e">
            <v>#REF!</v>
          </cell>
        </row>
        <row r="65">
          <cell r="X65">
            <v>2779</v>
          </cell>
          <cell r="Y65">
            <v>3752</v>
          </cell>
          <cell r="Z65">
            <v>4284</v>
          </cell>
          <cell r="AA65">
            <v>4317</v>
          </cell>
          <cell r="AB65">
            <v>4228</v>
          </cell>
          <cell r="AC65">
            <v>4441</v>
          </cell>
          <cell r="AD65">
            <v>3803</v>
          </cell>
          <cell r="AE65">
            <v>4771</v>
          </cell>
          <cell r="AF65">
            <v>3961.0000000000005</v>
          </cell>
          <cell r="AG65" t="e">
            <v>#REF!</v>
          </cell>
          <cell r="AH65" t="e">
            <v>#REF!</v>
          </cell>
          <cell r="AI65" t="e">
            <v>#REF!</v>
          </cell>
        </row>
        <row r="66">
          <cell r="X66">
            <v>2976</v>
          </cell>
          <cell r="Y66">
            <v>3950</v>
          </cell>
          <cell r="Z66">
            <v>4061</v>
          </cell>
          <cell r="AA66">
            <v>4702</v>
          </cell>
          <cell r="AB66">
            <v>4809</v>
          </cell>
          <cell r="AC66">
            <v>4619</v>
          </cell>
          <cell r="AD66">
            <v>4306</v>
          </cell>
          <cell r="AE66">
            <v>4221</v>
          </cell>
          <cell r="AF66">
            <v>4376</v>
          </cell>
          <cell r="AG66" t="e">
            <v>#REF!</v>
          </cell>
          <cell r="AH66" t="e">
            <v>#REF!</v>
          </cell>
          <cell r="AI66" t="e">
            <v>#REF!</v>
          </cell>
        </row>
        <row r="67">
          <cell r="X67">
            <v>3333</v>
          </cell>
          <cell r="Y67">
            <v>4034</v>
          </cell>
          <cell r="Z67">
            <v>4416</v>
          </cell>
          <cell r="AA67">
            <v>4592.0000000000009</v>
          </cell>
          <cell r="AB67">
            <v>5193.0000000000009</v>
          </cell>
          <cell r="AC67">
            <v>4573</v>
          </cell>
          <cell r="AD67">
            <v>4987</v>
          </cell>
          <cell r="AE67">
            <v>4537</v>
          </cell>
          <cell r="AF67">
            <v>4415</v>
          </cell>
          <cell r="AG67" t="e">
            <v>#REF!</v>
          </cell>
          <cell r="AH67" t="e">
            <v>#REF!</v>
          </cell>
          <cell r="AI67" t="e">
            <v>#REF!</v>
          </cell>
        </row>
      </sheetData>
      <sheetData sheetId="17"/>
      <sheetData sheetId="18"/>
      <sheetData sheetId="30"/>
      <sheetData sheetId="31"/>
      <sheetData sheetId="32"/>
      <sheetData sheetId="3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bepi.mpob.gov.my/index.php/en/statistics/area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68842-1811-4259-922D-EF180582AE77}">
  <dimension ref="A1:BB55"/>
  <sheetViews>
    <sheetView tabSelected="1" zoomScale="85" zoomScaleNormal="85" workbookViewId="0">
      <pane xSplit="1" ySplit="2" topLeftCell="AF3" activePane="bottomRight" state="frozen"/>
      <selection activeCell="AI17" sqref="AI17"/>
      <selection pane="topRight" activeCell="AI17" sqref="AI17"/>
      <selection pane="bottomLeft" activeCell="AI17" sqref="AI17"/>
      <selection pane="bottomRight" activeCell="AY11" sqref="AY11"/>
    </sheetView>
  </sheetViews>
  <sheetFormatPr defaultRowHeight="15" x14ac:dyDescent="0.25"/>
  <cols>
    <col min="1" max="1" width="26.42578125" style="1" customWidth="1"/>
  </cols>
  <sheetData>
    <row r="1" spans="1:54" x14ac:dyDescent="0.25">
      <c r="A1" s="1" t="s">
        <v>0</v>
      </c>
      <c r="B1" s="2">
        <v>1975</v>
      </c>
      <c r="C1" s="2">
        <v>1976</v>
      </c>
      <c r="D1" s="2">
        <v>1977</v>
      </c>
      <c r="E1" s="2">
        <v>1978</v>
      </c>
      <c r="F1" s="2">
        <v>1979</v>
      </c>
      <c r="G1" s="2">
        <v>1980</v>
      </c>
      <c r="H1" s="2">
        <v>1981</v>
      </c>
      <c r="I1" s="2">
        <v>1982</v>
      </c>
      <c r="J1" s="2">
        <v>1983</v>
      </c>
      <c r="K1" s="2">
        <v>1984</v>
      </c>
      <c r="L1" s="2">
        <v>1985</v>
      </c>
      <c r="M1" s="2">
        <v>1986</v>
      </c>
      <c r="N1" s="2">
        <v>1987</v>
      </c>
      <c r="O1" s="2">
        <v>1988</v>
      </c>
      <c r="P1" s="2">
        <v>1989</v>
      </c>
      <c r="Q1" s="2">
        <v>1990</v>
      </c>
      <c r="R1" s="2">
        <v>1991</v>
      </c>
      <c r="S1" s="2">
        <v>1992</v>
      </c>
      <c r="T1" s="2">
        <v>1993</v>
      </c>
      <c r="U1" s="2">
        <v>1994</v>
      </c>
      <c r="V1" s="2">
        <v>1995</v>
      </c>
      <c r="W1" s="2">
        <v>1996</v>
      </c>
      <c r="X1" s="2">
        <v>1997</v>
      </c>
      <c r="Y1" s="2">
        <v>1998</v>
      </c>
      <c r="Z1" s="2">
        <v>1999</v>
      </c>
      <c r="AA1" s="2">
        <v>2000</v>
      </c>
      <c r="AB1" s="2">
        <v>2001</v>
      </c>
      <c r="AC1" s="2">
        <v>2002</v>
      </c>
      <c r="AD1" s="2">
        <v>2003</v>
      </c>
      <c r="AE1" s="2">
        <v>2004</v>
      </c>
      <c r="AF1" s="2">
        <v>2005</v>
      </c>
      <c r="AG1" s="2">
        <v>2006</v>
      </c>
      <c r="AH1" s="2">
        <v>2007</v>
      </c>
      <c r="AI1" s="2">
        <v>2008</v>
      </c>
      <c r="AJ1" s="2">
        <v>2009</v>
      </c>
      <c r="AK1" s="2">
        <v>2010</v>
      </c>
      <c r="AL1" s="2">
        <v>2011</v>
      </c>
      <c r="AM1" s="2">
        <v>2012</v>
      </c>
      <c r="AN1" s="2">
        <v>2013</v>
      </c>
      <c r="AO1" s="2">
        <v>2014</v>
      </c>
      <c r="AP1" s="2">
        <v>2015</v>
      </c>
      <c r="AQ1" s="2">
        <v>2016</v>
      </c>
      <c r="AR1" s="2">
        <v>2017</v>
      </c>
      <c r="AS1" s="2">
        <v>2018</v>
      </c>
      <c r="AT1" s="2">
        <v>2019</v>
      </c>
      <c r="AU1" s="2">
        <v>2020</v>
      </c>
      <c r="AV1" s="2">
        <v>2021</v>
      </c>
      <c r="AW1" s="2">
        <v>2022</v>
      </c>
      <c r="AX1" s="2">
        <v>2023</v>
      </c>
      <c r="AY1" s="2">
        <v>2024</v>
      </c>
      <c r="AZ1" s="2">
        <v>2025</v>
      </c>
      <c r="BA1" s="2">
        <v>2026</v>
      </c>
      <c r="BB1" s="2">
        <v>2027</v>
      </c>
    </row>
    <row r="2" spans="1:54" x14ac:dyDescent="0.2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</row>
    <row r="3" spans="1:54" x14ac:dyDescent="0.25">
      <c r="A3" s="1" t="s">
        <v>2</v>
      </c>
      <c r="B3" s="5">
        <f>SUM(B4:B6)</f>
        <v>385.666</v>
      </c>
      <c r="C3" s="5">
        <f t="shared" ref="C3:AW3" si="0">SUM(C4:C6)</f>
        <v>454.00900000000001</v>
      </c>
      <c r="D3" s="5">
        <f t="shared" si="0"/>
        <v>521.48599999999999</v>
      </c>
      <c r="E3" s="5">
        <f t="shared" si="0"/>
        <v>603.08699999999999</v>
      </c>
      <c r="F3" s="5">
        <f t="shared" si="0"/>
        <v>670.29899999999998</v>
      </c>
      <c r="G3" s="5">
        <f t="shared" si="0"/>
        <v>777.38799999999992</v>
      </c>
      <c r="H3" s="5">
        <f t="shared" si="0"/>
        <v>848.14300000000003</v>
      </c>
      <c r="I3" s="5">
        <f t="shared" si="0"/>
        <v>888.61900000000003</v>
      </c>
      <c r="J3" s="5">
        <f t="shared" si="0"/>
        <v>1010.879</v>
      </c>
      <c r="K3" s="5">
        <f t="shared" si="0"/>
        <v>1072.451</v>
      </c>
      <c r="L3" s="5">
        <f t="shared" si="0"/>
        <v>1201.01</v>
      </c>
      <c r="M3" s="5">
        <f t="shared" si="0"/>
        <v>1360.579</v>
      </c>
      <c r="N3" s="5">
        <f t="shared" si="0"/>
        <v>1373.1469999999999</v>
      </c>
      <c r="O3" s="5">
        <f t="shared" si="0"/>
        <v>1530.9059999999999</v>
      </c>
      <c r="P3" s="5">
        <f t="shared" si="0"/>
        <v>1672.0959999999998</v>
      </c>
      <c r="Q3" s="5">
        <f t="shared" si="0"/>
        <v>1746.0540000000001</v>
      </c>
      <c r="R3" s="5">
        <f t="shared" si="0"/>
        <v>1826.2669999999998</v>
      </c>
      <c r="S3" s="5">
        <f t="shared" si="0"/>
        <v>1890.268</v>
      </c>
      <c r="T3" s="5">
        <f t="shared" si="0"/>
        <v>2020.5160000000001</v>
      </c>
      <c r="U3" s="5">
        <f t="shared" si="0"/>
        <v>2144.08</v>
      </c>
      <c r="V3" s="5">
        <f t="shared" si="0"/>
        <v>2243.0650000000001</v>
      </c>
      <c r="W3" s="5">
        <f t="shared" si="0"/>
        <v>2353.1469999999999</v>
      </c>
      <c r="X3" s="5">
        <f t="shared" si="0"/>
        <v>2513.183</v>
      </c>
      <c r="Y3" s="5">
        <f t="shared" si="0"/>
        <v>2596.9459999999999</v>
      </c>
      <c r="Z3" s="5">
        <f t="shared" si="0"/>
        <v>2856.701</v>
      </c>
      <c r="AA3" s="5">
        <f t="shared" si="0"/>
        <v>2941.7899999999995</v>
      </c>
      <c r="AB3" s="5">
        <f t="shared" si="0"/>
        <v>3005.2669999999998</v>
      </c>
      <c r="AC3" s="5">
        <f t="shared" si="0"/>
        <v>3188.3070000000002</v>
      </c>
      <c r="AD3" s="5">
        <f t="shared" si="0"/>
        <v>3303.1329999999998</v>
      </c>
      <c r="AE3" s="5">
        <f t="shared" si="0"/>
        <v>3450.9599999999996</v>
      </c>
      <c r="AF3" s="5">
        <f t="shared" si="0"/>
        <v>3631.44</v>
      </c>
      <c r="AG3" s="5">
        <f t="shared" si="0"/>
        <v>3703.2540000000004</v>
      </c>
      <c r="AH3" s="5">
        <f t="shared" si="0"/>
        <v>3764.3890000000006</v>
      </c>
      <c r="AI3" s="5">
        <f t="shared" si="0"/>
        <v>3916.5230000000001</v>
      </c>
      <c r="AJ3" s="5">
        <f t="shared" si="0"/>
        <v>4075.7019999999998</v>
      </c>
      <c r="AK3" s="5">
        <f t="shared" si="0"/>
        <v>4202.2135200000002</v>
      </c>
      <c r="AL3" s="5">
        <f t="shared" si="0"/>
        <v>4281.8369999999995</v>
      </c>
      <c r="AM3" s="5">
        <f t="shared" si="0"/>
        <v>4352.8720000000003</v>
      </c>
      <c r="AN3" s="5">
        <f t="shared" si="0"/>
        <v>4526.0889999999999</v>
      </c>
      <c r="AO3" s="5">
        <f t="shared" si="0"/>
        <v>4689.3209999999999</v>
      </c>
      <c r="AP3" s="5">
        <f t="shared" si="0"/>
        <v>4859.3969999999999</v>
      </c>
      <c r="AQ3" s="5">
        <f t="shared" si="0"/>
        <v>5001.4380000000001</v>
      </c>
      <c r="AR3" s="5">
        <f t="shared" si="0"/>
        <v>5110.7129999999997</v>
      </c>
      <c r="AS3" s="5">
        <f t="shared" si="0"/>
        <v>5189.3440000000001</v>
      </c>
      <c r="AT3" s="6">
        <f>MROUND(AS3+AT36,10)</f>
        <v>5370</v>
      </c>
      <c r="AU3" s="5">
        <f t="shared" si="0"/>
        <v>5231.7430000000004</v>
      </c>
      <c r="AV3" s="5">
        <f t="shared" si="0"/>
        <v>5144.1799999999994</v>
      </c>
      <c r="AW3" s="5">
        <f t="shared" si="0"/>
        <v>5127.2889999999998</v>
      </c>
      <c r="AX3" s="6">
        <f t="shared" ref="AT3:BB6" si="1">MROUND(AW3+AX36,10)</f>
        <v>5110</v>
      </c>
      <c r="AY3" s="6">
        <f t="shared" si="1"/>
        <v>5090</v>
      </c>
      <c r="AZ3" s="6">
        <f t="shared" si="1"/>
        <v>5040</v>
      </c>
      <c r="BA3" s="6">
        <f t="shared" si="1"/>
        <v>4970</v>
      </c>
      <c r="BB3" s="6">
        <f t="shared" si="1"/>
        <v>4870</v>
      </c>
    </row>
    <row r="4" spans="1:54" x14ac:dyDescent="0.25">
      <c r="A4" s="1" t="s">
        <v>3</v>
      </c>
      <c r="B4" s="5">
        <v>340.428</v>
      </c>
      <c r="C4" s="5">
        <v>401.68900000000002</v>
      </c>
      <c r="D4" s="5">
        <v>461.91800000000001</v>
      </c>
      <c r="E4" s="5">
        <v>536.81399999999996</v>
      </c>
      <c r="F4" s="5">
        <v>601.38599999999997</v>
      </c>
      <c r="G4" s="5">
        <v>700.70799999999997</v>
      </c>
      <c r="H4" s="5">
        <v>757.37</v>
      </c>
      <c r="I4" s="5">
        <v>795.77300000000002</v>
      </c>
      <c r="J4" s="5">
        <v>909.10199999999998</v>
      </c>
      <c r="K4" s="5">
        <v>961.678</v>
      </c>
      <c r="L4" s="5">
        <v>1085.615</v>
      </c>
      <c r="M4" s="5">
        <v>1208.068</v>
      </c>
      <c r="N4" s="5">
        <v>1203.8040000000001</v>
      </c>
      <c r="O4" s="5">
        <v>1336.6690000000001</v>
      </c>
      <c r="P4" s="5">
        <v>1450.396</v>
      </c>
      <c r="Q4" s="5">
        <v>1512.3810000000001</v>
      </c>
      <c r="R4" s="5">
        <v>1571.722</v>
      </c>
      <c r="S4" s="5">
        <v>1596.0440000000001</v>
      </c>
      <c r="T4" s="5">
        <v>1677.713</v>
      </c>
      <c r="U4" s="5">
        <v>1705.53</v>
      </c>
      <c r="V4" s="5">
        <v>1746.6420000000001</v>
      </c>
      <c r="W4" s="5">
        <v>1741.2270000000001</v>
      </c>
      <c r="X4" s="5">
        <v>1779.758</v>
      </c>
      <c r="Y4" s="5">
        <v>1810.2280000000001</v>
      </c>
      <c r="Z4" s="5">
        <v>1856.124</v>
      </c>
      <c r="AA4" s="5">
        <v>1832.37</v>
      </c>
      <c r="AB4" s="5">
        <v>1840.9570000000001</v>
      </c>
      <c r="AC4" s="5">
        <v>1926.546</v>
      </c>
      <c r="AD4" s="5">
        <v>1922.7809999999999</v>
      </c>
      <c r="AE4" s="5">
        <v>1964.1289999999999</v>
      </c>
      <c r="AF4" s="5">
        <v>2068.6289999999999</v>
      </c>
      <c r="AG4" s="5">
        <v>2092.69</v>
      </c>
      <c r="AH4" s="5">
        <v>2099.3850000000002</v>
      </c>
      <c r="AI4" s="5">
        <v>2149.4430000000002</v>
      </c>
      <c r="AJ4" s="5">
        <v>2196.6439999999998</v>
      </c>
      <c r="AK4" s="5">
        <v>2224.4731400000001</v>
      </c>
      <c r="AL4" s="5">
        <v>2201.3119999999999</v>
      </c>
      <c r="AM4" s="5">
        <v>2185.9630000000002</v>
      </c>
      <c r="AN4" s="5">
        <v>2234.1930000000002</v>
      </c>
      <c r="AO4" s="5">
        <v>2275.5720000000001</v>
      </c>
      <c r="AP4" s="5">
        <v>2315.261</v>
      </c>
      <c r="AQ4" s="5">
        <v>2349.3870000000002</v>
      </c>
      <c r="AR4" s="5">
        <v>2388.5740000000001</v>
      </c>
      <c r="AS4" s="5">
        <v>2407.163</v>
      </c>
      <c r="AT4" s="6">
        <f t="shared" si="1"/>
        <v>2420</v>
      </c>
      <c r="AU4" s="5">
        <v>2455.5349999999999</v>
      </c>
      <c r="AV4" s="5">
        <v>2363.87</v>
      </c>
      <c r="AW4" s="5">
        <v>2311.4319999999998</v>
      </c>
      <c r="AX4" s="6">
        <f t="shared" si="1"/>
        <v>2290</v>
      </c>
      <c r="AY4" s="6">
        <f t="shared" si="1"/>
        <v>2230</v>
      </c>
      <c r="AZ4" s="6">
        <f t="shared" si="1"/>
        <v>2170</v>
      </c>
      <c r="BA4" s="6">
        <f t="shared" si="1"/>
        <v>2140</v>
      </c>
      <c r="BB4" s="6">
        <f t="shared" si="1"/>
        <v>2080</v>
      </c>
    </row>
    <row r="5" spans="1:54" x14ac:dyDescent="0.25">
      <c r="A5" s="1" t="s">
        <v>4</v>
      </c>
      <c r="B5" s="5">
        <v>40.732999999999997</v>
      </c>
      <c r="C5" s="5">
        <v>45.378</v>
      </c>
      <c r="D5" s="5">
        <v>50.436999999999998</v>
      </c>
      <c r="E5" s="5">
        <v>53.850999999999999</v>
      </c>
      <c r="F5" s="5">
        <v>56.268000000000001</v>
      </c>
      <c r="G5" s="5">
        <v>63.468000000000004</v>
      </c>
      <c r="H5" s="5">
        <v>74.995000000000005</v>
      </c>
      <c r="I5" s="5">
        <v>75.097999999999999</v>
      </c>
      <c r="J5" s="5">
        <v>83.123000000000005</v>
      </c>
      <c r="K5" s="5">
        <v>91.007999999999996</v>
      </c>
      <c r="L5" s="5">
        <v>95.343999999999994</v>
      </c>
      <c r="M5" s="5">
        <v>132.44200000000001</v>
      </c>
      <c r="N5" s="5">
        <v>142.83000000000001</v>
      </c>
      <c r="O5" s="5">
        <v>165.15700000000001</v>
      </c>
      <c r="P5" s="5">
        <v>188.898</v>
      </c>
      <c r="Q5" s="5">
        <v>203.05799999999999</v>
      </c>
      <c r="R5" s="5">
        <v>222.78399999999999</v>
      </c>
      <c r="S5" s="5">
        <v>247.11799999999999</v>
      </c>
      <c r="T5" s="5">
        <v>289.928</v>
      </c>
      <c r="U5" s="5">
        <v>367.185</v>
      </c>
      <c r="V5" s="5">
        <v>418.49299999999999</v>
      </c>
      <c r="W5" s="5">
        <v>511.61599999999999</v>
      </c>
      <c r="X5" s="5">
        <v>611.84400000000005</v>
      </c>
      <c r="Y5" s="5">
        <v>683.04</v>
      </c>
      <c r="Z5" s="5">
        <v>772.97500000000002</v>
      </c>
      <c r="AA5" s="5">
        <v>868.76700000000005</v>
      </c>
      <c r="AB5" s="5">
        <v>905.69399999999996</v>
      </c>
      <c r="AC5" s="5">
        <v>961.26900000000001</v>
      </c>
      <c r="AD5" s="5">
        <v>1035.5450000000001</v>
      </c>
      <c r="AE5" s="5">
        <v>1081.1020000000001</v>
      </c>
      <c r="AF5" s="5">
        <v>1123.2750000000001</v>
      </c>
      <c r="AG5" s="5">
        <v>1139.5350000000001</v>
      </c>
      <c r="AH5" s="5">
        <v>1151.6980000000001</v>
      </c>
      <c r="AI5" s="5">
        <v>1197.2840000000001</v>
      </c>
      <c r="AJ5" s="5">
        <v>1233.056</v>
      </c>
      <c r="AK5" s="5">
        <v>1261.1541999999999</v>
      </c>
      <c r="AL5" s="5">
        <v>1274.6199999999999</v>
      </c>
      <c r="AM5" s="5">
        <v>1292.7570000000001</v>
      </c>
      <c r="AN5" s="5">
        <v>1330.039</v>
      </c>
      <c r="AO5" s="5">
        <v>1355.5409999999999</v>
      </c>
      <c r="AP5" s="5">
        <v>1375.229</v>
      </c>
      <c r="AQ5" s="5">
        <v>1383.1089999999999</v>
      </c>
      <c r="AR5" s="5">
        <v>1380.037</v>
      </c>
      <c r="AS5" s="5">
        <v>1378.655</v>
      </c>
      <c r="AT5" s="6">
        <f t="shared" si="1"/>
        <v>1380</v>
      </c>
      <c r="AU5" s="5">
        <v>1344.6079999999999</v>
      </c>
      <c r="AV5" s="5">
        <v>1331.981</v>
      </c>
      <c r="AW5" s="5">
        <v>1326.94</v>
      </c>
      <c r="AX5" s="6">
        <f t="shared" si="1"/>
        <v>1310</v>
      </c>
      <c r="AY5" s="6">
        <f t="shared" si="1"/>
        <v>1310</v>
      </c>
      <c r="AZ5" s="6">
        <f t="shared" si="1"/>
        <v>1280</v>
      </c>
      <c r="BA5" s="6">
        <f t="shared" si="1"/>
        <v>1240</v>
      </c>
      <c r="BB5" s="6">
        <f t="shared" si="1"/>
        <v>1200</v>
      </c>
    </row>
    <row r="6" spans="1:54" ht="15.75" thickBot="1" x14ac:dyDescent="0.3">
      <c r="A6" s="1" t="s">
        <v>5</v>
      </c>
      <c r="B6" s="5">
        <v>4.5049999999999999</v>
      </c>
      <c r="C6" s="5">
        <v>6.9420000000000002</v>
      </c>
      <c r="D6" s="5">
        <v>9.1310000000000002</v>
      </c>
      <c r="E6" s="5">
        <v>12.422000000000001</v>
      </c>
      <c r="F6" s="5">
        <v>12.645</v>
      </c>
      <c r="G6" s="5">
        <v>13.212</v>
      </c>
      <c r="H6" s="5">
        <v>15.778</v>
      </c>
      <c r="I6" s="5">
        <v>17.748000000000001</v>
      </c>
      <c r="J6" s="5">
        <v>18.654</v>
      </c>
      <c r="K6" s="5">
        <v>19.765000000000001</v>
      </c>
      <c r="L6" s="5">
        <v>20.050999999999998</v>
      </c>
      <c r="M6" s="5">
        <v>20.068999999999999</v>
      </c>
      <c r="N6" s="5">
        <v>26.513000000000002</v>
      </c>
      <c r="O6" s="5">
        <v>29.08</v>
      </c>
      <c r="P6" s="5">
        <v>32.802</v>
      </c>
      <c r="Q6" s="5">
        <v>30.614999999999998</v>
      </c>
      <c r="R6" s="5">
        <v>31.760999999999999</v>
      </c>
      <c r="S6" s="5">
        <v>47.106000000000002</v>
      </c>
      <c r="T6" s="5">
        <v>52.875</v>
      </c>
      <c r="U6" s="5">
        <v>71.364999999999995</v>
      </c>
      <c r="V6" s="5">
        <v>77.930000000000007</v>
      </c>
      <c r="W6" s="5">
        <v>100.304</v>
      </c>
      <c r="X6" s="5">
        <v>121.581</v>
      </c>
      <c r="Y6" s="5">
        <v>103.678</v>
      </c>
      <c r="Z6" s="5">
        <v>227.602</v>
      </c>
      <c r="AA6" s="5">
        <v>240.65299999999999</v>
      </c>
      <c r="AB6" s="5">
        <v>258.61599999999999</v>
      </c>
      <c r="AC6" s="5">
        <v>300.49200000000002</v>
      </c>
      <c r="AD6" s="5">
        <v>344.80700000000002</v>
      </c>
      <c r="AE6" s="5">
        <v>405.72899999999998</v>
      </c>
      <c r="AF6" s="5">
        <v>439.536</v>
      </c>
      <c r="AG6" s="5">
        <v>471.029</v>
      </c>
      <c r="AH6" s="5">
        <v>513.30600000000004</v>
      </c>
      <c r="AI6" s="5">
        <v>569.79600000000005</v>
      </c>
      <c r="AJ6" s="5">
        <v>646.00199999999995</v>
      </c>
      <c r="AK6" s="5">
        <v>716.58618000000001</v>
      </c>
      <c r="AL6" s="5">
        <v>805.90499999999997</v>
      </c>
      <c r="AM6" s="5">
        <v>874.15200000000004</v>
      </c>
      <c r="AN6" s="5">
        <v>961.85699999999997</v>
      </c>
      <c r="AO6" s="5">
        <v>1058.2080000000001</v>
      </c>
      <c r="AP6" s="5">
        <v>1168.9069999999999</v>
      </c>
      <c r="AQ6" s="5">
        <v>1268.942</v>
      </c>
      <c r="AR6" s="5">
        <v>1342.1020000000001</v>
      </c>
      <c r="AS6" s="5">
        <v>1403.5260000000001</v>
      </c>
      <c r="AT6" s="6">
        <f t="shared" si="1"/>
        <v>1560</v>
      </c>
      <c r="AU6" s="5">
        <v>1431.6</v>
      </c>
      <c r="AV6" s="5">
        <v>1448.329</v>
      </c>
      <c r="AW6" s="5">
        <v>1488.9169999999999</v>
      </c>
      <c r="AX6" s="6">
        <f t="shared" si="1"/>
        <v>1520</v>
      </c>
      <c r="AY6" s="6">
        <f t="shared" si="1"/>
        <v>1560</v>
      </c>
      <c r="AZ6" s="6">
        <f t="shared" si="1"/>
        <v>1600</v>
      </c>
      <c r="BA6" s="6">
        <f t="shared" si="1"/>
        <v>1610</v>
      </c>
      <c r="BB6" s="6">
        <f t="shared" si="1"/>
        <v>1620</v>
      </c>
    </row>
    <row r="7" spans="1:54" x14ac:dyDescent="0.25">
      <c r="A7" s="7" t="s">
        <v>6</v>
      </c>
      <c r="B7" s="8">
        <f>SUM(B8:B10)</f>
        <v>256.125</v>
      </c>
      <c r="C7" s="8">
        <f t="shared" ref="C7:AW7" si="2">SUM(C8:C10)</f>
        <v>260.59100000000001</v>
      </c>
      <c r="D7" s="8">
        <f t="shared" si="2"/>
        <v>260.32799999999997</v>
      </c>
      <c r="E7" s="8">
        <f t="shared" si="2"/>
        <v>249.892</v>
      </c>
      <c r="F7" s="8">
        <f t="shared" si="2"/>
        <v>268.56400000000002</v>
      </c>
      <c r="G7" s="8">
        <f t="shared" si="2"/>
        <v>245.91800000000001</v>
      </c>
      <c r="H7" s="8">
        <f t="shared" si="2"/>
        <v>259.72000000000003</v>
      </c>
      <c r="I7" s="8">
        <f t="shared" si="2"/>
        <v>294.178</v>
      </c>
      <c r="J7" s="8">
        <f t="shared" si="2"/>
        <v>242.161</v>
      </c>
      <c r="K7" s="8">
        <f t="shared" si="2"/>
        <v>257.815</v>
      </c>
      <c r="L7" s="8">
        <f t="shared" si="2"/>
        <v>281.38900000000001</v>
      </c>
      <c r="M7" s="8">
        <f t="shared" si="2"/>
        <v>238.732</v>
      </c>
      <c r="N7" s="8">
        <f t="shared" si="2"/>
        <v>299.72799999999995</v>
      </c>
      <c r="O7" s="8">
        <f t="shared" si="2"/>
        <v>275.017</v>
      </c>
      <c r="P7" s="8">
        <f t="shared" si="2"/>
        <v>274.46299999999997</v>
      </c>
      <c r="Q7" s="8">
        <f t="shared" si="2"/>
        <v>283.41000000000003</v>
      </c>
      <c r="R7" s="8">
        <f t="shared" si="2"/>
        <v>267.76100000000002</v>
      </c>
      <c r="S7" s="8">
        <f t="shared" si="2"/>
        <v>307.392</v>
      </c>
      <c r="T7" s="8">
        <f t="shared" si="2"/>
        <v>285.40899999999999</v>
      </c>
      <c r="U7" s="8">
        <f t="shared" si="2"/>
        <v>267.91900000000004</v>
      </c>
      <c r="V7" s="8">
        <f t="shared" si="2"/>
        <v>297.02199999999999</v>
      </c>
      <c r="W7" s="8">
        <f t="shared" si="2"/>
        <v>339.13900000000001</v>
      </c>
      <c r="X7" s="8">
        <f t="shared" si="2"/>
        <v>379.90599999999995</v>
      </c>
      <c r="Y7" s="8">
        <f t="shared" si="2"/>
        <v>481.17</v>
      </c>
      <c r="Z7" s="8">
        <f t="shared" si="2"/>
        <v>456.69200000000001</v>
      </c>
      <c r="AA7" s="8">
        <f t="shared" si="2"/>
        <v>434.87299999999999</v>
      </c>
      <c r="AB7" s="8">
        <f t="shared" si="2"/>
        <v>493.745</v>
      </c>
      <c r="AC7" s="8">
        <f t="shared" si="2"/>
        <v>481.93600000000004</v>
      </c>
      <c r="AD7" s="8">
        <f t="shared" si="2"/>
        <v>498.90699999999998</v>
      </c>
      <c r="AE7" s="8">
        <f t="shared" si="2"/>
        <v>424.36700000000002</v>
      </c>
      <c r="AF7" s="8">
        <f t="shared" si="2"/>
        <v>419.93399999999997</v>
      </c>
      <c r="AG7" s="8">
        <f t="shared" si="2"/>
        <v>461.96100000000001</v>
      </c>
      <c r="AH7" s="8">
        <f t="shared" si="2"/>
        <v>540.524</v>
      </c>
      <c r="AI7" s="8">
        <f t="shared" si="2"/>
        <v>571.43400000000008</v>
      </c>
      <c r="AJ7" s="8">
        <f t="shared" si="2"/>
        <v>615.45799999999997</v>
      </c>
      <c r="AK7" s="8">
        <f t="shared" si="2"/>
        <v>651.55264999999997</v>
      </c>
      <c r="AL7" s="8">
        <f t="shared" si="2"/>
        <v>718.27199999999993</v>
      </c>
      <c r="AM7" s="8">
        <f t="shared" si="2"/>
        <v>724.05700000000002</v>
      </c>
      <c r="AN7" s="8">
        <f t="shared" si="2"/>
        <v>703.65000000000009</v>
      </c>
      <c r="AO7" s="8">
        <f t="shared" si="2"/>
        <v>702.91399999999999</v>
      </c>
      <c r="AP7" s="8">
        <f t="shared" si="2"/>
        <v>783.54600000000005</v>
      </c>
      <c r="AQ7" s="8">
        <f t="shared" si="2"/>
        <v>736.54700000000003</v>
      </c>
      <c r="AR7" s="8">
        <f t="shared" si="2"/>
        <v>700.43200000000002</v>
      </c>
      <c r="AS7" s="8">
        <f t="shared" si="2"/>
        <v>659.98599999999999</v>
      </c>
      <c r="AT7" s="9">
        <f t="shared" ref="AT7:BB10" si="3">MROUND(AS7+AT41,5)</f>
        <v>650</v>
      </c>
      <c r="AU7" s="8">
        <f t="shared" si="2"/>
        <v>633.55399999999997</v>
      </c>
      <c r="AV7" s="8">
        <f t="shared" si="2"/>
        <v>593.55200000000002</v>
      </c>
      <c r="AW7" s="8">
        <f t="shared" si="2"/>
        <v>547.452</v>
      </c>
      <c r="AX7" s="9">
        <f t="shared" si="3"/>
        <v>495</v>
      </c>
      <c r="AY7" s="9">
        <f t="shared" si="3"/>
        <v>435</v>
      </c>
      <c r="AZ7" s="9">
        <f t="shared" si="3"/>
        <v>370</v>
      </c>
      <c r="BA7" s="9">
        <f t="shared" si="3"/>
        <v>295</v>
      </c>
      <c r="BB7" s="9">
        <f t="shared" si="3"/>
        <v>220</v>
      </c>
    </row>
    <row r="8" spans="1:54" x14ac:dyDescent="0.25">
      <c r="A8" s="1" t="s">
        <v>3</v>
      </c>
      <c r="B8" s="5">
        <v>228.13300000000001</v>
      </c>
      <c r="C8" s="5">
        <v>227.869</v>
      </c>
      <c r="D8" s="5">
        <v>229.78800000000001</v>
      </c>
      <c r="E8" s="5">
        <v>218.71100000000001</v>
      </c>
      <c r="F8" s="5">
        <v>229.15</v>
      </c>
      <c r="G8" s="5">
        <v>205.88200000000001</v>
      </c>
      <c r="H8" s="5">
        <v>225.77799999999999</v>
      </c>
      <c r="I8" s="5">
        <v>252.24199999999999</v>
      </c>
      <c r="J8" s="5">
        <v>190.59200000000001</v>
      </c>
      <c r="K8" s="5">
        <v>181.84399999999999</v>
      </c>
      <c r="L8" s="5">
        <v>206.78399999999999</v>
      </c>
      <c r="M8" s="5">
        <v>202.85499999999999</v>
      </c>
      <c r="N8" s="5">
        <v>256.69799999999998</v>
      </c>
      <c r="O8" s="5">
        <v>219.87100000000001</v>
      </c>
      <c r="P8" s="5">
        <v>193.91300000000001</v>
      </c>
      <c r="Q8" s="5">
        <v>186.11699999999999</v>
      </c>
      <c r="R8" s="5">
        <v>172.893</v>
      </c>
      <c r="S8" s="5">
        <v>179.589</v>
      </c>
      <c r="T8" s="5">
        <v>154.06299999999999</v>
      </c>
      <c r="U8" s="5">
        <v>152.096</v>
      </c>
      <c r="V8" s="5">
        <v>156.529</v>
      </c>
      <c r="W8" s="5">
        <v>185.15100000000001</v>
      </c>
      <c r="X8" s="5">
        <v>179.619</v>
      </c>
      <c r="Y8" s="5">
        <v>176.96199999999999</v>
      </c>
      <c r="Z8" s="5">
        <v>195.471</v>
      </c>
      <c r="AA8" s="5">
        <v>213.12899999999999</v>
      </c>
      <c r="AB8" s="5">
        <v>255.899</v>
      </c>
      <c r="AC8" s="5">
        <v>260.464</v>
      </c>
      <c r="AD8" s="5">
        <v>279.38499999999999</v>
      </c>
      <c r="AE8" s="5">
        <v>237.477</v>
      </c>
      <c r="AF8" s="5">
        <v>229.97900000000001</v>
      </c>
      <c r="AG8" s="5">
        <v>241.55699999999999</v>
      </c>
      <c r="AH8" s="5">
        <v>262.67200000000003</v>
      </c>
      <c r="AI8" s="5">
        <v>260.57600000000002</v>
      </c>
      <c r="AJ8" s="5">
        <v>293.17</v>
      </c>
      <c r="AK8" s="5">
        <v>300.19851999999997</v>
      </c>
      <c r="AL8" s="5">
        <v>345.44799999999998</v>
      </c>
      <c r="AM8" s="5">
        <v>372.14</v>
      </c>
      <c r="AN8" s="5">
        <v>359.54</v>
      </c>
      <c r="AO8" s="5">
        <v>341.762</v>
      </c>
      <c r="AP8" s="5">
        <v>344.1</v>
      </c>
      <c r="AQ8" s="5">
        <v>330.11500000000001</v>
      </c>
      <c r="AR8" s="5">
        <v>319.839</v>
      </c>
      <c r="AS8" s="5">
        <v>320.44499999999999</v>
      </c>
      <c r="AT8" s="6">
        <f t="shared" si="3"/>
        <v>320</v>
      </c>
      <c r="AU8" s="5">
        <v>282.18799999999999</v>
      </c>
      <c r="AV8" s="5">
        <v>243.977</v>
      </c>
      <c r="AW8" s="5">
        <v>232.874</v>
      </c>
      <c r="AX8" s="6">
        <f t="shared" si="3"/>
        <v>205</v>
      </c>
      <c r="AY8" s="6">
        <f t="shared" si="3"/>
        <v>170</v>
      </c>
      <c r="AZ8" s="6">
        <f t="shared" si="3"/>
        <v>130</v>
      </c>
      <c r="BA8" s="6">
        <f t="shared" si="3"/>
        <v>85</v>
      </c>
      <c r="BB8" s="6">
        <f>IF(BA8+BA42&lt;0,25,MROUND(BA8+BB42,5))</f>
        <v>40</v>
      </c>
    </row>
    <row r="9" spans="1:54" x14ac:dyDescent="0.25">
      <c r="A9" s="1" t="s">
        <v>4</v>
      </c>
      <c r="B9" s="5">
        <v>18.405999999999999</v>
      </c>
      <c r="C9" s="5">
        <v>24.33</v>
      </c>
      <c r="D9" s="5">
        <v>22.866</v>
      </c>
      <c r="E9" s="5">
        <v>24.361000000000001</v>
      </c>
      <c r="F9" s="5">
        <v>30.414999999999999</v>
      </c>
      <c r="G9" s="5">
        <v>30.498999999999999</v>
      </c>
      <c r="H9" s="5">
        <v>25.616</v>
      </c>
      <c r="I9" s="5">
        <v>35.619</v>
      </c>
      <c r="J9" s="5">
        <v>45.125</v>
      </c>
      <c r="K9" s="5">
        <v>69.498999999999995</v>
      </c>
      <c r="L9" s="5">
        <v>66.156000000000006</v>
      </c>
      <c r="M9" s="5">
        <v>30.202999999999999</v>
      </c>
      <c r="N9" s="5">
        <v>39.781999999999996</v>
      </c>
      <c r="O9" s="5">
        <v>47.966999999999999</v>
      </c>
      <c r="P9" s="5">
        <v>64.055999999999997</v>
      </c>
      <c r="Q9" s="5">
        <v>73.113</v>
      </c>
      <c r="R9" s="5">
        <v>66.27</v>
      </c>
      <c r="S9" s="5">
        <v>97.766999999999996</v>
      </c>
      <c r="T9" s="5">
        <v>97.194000000000003</v>
      </c>
      <c r="U9" s="5">
        <v>85.3</v>
      </c>
      <c r="V9" s="5">
        <v>99.64</v>
      </c>
      <c r="W9" s="5">
        <v>114.392</v>
      </c>
      <c r="X9" s="5">
        <v>146.74299999999999</v>
      </c>
      <c r="Y9" s="5">
        <v>159.45599999999999</v>
      </c>
      <c r="Z9" s="5">
        <v>168.34700000000001</v>
      </c>
      <c r="AA9" s="5">
        <v>132.01</v>
      </c>
      <c r="AB9" s="5">
        <v>121.634</v>
      </c>
      <c r="AC9" s="5">
        <v>107.70399999999999</v>
      </c>
      <c r="AD9" s="5">
        <v>99.555000000000007</v>
      </c>
      <c r="AE9" s="5">
        <v>84.31</v>
      </c>
      <c r="AF9" s="5">
        <v>86.093000000000004</v>
      </c>
      <c r="AG9" s="5">
        <v>99.962000000000003</v>
      </c>
      <c r="AH9" s="5">
        <v>126.54600000000001</v>
      </c>
      <c r="AI9" s="5">
        <v>136.28200000000001</v>
      </c>
      <c r="AJ9" s="5">
        <v>128.542</v>
      </c>
      <c r="AK9" s="5">
        <v>148.52159</v>
      </c>
      <c r="AL9" s="5">
        <v>157.142</v>
      </c>
      <c r="AM9" s="5">
        <v>149.83099999999999</v>
      </c>
      <c r="AN9" s="5">
        <v>145.06899999999999</v>
      </c>
      <c r="AO9" s="5">
        <v>155.96899999999999</v>
      </c>
      <c r="AP9" s="5">
        <v>168.994</v>
      </c>
      <c r="AQ9" s="5">
        <v>168.60499999999999</v>
      </c>
      <c r="AR9" s="5">
        <v>166.86699999999999</v>
      </c>
      <c r="AS9" s="5">
        <v>170.59</v>
      </c>
      <c r="AT9" s="6">
        <f t="shared" si="3"/>
        <v>175</v>
      </c>
      <c r="AU9" s="5">
        <v>198.446</v>
      </c>
      <c r="AV9" s="5">
        <v>191.643</v>
      </c>
      <c r="AW9" s="5">
        <v>181.12</v>
      </c>
      <c r="AX9" s="6">
        <f t="shared" si="3"/>
        <v>180</v>
      </c>
      <c r="AY9" s="6">
        <f t="shared" si="3"/>
        <v>180</v>
      </c>
      <c r="AZ9" s="6">
        <f t="shared" si="3"/>
        <v>180</v>
      </c>
      <c r="BA9" s="6">
        <f t="shared" si="3"/>
        <v>180</v>
      </c>
      <c r="BB9" s="6">
        <f t="shared" si="3"/>
        <v>180</v>
      </c>
    </row>
    <row r="10" spans="1:54" ht="15.75" thickBot="1" x14ac:dyDescent="0.3">
      <c r="A10" s="1" t="s">
        <v>5</v>
      </c>
      <c r="B10" s="5">
        <v>9.5860000000000003</v>
      </c>
      <c r="C10" s="5">
        <v>8.3919999999999995</v>
      </c>
      <c r="D10" s="5">
        <v>7.6740000000000004</v>
      </c>
      <c r="E10" s="5">
        <v>6.82</v>
      </c>
      <c r="F10" s="5">
        <v>8.9990000000000006</v>
      </c>
      <c r="G10" s="5">
        <v>9.5370000000000008</v>
      </c>
      <c r="H10" s="5">
        <v>8.3260000000000005</v>
      </c>
      <c r="I10" s="5">
        <v>6.3170000000000002</v>
      </c>
      <c r="J10" s="5">
        <v>6.444</v>
      </c>
      <c r="K10" s="5">
        <v>6.4720000000000004</v>
      </c>
      <c r="L10" s="5">
        <v>8.4489999999999998</v>
      </c>
      <c r="M10" s="5">
        <v>5.6740000000000004</v>
      </c>
      <c r="N10" s="5">
        <v>3.2480000000000002</v>
      </c>
      <c r="O10" s="5">
        <v>7.1790000000000003</v>
      </c>
      <c r="P10" s="5">
        <v>16.494</v>
      </c>
      <c r="Q10" s="5">
        <v>24.18</v>
      </c>
      <c r="R10" s="5">
        <v>28.597999999999999</v>
      </c>
      <c r="S10" s="5">
        <v>30.036000000000001</v>
      </c>
      <c r="T10" s="5">
        <v>34.152000000000001</v>
      </c>
      <c r="U10" s="5">
        <v>30.523</v>
      </c>
      <c r="V10" s="5">
        <v>40.853000000000002</v>
      </c>
      <c r="W10" s="5">
        <v>39.595999999999997</v>
      </c>
      <c r="X10" s="5">
        <v>53.543999999999997</v>
      </c>
      <c r="Y10" s="5">
        <v>144.75200000000001</v>
      </c>
      <c r="Z10" s="5">
        <v>92.873999999999995</v>
      </c>
      <c r="AA10" s="5">
        <v>89.733999999999995</v>
      </c>
      <c r="AB10" s="5">
        <v>116.212</v>
      </c>
      <c r="AC10" s="5">
        <v>113.768</v>
      </c>
      <c r="AD10" s="5">
        <v>119.967</v>
      </c>
      <c r="AE10" s="5">
        <v>102.58</v>
      </c>
      <c r="AF10" s="5">
        <v>103.86199999999999</v>
      </c>
      <c r="AG10" s="5">
        <v>120.44199999999999</v>
      </c>
      <c r="AH10" s="5">
        <v>151.30600000000001</v>
      </c>
      <c r="AI10" s="5">
        <v>174.57599999999999</v>
      </c>
      <c r="AJ10" s="5">
        <v>193.74600000000001</v>
      </c>
      <c r="AK10" s="5">
        <v>202.83253999999999</v>
      </c>
      <c r="AL10" s="5">
        <v>215.68199999999999</v>
      </c>
      <c r="AM10" s="5">
        <v>202.08600000000001</v>
      </c>
      <c r="AN10" s="5">
        <v>199.041</v>
      </c>
      <c r="AO10" s="5">
        <v>205.18299999999999</v>
      </c>
      <c r="AP10" s="5">
        <v>270.452</v>
      </c>
      <c r="AQ10" s="5">
        <v>237.827</v>
      </c>
      <c r="AR10" s="10">
        <v>213.726</v>
      </c>
      <c r="AS10" s="10">
        <v>168.95099999999999</v>
      </c>
      <c r="AT10" s="11">
        <f t="shared" si="3"/>
        <v>155</v>
      </c>
      <c r="AU10" s="10">
        <v>152.91999999999999</v>
      </c>
      <c r="AV10" s="10">
        <v>157.93199999999999</v>
      </c>
      <c r="AW10" s="10">
        <v>133.458</v>
      </c>
      <c r="AX10" s="11">
        <f t="shared" si="3"/>
        <v>120</v>
      </c>
      <c r="AY10" s="11">
        <f>MROUND(AX10+AY44,5)</f>
        <v>110</v>
      </c>
      <c r="AZ10" s="11">
        <f t="shared" si="3"/>
        <v>100</v>
      </c>
      <c r="BA10" s="11">
        <f t="shared" si="3"/>
        <v>90</v>
      </c>
      <c r="BB10" s="11">
        <f t="shared" si="3"/>
        <v>85</v>
      </c>
    </row>
    <row r="11" spans="1:54" x14ac:dyDescent="0.25">
      <c r="A11" s="7" t="s">
        <v>7</v>
      </c>
      <c r="B11" s="8">
        <f t="shared" ref="B11" si="4">SUM(B12:B14)</f>
        <v>641.79100000000005</v>
      </c>
      <c r="C11" s="8">
        <f t="shared" ref="C11:AQ11" si="5">SUM(C12:C14)</f>
        <v>714.59999999999991</v>
      </c>
      <c r="D11" s="8">
        <f t="shared" si="5"/>
        <v>781.81399999999996</v>
      </c>
      <c r="E11" s="8">
        <f t="shared" si="5"/>
        <v>852.97899999999993</v>
      </c>
      <c r="F11" s="8">
        <f t="shared" si="5"/>
        <v>938.86299999999994</v>
      </c>
      <c r="G11" s="8">
        <f t="shared" si="5"/>
        <v>1023.3059999999999</v>
      </c>
      <c r="H11" s="8">
        <f t="shared" si="5"/>
        <v>1107.8630000000001</v>
      </c>
      <c r="I11" s="8">
        <f t="shared" si="5"/>
        <v>1182.7970000000003</v>
      </c>
      <c r="J11" s="8">
        <f t="shared" si="5"/>
        <v>1253.04</v>
      </c>
      <c r="K11" s="8">
        <f t="shared" si="5"/>
        <v>1330.2660000000001</v>
      </c>
      <c r="L11" s="8">
        <f t="shared" si="5"/>
        <v>1482.3989999999999</v>
      </c>
      <c r="M11" s="8">
        <f t="shared" si="5"/>
        <v>1599.3109999999999</v>
      </c>
      <c r="N11" s="8">
        <f t="shared" si="5"/>
        <v>1672.875</v>
      </c>
      <c r="O11" s="8">
        <f t="shared" si="5"/>
        <v>1805.9230000000002</v>
      </c>
      <c r="P11" s="8">
        <f t="shared" si="5"/>
        <v>1946.559</v>
      </c>
      <c r="Q11" s="8">
        <f t="shared" si="5"/>
        <v>2029.4640000000002</v>
      </c>
      <c r="R11" s="8">
        <f t="shared" si="5"/>
        <v>2094.0279999999998</v>
      </c>
      <c r="S11" s="8">
        <f t="shared" si="5"/>
        <v>2197.66</v>
      </c>
      <c r="T11" s="8">
        <f t="shared" si="5"/>
        <v>2305.9249999999997</v>
      </c>
      <c r="U11" s="8">
        <f t="shared" si="5"/>
        <v>2411.9989999999998</v>
      </c>
      <c r="V11" s="8">
        <f t="shared" si="5"/>
        <v>2540.087</v>
      </c>
      <c r="W11" s="8">
        <f t="shared" si="5"/>
        <v>2692.2860000000005</v>
      </c>
      <c r="X11" s="8">
        <f t="shared" si="5"/>
        <v>2893.0889999999999</v>
      </c>
      <c r="Y11" s="8">
        <f t="shared" si="5"/>
        <v>3078.116</v>
      </c>
      <c r="Z11" s="8">
        <f t="shared" si="5"/>
        <v>3313.3930000000005</v>
      </c>
      <c r="AA11" s="8">
        <f t="shared" si="5"/>
        <v>3376.663</v>
      </c>
      <c r="AB11" s="8">
        <f t="shared" si="5"/>
        <v>3499.0120000000002</v>
      </c>
      <c r="AC11" s="8">
        <f t="shared" si="5"/>
        <v>3670.2430000000004</v>
      </c>
      <c r="AD11" s="8">
        <f t="shared" si="5"/>
        <v>3802.0400000000004</v>
      </c>
      <c r="AE11" s="8">
        <f t="shared" si="5"/>
        <v>3875.3270000000002</v>
      </c>
      <c r="AF11" s="8">
        <f t="shared" si="5"/>
        <v>4051.3739999999998</v>
      </c>
      <c r="AG11" s="8">
        <f t="shared" si="5"/>
        <v>4165.2150000000001</v>
      </c>
      <c r="AH11" s="8">
        <f t="shared" si="5"/>
        <v>4304.9130000000005</v>
      </c>
      <c r="AI11" s="8">
        <f t="shared" si="5"/>
        <v>4487.9570000000003</v>
      </c>
      <c r="AJ11" s="8">
        <f t="shared" si="5"/>
        <v>4691.16</v>
      </c>
      <c r="AK11" s="8">
        <f t="shared" si="5"/>
        <v>4853.7661699999999</v>
      </c>
      <c r="AL11" s="8">
        <f t="shared" si="5"/>
        <v>5000.1090000000004</v>
      </c>
      <c r="AM11" s="8">
        <f t="shared" si="5"/>
        <v>5076.9290000000001</v>
      </c>
      <c r="AN11" s="8">
        <f t="shared" si="5"/>
        <v>5229.7390000000005</v>
      </c>
      <c r="AO11" s="8">
        <f t="shared" si="5"/>
        <v>5392.2350000000006</v>
      </c>
      <c r="AP11" s="8">
        <f t="shared" si="5"/>
        <v>5642.9429999999993</v>
      </c>
      <c r="AQ11" s="8">
        <f t="shared" si="5"/>
        <v>5737.9850000000006</v>
      </c>
      <c r="AR11" s="8">
        <f>AR3+AR7</f>
        <v>5811.1449999999995</v>
      </c>
      <c r="AS11" s="8">
        <f t="shared" ref="AS11:AV11" si="6">AS3+AS7</f>
        <v>5849.33</v>
      </c>
      <c r="AT11" s="9">
        <f t="shared" si="6"/>
        <v>6020</v>
      </c>
      <c r="AU11" s="8">
        <f t="shared" si="6"/>
        <v>5865.2970000000005</v>
      </c>
      <c r="AV11" s="8">
        <f t="shared" si="6"/>
        <v>5737.7319999999991</v>
      </c>
      <c r="AW11" s="8">
        <f>AW3+AW7</f>
        <v>5674.741</v>
      </c>
      <c r="AX11" s="9">
        <f t="shared" ref="AX11:BB14" si="7">AX3+AX7</f>
        <v>5605</v>
      </c>
      <c r="AY11" s="9">
        <f t="shared" si="7"/>
        <v>5525</v>
      </c>
      <c r="AZ11" s="9">
        <f t="shared" si="7"/>
        <v>5410</v>
      </c>
      <c r="BA11" s="9">
        <f t="shared" si="7"/>
        <v>5265</v>
      </c>
      <c r="BB11" s="9">
        <f t="shared" si="7"/>
        <v>5090</v>
      </c>
    </row>
    <row r="12" spans="1:54" x14ac:dyDescent="0.25">
      <c r="A12" s="1" t="s">
        <v>3</v>
      </c>
      <c r="B12" s="5">
        <f t="shared" ref="B12:AP14" si="8">B8+B4</f>
        <v>568.56100000000004</v>
      </c>
      <c r="C12" s="5">
        <f t="shared" si="8"/>
        <v>629.55799999999999</v>
      </c>
      <c r="D12" s="5">
        <f t="shared" si="8"/>
        <v>691.70600000000002</v>
      </c>
      <c r="E12" s="5">
        <f t="shared" si="8"/>
        <v>755.52499999999998</v>
      </c>
      <c r="F12" s="5">
        <f t="shared" si="8"/>
        <v>830.53599999999994</v>
      </c>
      <c r="G12" s="5">
        <f t="shared" si="8"/>
        <v>906.58999999999992</v>
      </c>
      <c r="H12" s="5">
        <f t="shared" si="8"/>
        <v>983.14800000000002</v>
      </c>
      <c r="I12" s="5">
        <f t="shared" si="8"/>
        <v>1048.0150000000001</v>
      </c>
      <c r="J12" s="5">
        <f t="shared" si="8"/>
        <v>1099.694</v>
      </c>
      <c r="K12" s="5">
        <f t="shared" si="8"/>
        <v>1143.5219999999999</v>
      </c>
      <c r="L12" s="5">
        <f t="shared" si="8"/>
        <v>1292.3989999999999</v>
      </c>
      <c r="M12" s="5">
        <f t="shared" si="8"/>
        <v>1410.923</v>
      </c>
      <c r="N12" s="5">
        <f t="shared" si="8"/>
        <v>1460.502</v>
      </c>
      <c r="O12" s="5">
        <f t="shared" si="8"/>
        <v>1556.5400000000002</v>
      </c>
      <c r="P12" s="5">
        <f t="shared" si="8"/>
        <v>1644.309</v>
      </c>
      <c r="Q12" s="5">
        <f t="shared" si="8"/>
        <v>1698.498</v>
      </c>
      <c r="R12" s="5">
        <f t="shared" si="8"/>
        <v>1744.615</v>
      </c>
      <c r="S12" s="5">
        <f t="shared" si="8"/>
        <v>1775.633</v>
      </c>
      <c r="T12" s="5">
        <f t="shared" si="8"/>
        <v>1831.7759999999998</v>
      </c>
      <c r="U12" s="5">
        <f t="shared" si="8"/>
        <v>1857.626</v>
      </c>
      <c r="V12" s="5">
        <f t="shared" si="8"/>
        <v>1903.171</v>
      </c>
      <c r="W12" s="5">
        <f t="shared" si="8"/>
        <v>1926.3780000000002</v>
      </c>
      <c r="X12" s="5">
        <f t="shared" si="8"/>
        <v>1959.377</v>
      </c>
      <c r="Y12" s="5">
        <f t="shared" si="8"/>
        <v>1987.19</v>
      </c>
      <c r="Z12" s="5">
        <f t="shared" si="8"/>
        <v>2051.5950000000003</v>
      </c>
      <c r="AA12" s="5">
        <f t="shared" si="8"/>
        <v>2045.4989999999998</v>
      </c>
      <c r="AB12" s="5">
        <f t="shared" si="8"/>
        <v>2096.8560000000002</v>
      </c>
      <c r="AC12" s="5">
        <f t="shared" si="8"/>
        <v>2187.0100000000002</v>
      </c>
      <c r="AD12" s="5">
        <f t="shared" si="8"/>
        <v>2202.1660000000002</v>
      </c>
      <c r="AE12" s="5">
        <f t="shared" si="8"/>
        <v>2201.6059999999998</v>
      </c>
      <c r="AF12" s="5">
        <f t="shared" si="8"/>
        <v>2298.6079999999997</v>
      </c>
      <c r="AG12" s="5">
        <f t="shared" si="8"/>
        <v>2334.2469999999998</v>
      </c>
      <c r="AH12" s="5">
        <f t="shared" si="8"/>
        <v>2362.0570000000002</v>
      </c>
      <c r="AI12" s="5">
        <f t="shared" si="8"/>
        <v>2410.0190000000002</v>
      </c>
      <c r="AJ12" s="5">
        <f t="shared" si="8"/>
        <v>2489.8139999999999</v>
      </c>
      <c r="AK12" s="5">
        <f t="shared" si="8"/>
        <v>2524.67166</v>
      </c>
      <c r="AL12" s="5">
        <f t="shared" si="8"/>
        <v>2546.7599999999998</v>
      </c>
      <c r="AM12" s="5">
        <f t="shared" si="8"/>
        <v>2558.1030000000001</v>
      </c>
      <c r="AN12" s="5">
        <f t="shared" si="8"/>
        <v>2593.7330000000002</v>
      </c>
      <c r="AO12" s="5">
        <f t="shared" si="8"/>
        <v>2617.3340000000003</v>
      </c>
      <c r="AP12" s="5">
        <f t="shared" si="8"/>
        <v>2659.3609999999999</v>
      </c>
      <c r="AQ12" s="5">
        <f>AQ8+AQ4</f>
        <v>2679.5020000000004</v>
      </c>
      <c r="AR12" s="5">
        <f t="shared" ref="AR12:AW14" si="9">AR4+AR8</f>
        <v>2708.413</v>
      </c>
      <c r="AS12" s="5">
        <f t="shared" si="9"/>
        <v>2727.6080000000002</v>
      </c>
      <c r="AT12" s="6">
        <f t="shared" si="9"/>
        <v>2740</v>
      </c>
      <c r="AU12" s="5">
        <f t="shared" si="9"/>
        <v>2737.723</v>
      </c>
      <c r="AV12" s="5">
        <f t="shared" si="9"/>
        <v>2607.8469999999998</v>
      </c>
      <c r="AW12" s="5">
        <f t="shared" si="9"/>
        <v>2544.3059999999996</v>
      </c>
      <c r="AX12" s="6">
        <f t="shared" si="7"/>
        <v>2495</v>
      </c>
      <c r="AY12" s="6">
        <f t="shared" si="7"/>
        <v>2400</v>
      </c>
      <c r="AZ12" s="6">
        <f t="shared" si="7"/>
        <v>2300</v>
      </c>
      <c r="BA12" s="6">
        <f t="shared" si="7"/>
        <v>2225</v>
      </c>
      <c r="BB12" s="6">
        <f t="shared" si="7"/>
        <v>2120</v>
      </c>
    </row>
    <row r="13" spans="1:54" x14ac:dyDescent="0.25">
      <c r="A13" s="1" t="s">
        <v>4</v>
      </c>
      <c r="B13" s="5">
        <f t="shared" si="8"/>
        <v>59.138999999999996</v>
      </c>
      <c r="C13" s="5">
        <f t="shared" si="8"/>
        <v>69.707999999999998</v>
      </c>
      <c r="D13" s="5">
        <f t="shared" si="8"/>
        <v>73.302999999999997</v>
      </c>
      <c r="E13" s="5">
        <f t="shared" si="8"/>
        <v>78.212000000000003</v>
      </c>
      <c r="F13" s="5">
        <f t="shared" si="8"/>
        <v>86.682999999999993</v>
      </c>
      <c r="G13" s="5">
        <f t="shared" si="8"/>
        <v>93.966999999999999</v>
      </c>
      <c r="H13" s="5">
        <f t="shared" si="8"/>
        <v>100.611</v>
      </c>
      <c r="I13" s="5">
        <f t="shared" si="8"/>
        <v>110.717</v>
      </c>
      <c r="J13" s="5">
        <f t="shared" si="8"/>
        <v>128.24799999999999</v>
      </c>
      <c r="K13" s="5">
        <f t="shared" si="8"/>
        <v>160.50700000000001</v>
      </c>
      <c r="L13" s="5">
        <f t="shared" si="8"/>
        <v>161.5</v>
      </c>
      <c r="M13" s="5">
        <f t="shared" si="8"/>
        <v>162.64500000000001</v>
      </c>
      <c r="N13" s="5">
        <f t="shared" si="8"/>
        <v>182.61200000000002</v>
      </c>
      <c r="O13" s="5">
        <f t="shared" si="8"/>
        <v>213.12400000000002</v>
      </c>
      <c r="P13" s="5">
        <f t="shared" si="8"/>
        <v>252.95400000000001</v>
      </c>
      <c r="Q13" s="5">
        <f t="shared" si="8"/>
        <v>276.17099999999999</v>
      </c>
      <c r="R13" s="5">
        <f t="shared" si="8"/>
        <v>289.05399999999997</v>
      </c>
      <c r="S13" s="5">
        <f t="shared" si="8"/>
        <v>344.88499999999999</v>
      </c>
      <c r="T13" s="5">
        <f t="shared" si="8"/>
        <v>387.12200000000001</v>
      </c>
      <c r="U13" s="5">
        <f t="shared" si="8"/>
        <v>452.48500000000001</v>
      </c>
      <c r="V13" s="5">
        <f t="shared" si="8"/>
        <v>518.13300000000004</v>
      </c>
      <c r="W13" s="5">
        <f t="shared" si="8"/>
        <v>626.00800000000004</v>
      </c>
      <c r="X13" s="5">
        <f t="shared" si="8"/>
        <v>758.58699999999999</v>
      </c>
      <c r="Y13" s="5">
        <f t="shared" si="8"/>
        <v>842.49599999999998</v>
      </c>
      <c r="Z13" s="5">
        <f t="shared" si="8"/>
        <v>941.322</v>
      </c>
      <c r="AA13" s="5">
        <f t="shared" si="8"/>
        <v>1000.777</v>
      </c>
      <c r="AB13" s="5">
        <f t="shared" si="8"/>
        <v>1027.328</v>
      </c>
      <c r="AC13" s="5">
        <f t="shared" si="8"/>
        <v>1068.973</v>
      </c>
      <c r="AD13" s="5">
        <f t="shared" si="8"/>
        <v>1135.1000000000001</v>
      </c>
      <c r="AE13" s="5">
        <f t="shared" si="8"/>
        <v>1165.412</v>
      </c>
      <c r="AF13" s="5">
        <f t="shared" si="8"/>
        <v>1209.3680000000002</v>
      </c>
      <c r="AG13" s="5">
        <f t="shared" si="8"/>
        <v>1239.4970000000001</v>
      </c>
      <c r="AH13" s="5">
        <f t="shared" si="8"/>
        <v>1278.2440000000001</v>
      </c>
      <c r="AI13" s="5">
        <f t="shared" si="8"/>
        <v>1333.566</v>
      </c>
      <c r="AJ13" s="5">
        <f t="shared" si="8"/>
        <v>1361.598</v>
      </c>
      <c r="AK13" s="5">
        <f t="shared" si="8"/>
        <v>1409.67579</v>
      </c>
      <c r="AL13" s="5">
        <f t="shared" si="8"/>
        <v>1431.7619999999999</v>
      </c>
      <c r="AM13" s="5">
        <f t="shared" si="8"/>
        <v>1442.588</v>
      </c>
      <c r="AN13" s="5">
        <f t="shared" si="8"/>
        <v>1475.1079999999999</v>
      </c>
      <c r="AO13" s="5">
        <f t="shared" si="8"/>
        <v>1511.51</v>
      </c>
      <c r="AP13" s="5">
        <f t="shared" si="8"/>
        <v>1544.223</v>
      </c>
      <c r="AQ13" s="5">
        <f t="shared" ref="AQ13:AQ14" si="10">AQ9+AQ5</f>
        <v>1551.7139999999999</v>
      </c>
      <c r="AR13" s="5">
        <f t="shared" si="9"/>
        <v>1546.904</v>
      </c>
      <c r="AS13" s="5">
        <f t="shared" si="9"/>
        <v>1549.2449999999999</v>
      </c>
      <c r="AT13" s="6">
        <f t="shared" si="9"/>
        <v>1555</v>
      </c>
      <c r="AU13" s="5">
        <f t="shared" si="9"/>
        <v>1543.0539999999999</v>
      </c>
      <c r="AV13" s="5">
        <f t="shared" si="9"/>
        <v>1523.624</v>
      </c>
      <c r="AW13" s="5">
        <f t="shared" si="9"/>
        <v>1508.06</v>
      </c>
      <c r="AX13" s="6">
        <f t="shared" si="7"/>
        <v>1490</v>
      </c>
      <c r="AY13" s="6">
        <f t="shared" si="7"/>
        <v>1490</v>
      </c>
      <c r="AZ13" s="6">
        <f t="shared" si="7"/>
        <v>1460</v>
      </c>
      <c r="BA13" s="6">
        <f t="shared" si="7"/>
        <v>1420</v>
      </c>
      <c r="BB13" s="6">
        <f t="shared" si="7"/>
        <v>1380</v>
      </c>
    </row>
    <row r="14" spans="1:54" ht="15.75" thickBot="1" x14ac:dyDescent="0.3">
      <c r="A14" s="1" t="s">
        <v>5</v>
      </c>
      <c r="B14" s="5">
        <f t="shared" si="8"/>
        <v>14.091000000000001</v>
      </c>
      <c r="C14" s="5">
        <f t="shared" si="8"/>
        <v>15.334</v>
      </c>
      <c r="D14" s="5">
        <f t="shared" si="8"/>
        <v>16.805</v>
      </c>
      <c r="E14" s="5">
        <f t="shared" si="8"/>
        <v>19.242000000000001</v>
      </c>
      <c r="F14" s="5">
        <f t="shared" si="8"/>
        <v>21.643999999999998</v>
      </c>
      <c r="G14" s="5">
        <f t="shared" si="8"/>
        <v>22.749000000000002</v>
      </c>
      <c r="H14" s="5">
        <f t="shared" si="8"/>
        <v>24.103999999999999</v>
      </c>
      <c r="I14" s="5">
        <f t="shared" si="8"/>
        <v>24.065000000000001</v>
      </c>
      <c r="J14" s="5">
        <f t="shared" si="8"/>
        <v>25.097999999999999</v>
      </c>
      <c r="K14" s="5">
        <f t="shared" si="8"/>
        <v>26.237000000000002</v>
      </c>
      <c r="L14" s="5">
        <f t="shared" si="8"/>
        <v>28.5</v>
      </c>
      <c r="M14" s="5">
        <f t="shared" si="8"/>
        <v>25.742999999999999</v>
      </c>
      <c r="N14" s="5">
        <f t="shared" si="8"/>
        <v>29.761000000000003</v>
      </c>
      <c r="O14" s="5">
        <f t="shared" si="8"/>
        <v>36.259</v>
      </c>
      <c r="P14" s="5">
        <f t="shared" si="8"/>
        <v>49.295999999999999</v>
      </c>
      <c r="Q14" s="5">
        <f t="shared" si="8"/>
        <v>54.795000000000002</v>
      </c>
      <c r="R14" s="5">
        <f t="shared" si="8"/>
        <v>60.358999999999995</v>
      </c>
      <c r="S14" s="5">
        <f t="shared" si="8"/>
        <v>77.141999999999996</v>
      </c>
      <c r="T14" s="5">
        <f t="shared" si="8"/>
        <v>87.027000000000001</v>
      </c>
      <c r="U14" s="5">
        <f t="shared" si="8"/>
        <v>101.88799999999999</v>
      </c>
      <c r="V14" s="5">
        <f t="shared" si="8"/>
        <v>118.78300000000002</v>
      </c>
      <c r="W14" s="5">
        <f t="shared" si="8"/>
        <v>139.9</v>
      </c>
      <c r="X14" s="5">
        <f t="shared" si="8"/>
        <v>175.125</v>
      </c>
      <c r="Y14" s="5">
        <f t="shared" si="8"/>
        <v>248.43</v>
      </c>
      <c r="Z14" s="5">
        <f t="shared" si="8"/>
        <v>320.476</v>
      </c>
      <c r="AA14" s="5">
        <f t="shared" si="8"/>
        <v>330.387</v>
      </c>
      <c r="AB14" s="5">
        <f t="shared" si="8"/>
        <v>374.82799999999997</v>
      </c>
      <c r="AC14" s="5">
        <f t="shared" si="8"/>
        <v>414.26</v>
      </c>
      <c r="AD14" s="5">
        <f t="shared" si="8"/>
        <v>464.774</v>
      </c>
      <c r="AE14" s="5">
        <f t="shared" si="8"/>
        <v>508.30899999999997</v>
      </c>
      <c r="AF14" s="5">
        <f t="shared" si="8"/>
        <v>543.39800000000002</v>
      </c>
      <c r="AG14" s="5">
        <f t="shared" si="8"/>
        <v>591.471</v>
      </c>
      <c r="AH14" s="5">
        <f t="shared" si="8"/>
        <v>664.61200000000008</v>
      </c>
      <c r="AI14" s="5">
        <f t="shared" si="8"/>
        <v>744.37200000000007</v>
      </c>
      <c r="AJ14" s="5">
        <f t="shared" si="8"/>
        <v>839.74799999999993</v>
      </c>
      <c r="AK14" s="5">
        <f t="shared" si="8"/>
        <v>919.41872000000001</v>
      </c>
      <c r="AL14" s="5">
        <f t="shared" si="8"/>
        <v>1021.587</v>
      </c>
      <c r="AM14" s="5">
        <f t="shared" si="8"/>
        <v>1076.2380000000001</v>
      </c>
      <c r="AN14" s="5">
        <f t="shared" si="8"/>
        <v>1160.8979999999999</v>
      </c>
      <c r="AO14" s="5">
        <f t="shared" si="8"/>
        <v>1263.3910000000001</v>
      </c>
      <c r="AP14" s="5">
        <f t="shared" si="8"/>
        <v>1439.3589999999999</v>
      </c>
      <c r="AQ14" s="5">
        <f t="shared" si="10"/>
        <v>1506.769</v>
      </c>
      <c r="AR14" s="12">
        <f t="shared" si="9"/>
        <v>1555.828</v>
      </c>
      <c r="AS14" s="12">
        <f t="shared" si="9"/>
        <v>1572.4770000000001</v>
      </c>
      <c r="AT14" s="13">
        <f t="shared" si="9"/>
        <v>1715</v>
      </c>
      <c r="AU14" s="12">
        <f t="shared" si="9"/>
        <v>1584.52</v>
      </c>
      <c r="AV14" s="12">
        <f t="shared" si="9"/>
        <v>1606.261</v>
      </c>
      <c r="AW14" s="12">
        <f t="shared" si="9"/>
        <v>1622.375</v>
      </c>
      <c r="AX14" s="13">
        <f t="shared" si="7"/>
        <v>1640</v>
      </c>
      <c r="AY14" s="13">
        <f>AY6+AY10</f>
        <v>1670</v>
      </c>
      <c r="AZ14" s="13">
        <f t="shared" si="7"/>
        <v>1700</v>
      </c>
      <c r="BA14" s="13">
        <f t="shared" si="7"/>
        <v>1700</v>
      </c>
      <c r="BB14" s="13">
        <f t="shared" si="7"/>
        <v>1705</v>
      </c>
    </row>
    <row r="15" spans="1:54" ht="15.75" thickTop="1" x14ac:dyDescent="0.25">
      <c r="A15" s="14" t="s">
        <v>8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</row>
    <row r="16" spans="1:54" x14ac:dyDescent="0.25">
      <c r="A16" s="16" t="s">
        <v>9</v>
      </c>
      <c r="AH16" s="17"/>
      <c r="AI16" s="17"/>
      <c r="AJ16" s="17"/>
      <c r="AK16" s="17"/>
      <c r="AL16" s="17"/>
      <c r="AM16" s="17"/>
      <c r="AN16" s="17"/>
      <c r="AO16" s="17"/>
      <c r="AP16" s="17"/>
      <c r="AQ16" s="17"/>
    </row>
    <row r="17" spans="1:54" x14ac:dyDescent="0.25">
      <c r="A17" s="1" t="s">
        <v>10</v>
      </c>
    </row>
    <row r="19" spans="1:54" ht="15.75" thickBot="1" x14ac:dyDescent="0.3">
      <c r="A19" s="1" t="s">
        <v>11</v>
      </c>
    </row>
    <row r="20" spans="1:54" x14ac:dyDescent="0.25">
      <c r="A20" s="7" t="s">
        <v>12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</row>
    <row r="21" spans="1:54" x14ac:dyDescent="0.25">
      <c r="A21" s="1" t="s">
        <v>13</v>
      </c>
    </row>
    <row r="22" spans="1:54" x14ac:dyDescent="0.25">
      <c r="A22" s="1" t="s">
        <v>14</v>
      </c>
    </row>
    <row r="24" spans="1:54" ht="15.75" thickBot="1" x14ac:dyDescent="0.3">
      <c r="A24" s="1" t="s">
        <v>15</v>
      </c>
    </row>
    <row r="25" spans="1:54" x14ac:dyDescent="0.25">
      <c r="A25" s="7" t="s">
        <v>7</v>
      </c>
      <c r="B25" s="19"/>
      <c r="C25" s="20">
        <f t="shared" ref="C25:BB28" si="11">C3/B3-1</f>
        <v>0.17720773933922107</v>
      </c>
      <c r="D25" s="20">
        <f t="shared" si="11"/>
        <v>0.14862480699721803</v>
      </c>
      <c r="E25" s="20">
        <f t="shared" si="11"/>
        <v>0.15647783449603625</v>
      </c>
      <c r="F25" s="20">
        <f t="shared" si="11"/>
        <v>0.11144660720592547</v>
      </c>
      <c r="G25" s="20">
        <f t="shared" si="11"/>
        <v>0.15976303112491586</v>
      </c>
      <c r="H25" s="20">
        <f t="shared" si="11"/>
        <v>9.1016326467607156E-2</v>
      </c>
      <c r="I25" s="20">
        <f t="shared" si="11"/>
        <v>4.7723084432695906E-2</v>
      </c>
      <c r="J25" s="20">
        <f t="shared" si="11"/>
        <v>0.1375842740252009</v>
      </c>
      <c r="K25" s="20">
        <f t="shared" si="11"/>
        <v>6.090936699644578E-2</v>
      </c>
      <c r="L25" s="20">
        <f t="shared" si="11"/>
        <v>0.1198740082297467</v>
      </c>
      <c r="M25" s="20">
        <f t="shared" si="11"/>
        <v>0.13286234086310689</v>
      </c>
      <c r="N25" s="20">
        <f t="shared" si="11"/>
        <v>9.23724384986091E-3</v>
      </c>
      <c r="O25" s="20">
        <f t="shared" si="11"/>
        <v>0.11488864629934015</v>
      </c>
      <c r="P25" s="20">
        <f t="shared" si="11"/>
        <v>9.2226433236266558E-2</v>
      </c>
      <c r="Q25" s="20">
        <f t="shared" si="11"/>
        <v>4.4230714025989215E-2</v>
      </c>
      <c r="R25" s="20">
        <f t="shared" si="11"/>
        <v>4.5939587206351939E-2</v>
      </c>
      <c r="S25" s="20">
        <f t="shared" si="11"/>
        <v>3.5044711424999875E-2</v>
      </c>
      <c r="T25" s="20">
        <f t="shared" si="11"/>
        <v>6.8904515126955612E-2</v>
      </c>
      <c r="U25" s="20">
        <f t="shared" si="11"/>
        <v>6.1154675340358455E-2</v>
      </c>
      <c r="V25" s="20">
        <f t="shared" si="11"/>
        <v>4.6166654229319759E-2</v>
      </c>
      <c r="W25" s="20">
        <f t="shared" si="11"/>
        <v>4.9076598315251685E-2</v>
      </c>
      <c r="X25" s="20">
        <f t="shared" si="11"/>
        <v>6.8009350882031638E-2</v>
      </c>
      <c r="Y25" s="20">
        <f t="shared" si="11"/>
        <v>3.33294471592398E-2</v>
      </c>
      <c r="Z25" s="20">
        <f t="shared" si="11"/>
        <v>0.1000232580885394</v>
      </c>
      <c r="AA25" s="20">
        <f t="shared" si="11"/>
        <v>2.9785756367221916E-2</v>
      </c>
      <c r="AB25" s="20">
        <f t="shared" si="11"/>
        <v>2.157767889618234E-2</v>
      </c>
      <c r="AC25" s="20">
        <f t="shared" si="11"/>
        <v>6.0906401993566783E-2</v>
      </c>
      <c r="AD25" s="20">
        <f t="shared" si="11"/>
        <v>3.6014725056275898E-2</v>
      </c>
      <c r="AE25" s="20">
        <f t="shared" si="11"/>
        <v>4.4753571836193107E-2</v>
      </c>
      <c r="AF25" s="20">
        <f t="shared" si="11"/>
        <v>5.2298490854718827E-2</v>
      </c>
      <c r="AG25" s="20">
        <f t="shared" si="11"/>
        <v>1.9775626197872098E-2</v>
      </c>
      <c r="AH25" s="20">
        <f t="shared" si="11"/>
        <v>1.6508454456540145E-2</v>
      </c>
      <c r="AI25" s="20">
        <f t="shared" si="11"/>
        <v>4.0413995471775044E-2</v>
      </c>
      <c r="AJ25" s="20">
        <f t="shared" si="11"/>
        <v>4.0642937626052422E-2</v>
      </c>
      <c r="AK25" s="20">
        <f t="shared" si="11"/>
        <v>3.1040424447126069E-2</v>
      </c>
      <c r="AL25" s="20">
        <f t="shared" si="11"/>
        <v>1.8947985298947811E-2</v>
      </c>
      <c r="AM25" s="20">
        <f t="shared" si="11"/>
        <v>1.658984216353887E-2</v>
      </c>
      <c r="AN25" s="20">
        <f t="shared" si="11"/>
        <v>3.9793726992201739E-2</v>
      </c>
      <c r="AO25" s="20">
        <f t="shared" si="11"/>
        <v>3.6064690729678439E-2</v>
      </c>
      <c r="AP25" s="20">
        <f t="shared" si="11"/>
        <v>3.6268790300344023E-2</v>
      </c>
      <c r="AQ25" s="20">
        <f t="shared" si="11"/>
        <v>2.9230169916143911E-2</v>
      </c>
      <c r="AR25" s="20">
        <f t="shared" si="11"/>
        <v>2.1848716309189387E-2</v>
      </c>
      <c r="AS25" s="20">
        <f t="shared" si="11"/>
        <v>1.5385524485526769E-2</v>
      </c>
      <c r="AT25" s="21">
        <f t="shared" si="11"/>
        <v>3.4812878082470577E-2</v>
      </c>
      <c r="AU25" s="20">
        <f t="shared" si="11"/>
        <v>-2.5746182495344438E-2</v>
      </c>
      <c r="AV25" s="20">
        <f t="shared" si="11"/>
        <v>-1.6736869528950704E-2</v>
      </c>
      <c r="AW25" s="20">
        <f t="shared" si="11"/>
        <v>-3.2835165176956504E-3</v>
      </c>
      <c r="AX25" s="21">
        <f t="shared" si="11"/>
        <v>-3.3719573833267402E-3</v>
      </c>
      <c r="AY25" s="21">
        <f t="shared" si="11"/>
        <v>-3.9138943248532287E-3</v>
      </c>
      <c r="AZ25" s="21">
        <f t="shared" si="11"/>
        <v>-9.8231827111984193E-3</v>
      </c>
      <c r="BA25" s="21">
        <f t="shared" si="11"/>
        <v>-1.388888888888884E-2</v>
      </c>
      <c r="BB25" s="21">
        <f t="shared" si="11"/>
        <v>-2.012072434607648E-2</v>
      </c>
    </row>
    <row r="26" spans="1:54" x14ac:dyDescent="0.25">
      <c r="A26" s="1" t="s">
        <v>3</v>
      </c>
      <c r="C26" s="22">
        <f t="shared" si="11"/>
        <v>0.17995288284159949</v>
      </c>
      <c r="D26" s="22">
        <f t="shared" si="11"/>
        <v>0.14993938096388004</v>
      </c>
      <c r="E26" s="22">
        <f t="shared" si="11"/>
        <v>0.16214133244428663</v>
      </c>
      <c r="F26" s="22">
        <f t="shared" si="11"/>
        <v>0.12028747387363214</v>
      </c>
      <c r="G26" s="22">
        <f t="shared" si="11"/>
        <v>0.1651551582511066</v>
      </c>
      <c r="H26" s="22">
        <f t="shared" si="11"/>
        <v>8.0863926200357428E-2</v>
      </c>
      <c r="I26" s="22">
        <f t="shared" si="11"/>
        <v>5.0705731676723431E-2</v>
      </c>
      <c r="J26" s="22">
        <f t="shared" si="11"/>
        <v>0.14241372853816348</v>
      </c>
      <c r="K26" s="22">
        <f t="shared" si="11"/>
        <v>5.7832894438687887E-2</v>
      </c>
      <c r="L26" s="22">
        <f t="shared" si="11"/>
        <v>0.12887577754716228</v>
      </c>
      <c r="M26" s="22">
        <f t="shared" si="11"/>
        <v>0.11279597278961684</v>
      </c>
      <c r="N26" s="22">
        <f t="shared" si="11"/>
        <v>-3.5296026382619639E-3</v>
      </c>
      <c r="O26" s="22">
        <f t="shared" si="11"/>
        <v>0.11037095739838043</v>
      </c>
      <c r="P26" s="22">
        <f t="shared" si="11"/>
        <v>8.5082395118013299E-2</v>
      </c>
      <c r="Q26" s="22">
        <f t="shared" si="11"/>
        <v>4.273660434805393E-2</v>
      </c>
      <c r="R26" s="22">
        <f t="shared" si="11"/>
        <v>3.9236806069369967E-2</v>
      </c>
      <c r="S26" s="22">
        <f t="shared" si="11"/>
        <v>1.5474746806369177E-2</v>
      </c>
      <c r="T26" s="22">
        <f t="shared" si="11"/>
        <v>5.1169641939695865E-2</v>
      </c>
      <c r="U26" s="22">
        <f t="shared" si="11"/>
        <v>1.6580309027825368E-2</v>
      </c>
      <c r="V26" s="22">
        <f t="shared" si="11"/>
        <v>2.4105116884487465E-2</v>
      </c>
      <c r="W26" s="22">
        <f t="shared" si="11"/>
        <v>-3.1002346216340015E-3</v>
      </c>
      <c r="X26" s="22">
        <f t="shared" si="11"/>
        <v>2.2128648361184444E-2</v>
      </c>
      <c r="Y26" s="22">
        <f t="shared" si="11"/>
        <v>1.7120305120134294E-2</v>
      </c>
      <c r="Z26" s="22">
        <f t="shared" si="11"/>
        <v>2.5353712350046465E-2</v>
      </c>
      <c r="AA26" s="22">
        <f t="shared" si="11"/>
        <v>-1.2797636364811904E-2</v>
      </c>
      <c r="AB26" s="22">
        <f t="shared" si="11"/>
        <v>4.6862806092657916E-3</v>
      </c>
      <c r="AC26" s="22">
        <f t="shared" si="11"/>
        <v>4.6491580194431448E-2</v>
      </c>
      <c r="AD26" s="22">
        <f t="shared" si="11"/>
        <v>-1.9542746448826254E-3</v>
      </c>
      <c r="AE26" s="22">
        <f t="shared" si="11"/>
        <v>2.1504269076925597E-2</v>
      </c>
      <c r="AF26" s="22">
        <f t="shared" si="11"/>
        <v>5.3204244731379635E-2</v>
      </c>
      <c r="AG26" s="22">
        <f t="shared" si="11"/>
        <v>1.1631375176505809E-2</v>
      </c>
      <c r="AH26" s="22">
        <f t="shared" si="11"/>
        <v>3.1992316109887842E-3</v>
      </c>
      <c r="AI26" s="22">
        <f t="shared" si="11"/>
        <v>2.3844125779692638E-2</v>
      </c>
      <c r="AJ26" s="22">
        <f t="shared" si="11"/>
        <v>2.1959642567864979E-2</v>
      </c>
      <c r="AK26" s="22">
        <f t="shared" si="11"/>
        <v>1.2668934975353485E-2</v>
      </c>
      <c r="AL26" s="22">
        <f t="shared" si="11"/>
        <v>-1.0411966583691923E-2</v>
      </c>
      <c r="AM26" s="22">
        <f t="shared" si="11"/>
        <v>-6.9726599409805079E-3</v>
      </c>
      <c r="AN26" s="22">
        <f t="shared" si="11"/>
        <v>2.2063502447205119E-2</v>
      </c>
      <c r="AO26" s="22">
        <f t="shared" si="11"/>
        <v>1.8520781329097291E-2</v>
      </c>
      <c r="AP26" s="22">
        <f t="shared" si="11"/>
        <v>1.7441329037270581E-2</v>
      </c>
      <c r="AQ26" s="22">
        <f t="shared" si="11"/>
        <v>1.4739590914372158E-2</v>
      </c>
      <c r="AR26" s="22">
        <f t="shared" si="11"/>
        <v>1.6679670058615148E-2</v>
      </c>
      <c r="AS26" s="22">
        <f t="shared" si="11"/>
        <v>7.7824676983002661E-3</v>
      </c>
      <c r="AT26" s="23">
        <f t="shared" si="11"/>
        <v>5.3328337133795589E-3</v>
      </c>
      <c r="AU26" s="22">
        <f t="shared" si="11"/>
        <v>1.4683884297520544E-2</v>
      </c>
      <c r="AV26" s="22">
        <f t="shared" si="11"/>
        <v>-3.7329950499585651E-2</v>
      </c>
      <c r="AW26" s="22">
        <f t="shared" si="11"/>
        <v>-2.2183114976711993E-2</v>
      </c>
      <c r="AX26" s="23">
        <f t="shared" si="11"/>
        <v>-9.2721741327452811E-3</v>
      </c>
      <c r="AY26" s="23">
        <f t="shared" si="11"/>
        <v>-2.6200873362445365E-2</v>
      </c>
      <c r="AZ26" s="23">
        <f t="shared" si="11"/>
        <v>-2.6905829596412523E-2</v>
      </c>
      <c r="BA26" s="23">
        <f t="shared" si="11"/>
        <v>-1.3824884792626779E-2</v>
      </c>
      <c r="BB26" s="23">
        <f t="shared" si="11"/>
        <v>-2.8037383177570097E-2</v>
      </c>
    </row>
    <row r="27" spans="1:54" x14ac:dyDescent="0.25">
      <c r="A27" s="1" t="s">
        <v>4</v>
      </c>
      <c r="C27" s="22">
        <f t="shared" si="11"/>
        <v>0.11403530307122001</v>
      </c>
      <c r="D27" s="22">
        <f t="shared" si="11"/>
        <v>0.11148574198951033</v>
      </c>
      <c r="E27" s="22">
        <f t="shared" si="11"/>
        <v>6.7688403354680071E-2</v>
      </c>
      <c r="F27" s="22">
        <f t="shared" si="11"/>
        <v>4.4883103377838962E-2</v>
      </c>
      <c r="G27" s="22">
        <f t="shared" si="11"/>
        <v>0.12795905310300704</v>
      </c>
      <c r="H27" s="22">
        <f t="shared" si="11"/>
        <v>0.18161908363269674</v>
      </c>
      <c r="I27" s="22">
        <f t="shared" si="11"/>
        <v>1.3734248949930361E-3</v>
      </c>
      <c r="J27" s="22">
        <f t="shared" si="11"/>
        <v>0.10686036911768637</v>
      </c>
      <c r="K27" s="22">
        <f t="shared" si="11"/>
        <v>9.4859425189177449E-2</v>
      </c>
      <c r="L27" s="22">
        <f t="shared" si="11"/>
        <v>4.7644163150492247E-2</v>
      </c>
      <c r="M27" s="22">
        <f t="shared" si="11"/>
        <v>0.38909632488672607</v>
      </c>
      <c r="N27" s="22">
        <f t="shared" si="11"/>
        <v>7.8434333519578514E-2</v>
      </c>
      <c r="O27" s="22">
        <f t="shared" si="11"/>
        <v>0.15631870055310504</v>
      </c>
      <c r="P27" s="22">
        <f t="shared" si="11"/>
        <v>0.14374807001822498</v>
      </c>
      <c r="Q27" s="22">
        <f t="shared" si="11"/>
        <v>7.496109011212404E-2</v>
      </c>
      <c r="R27" s="22">
        <f t="shared" si="11"/>
        <v>9.7144658176481657E-2</v>
      </c>
      <c r="S27" s="22">
        <f t="shared" si="11"/>
        <v>0.10922687446136159</v>
      </c>
      <c r="T27" s="22">
        <f t="shared" si="11"/>
        <v>0.17323707702393198</v>
      </c>
      <c r="U27" s="22">
        <f t="shared" si="11"/>
        <v>0.26646960624706817</v>
      </c>
      <c r="V27" s="22">
        <f t="shared" si="11"/>
        <v>0.13973337690809817</v>
      </c>
      <c r="W27" s="22">
        <f t="shared" si="11"/>
        <v>0.2225198509891444</v>
      </c>
      <c r="X27" s="22">
        <f t="shared" si="11"/>
        <v>0.19590474105579192</v>
      </c>
      <c r="Y27" s="22">
        <f t="shared" si="11"/>
        <v>0.11636299448879117</v>
      </c>
      <c r="Z27" s="22">
        <f t="shared" si="11"/>
        <v>0.13166871632700872</v>
      </c>
      <c r="AA27" s="22">
        <f t="shared" si="11"/>
        <v>0.12392638830492575</v>
      </c>
      <c r="AB27" s="22">
        <f t="shared" si="11"/>
        <v>4.2505067526735996E-2</v>
      </c>
      <c r="AC27" s="22">
        <f t="shared" si="11"/>
        <v>6.1361784443752621E-2</v>
      </c>
      <c r="AD27" s="22">
        <f t="shared" si="11"/>
        <v>7.7268693778744568E-2</v>
      </c>
      <c r="AE27" s="22">
        <f t="shared" si="11"/>
        <v>4.3993259587946421E-2</v>
      </c>
      <c r="AF27" s="22">
        <f t="shared" si="11"/>
        <v>3.9009270170622168E-2</v>
      </c>
      <c r="AG27" s="22">
        <f t="shared" si="11"/>
        <v>1.4475529144688526E-2</v>
      </c>
      <c r="AH27" s="22">
        <f t="shared" si="11"/>
        <v>1.0673651972076259E-2</v>
      </c>
      <c r="AI27" s="22">
        <f t="shared" si="11"/>
        <v>3.9581556970664122E-2</v>
      </c>
      <c r="AJ27" s="22">
        <f t="shared" si="11"/>
        <v>2.9877623020102106E-2</v>
      </c>
      <c r="AK27" s="22">
        <f t="shared" si="11"/>
        <v>2.2787448420833911E-2</v>
      </c>
      <c r="AL27" s="22">
        <f t="shared" si="11"/>
        <v>1.0677362054537065E-2</v>
      </c>
      <c r="AM27" s="22">
        <f t="shared" si="11"/>
        <v>1.422933894023326E-2</v>
      </c>
      <c r="AN27" s="22">
        <f t="shared" si="11"/>
        <v>2.883913991569953E-2</v>
      </c>
      <c r="AO27" s="22">
        <f t="shared" si="11"/>
        <v>1.9173873848811862E-2</v>
      </c>
      <c r="AP27" s="22">
        <f t="shared" si="11"/>
        <v>1.4524090381626387E-2</v>
      </c>
      <c r="AQ27" s="22">
        <f t="shared" si="11"/>
        <v>5.7299547929834382E-3</v>
      </c>
      <c r="AR27" s="22">
        <f t="shared" si="11"/>
        <v>-2.2210830816659088E-3</v>
      </c>
      <c r="AS27" s="22">
        <f t="shared" si="11"/>
        <v>-1.0014224256306159E-3</v>
      </c>
      <c r="AT27" s="23">
        <f t="shared" si="11"/>
        <v>9.7558852649859418E-4</v>
      </c>
      <c r="AU27" s="22">
        <f t="shared" si="11"/>
        <v>-2.5646376811594207E-2</v>
      </c>
      <c r="AV27" s="22">
        <f t="shared" si="11"/>
        <v>-9.390841048097287E-3</v>
      </c>
      <c r="AW27" s="22">
        <f t="shared" si="11"/>
        <v>-3.7845885189052852E-3</v>
      </c>
      <c r="AX27" s="23">
        <f t="shared" si="11"/>
        <v>-1.2766213996111442E-2</v>
      </c>
      <c r="AY27" s="23">
        <f t="shared" si="11"/>
        <v>0</v>
      </c>
      <c r="AZ27" s="23">
        <f t="shared" si="11"/>
        <v>-2.2900763358778664E-2</v>
      </c>
      <c r="BA27" s="23">
        <f t="shared" si="11"/>
        <v>-3.125E-2</v>
      </c>
      <c r="BB27" s="23">
        <f t="shared" si="11"/>
        <v>-3.2258064516129004E-2</v>
      </c>
    </row>
    <row r="28" spans="1:54" x14ac:dyDescent="0.25">
      <c r="A28" s="1" t="s">
        <v>5</v>
      </c>
      <c r="C28" s="22">
        <f t="shared" si="11"/>
        <v>0.54095449500554937</v>
      </c>
      <c r="D28" s="22">
        <f t="shared" si="11"/>
        <v>0.31532699510227591</v>
      </c>
      <c r="E28" s="22">
        <f t="shared" si="11"/>
        <v>0.36042054539480883</v>
      </c>
      <c r="F28" s="22">
        <f t="shared" si="11"/>
        <v>1.7952020608597463E-2</v>
      </c>
      <c r="G28" s="22">
        <f t="shared" si="11"/>
        <v>4.4839857651245651E-2</v>
      </c>
      <c r="H28" s="22">
        <f t="shared" si="11"/>
        <v>0.19421737814108386</v>
      </c>
      <c r="I28" s="22">
        <f t="shared" si="11"/>
        <v>0.12485739637469906</v>
      </c>
      <c r="J28" s="22">
        <f t="shared" si="11"/>
        <v>5.1048005409060071E-2</v>
      </c>
      <c r="K28" s="22">
        <f t="shared" si="11"/>
        <v>5.9558271684357234E-2</v>
      </c>
      <c r="L28" s="22">
        <f t="shared" si="11"/>
        <v>1.4470022767518298E-2</v>
      </c>
      <c r="M28" s="22">
        <f t="shared" si="11"/>
        <v>8.9771083736467361E-4</v>
      </c>
      <c r="N28" s="22">
        <f t="shared" si="11"/>
        <v>0.32109223180028912</v>
      </c>
      <c r="O28" s="22">
        <f t="shared" si="11"/>
        <v>9.6820427714705781E-2</v>
      </c>
      <c r="P28" s="22">
        <f t="shared" si="11"/>
        <v>0.12799174690508952</v>
      </c>
      <c r="Q28" s="22">
        <f t="shared" si="11"/>
        <v>-6.6672763855862516E-2</v>
      </c>
      <c r="R28" s="22">
        <f t="shared" si="11"/>
        <v>3.7432631063204269E-2</v>
      </c>
      <c r="S28" s="22">
        <f t="shared" si="11"/>
        <v>0.48313969963162373</v>
      </c>
      <c r="T28" s="22">
        <f t="shared" si="11"/>
        <v>0.12246847535345817</v>
      </c>
      <c r="U28" s="22">
        <f t="shared" si="11"/>
        <v>0.34969267139479898</v>
      </c>
      <c r="V28" s="22">
        <f t="shared" si="11"/>
        <v>9.1991872766762572E-2</v>
      </c>
      <c r="W28" s="22">
        <f t="shared" si="11"/>
        <v>0.2871038111125368</v>
      </c>
      <c r="X28" s="22">
        <f t="shared" si="11"/>
        <v>0.21212513957569001</v>
      </c>
      <c r="Y28" s="22">
        <f t="shared" si="11"/>
        <v>-0.14725162648769141</v>
      </c>
      <c r="Z28" s="22">
        <f t="shared" si="11"/>
        <v>1.1952776866837711</v>
      </c>
      <c r="AA28" s="22">
        <f t="shared" si="11"/>
        <v>5.7341323889948281E-2</v>
      </c>
      <c r="AB28" s="22">
        <f t="shared" si="11"/>
        <v>7.4642742870439927E-2</v>
      </c>
      <c r="AC28" s="22">
        <f t="shared" si="11"/>
        <v>0.16192346954558112</v>
      </c>
      <c r="AD28" s="22">
        <f t="shared" si="11"/>
        <v>0.14747480798157686</v>
      </c>
      <c r="AE28" s="22">
        <f t="shared" si="11"/>
        <v>0.17668434805557887</v>
      </c>
      <c r="AF28" s="22">
        <f t="shared" si="11"/>
        <v>8.3324090710794607E-2</v>
      </c>
      <c r="AG28" s="22">
        <f t="shared" si="11"/>
        <v>7.1650558771067629E-2</v>
      </c>
      <c r="AH28" s="22">
        <f t="shared" si="11"/>
        <v>8.9754558636517157E-2</v>
      </c>
      <c r="AI28" s="22">
        <f t="shared" si="11"/>
        <v>0.11005131442063809</v>
      </c>
      <c r="AJ28" s="22">
        <f t="shared" si="11"/>
        <v>0.13374260261567272</v>
      </c>
      <c r="AK28" s="22">
        <f t="shared" si="11"/>
        <v>0.10926309825666181</v>
      </c>
      <c r="AL28" s="22">
        <f t="shared" si="11"/>
        <v>0.12464491012092904</v>
      </c>
      <c r="AM28" s="22">
        <f t="shared" si="11"/>
        <v>8.4683678597353484E-2</v>
      </c>
      <c r="AN28" s="22">
        <f t="shared" si="11"/>
        <v>0.10033152129149148</v>
      </c>
      <c r="AO28" s="22">
        <f t="shared" si="11"/>
        <v>0.1001718550678532</v>
      </c>
      <c r="AP28" s="22">
        <f t="shared" si="11"/>
        <v>0.1046098687592607</v>
      </c>
      <c r="AQ28" s="22">
        <f t="shared" si="11"/>
        <v>8.5579947763166908E-2</v>
      </c>
      <c r="AR28" s="22">
        <f t="shared" si="11"/>
        <v>5.7654329354690725E-2</v>
      </c>
      <c r="AS28" s="22">
        <f t="shared" si="11"/>
        <v>4.5767013237443921E-2</v>
      </c>
      <c r="AT28" s="23">
        <f t="shared" si="11"/>
        <v>0.11148635650497374</v>
      </c>
      <c r="AU28" s="22">
        <f t="shared" si="11"/>
        <v>-8.2307692307692415E-2</v>
      </c>
      <c r="AV28" s="22">
        <f t="shared" si="11"/>
        <v>1.1685526683431258E-2</v>
      </c>
      <c r="AW28" s="22">
        <f t="shared" si="11"/>
        <v>2.8024019404430778E-2</v>
      </c>
      <c r="AX28" s="23">
        <f t="shared" si="11"/>
        <v>2.0876247635026157E-2</v>
      </c>
      <c r="AY28" s="23">
        <f t="shared" si="11"/>
        <v>2.6315789473684292E-2</v>
      </c>
      <c r="AZ28" s="23">
        <f t="shared" si="11"/>
        <v>2.564102564102555E-2</v>
      </c>
      <c r="BA28" s="23">
        <f t="shared" si="11"/>
        <v>6.2500000000000888E-3</v>
      </c>
      <c r="BB28" s="23">
        <f t="shared" si="11"/>
        <v>6.2111801242235032E-3</v>
      </c>
    </row>
    <row r="29" spans="1:54" ht="15.75" thickBot="1" x14ac:dyDescent="0.3">
      <c r="A29" s="1" t="s">
        <v>16</v>
      </c>
    </row>
    <row r="30" spans="1:54" x14ac:dyDescent="0.25">
      <c r="A30" s="7" t="s">
        <v>7</v>
      </c>
      <c r="B30" s="19"/>
      <c r="C30" s="20">
        <f t="shared" ref="C30:BB33" si="12">C7/B7-1</f>
        <v>1.7436798438262624E-2</v>
      </c>
      <c r="D30" s="20">
        <f t="shared" si="12"/>
        <v>-1.0092443714481147E-3</v>
      </c>
      <c r="E30" s="20">
        <f t="shared" si="12"/>
        <v>-4.0087889124489018E-2</v>
      </c>
      <c r="F30" s="20">
        <f t="shared" si="12"/>
        <v>7.4720279160597425E-2</v>
      </c>
      <c r="G30" s="20">
        <f t="shared" si="12"/>
        <v>-8.4322545091672807E-2</v>
      </c>
      <c r="H30" s="20">
        <f t="shared" si="12"/>
        <v>5.6124399189974028E-2</v>
      </c>
      <c r="I30" s="20">
        <f t="shared" si="12"/>
        <v>0.1326736485445863</v>
      </c>
      <c r="J30" s="20">
        <f t="shared" si="12"/>
        <v>-0.17682151622487063</v>
      </c>
      <c r="K30" s="20">
        <f t="shared" si="12"/>
        <v>6.4642944156986459E-2</v>
      </c>
      <c r="L30" s="20">
        <f t="shared" si="12"/>
        <v>9.1437658786339027E-2</v>
      </c>
      <c r="M30" s="20">
        <f t="shared" si="12"/>
        <v>-0.1515944120061552</v>
      </c>
      <c r="N30" s="20">
        <f t="shared" si="12"/>
        <v>0.25549989109126536</v>
      </c>
      <c r="O30" s="20">
        <f t="shared" si="12"/>
        <v>-8.2444749906581793E-2</v>
      </c>
      <c r="P30" s="20">
        <f t="shared" si="12"/>
        <v>-2.0144209267064506E-3</v>
      </c>
      <c r="Q30" s="20">
        <f t="shared" si="12"/>
        <v>3.2598200850388004E-2</v>
      </c>
      <c r="R30" s="20">
        <f t="shared" si="12"/>
        <v>-5.5216823683003402E-2</v>
      </c>
      <c r="S30" s="20">
        <f t="shared" si="12"/>
        <v>0.14800885864632995</v>
      </c>
      <c r="T30" s="20">
        <f t="shared" si="12"/>
        <v>-7.1514548199042238E-2</v>
      </c>
      <c r="U30" s="20">
        <f t="shared" si="12"/>
        <v>-6.1280478190946841E-2</v>
      </c>
      <c r="V30" s="20">
        <f t="shared" si="12"/>
        <v>0.10862611460926597</v>
      </c>
      <c r="W30" s="20">
        <f t="shared" si="12"/>
        <v>0.14179757728383757</v>
      </c>
      <c r="X30" s="20">
        <f t="shared" si="12"/>
        <v>0.12020734860927207</v>
      </c>
      <c r="Y30" s="20">
        <f t="shared" si="12"/>
        <v>0.26655014661521559</v>
      </c>
      <c r="Z30" s="20">
        <f t="shared" si="12"/>
        <v>-5.0871833239811259E-2</v>
      </c>
      <c r="AA30" s="20">
        <f t="shared" si="12"/>
        <v>-4.7776181759260128E-2</v>
      </c>
      <c r="AB30" s="20">
        <f t="shared" si="12"/>
        <v>0.13537745502709986</v>
      </c>
      <c r="AC30" s="20">
        <f t="shared" si="12"/>
        <v>-2.3917204224852884E-2</v>
      </c>
      <c r="AD30" s="20">
        <f t="shared" si="12"/>
        <v>3.5214219315427675E-2</v>
      </c>
      <c r="AE30" s="20">
        <f t="shared" si="12"/>
        <v>-0.14940660283379459</v>
      </c>
      <c r="AF30" s="20">
        <f t="shared" si="12"/>
        <v>-1.0446146849307447E-2</v>
      </c>
      <c r="AG30" s="20">
        <f t="shared" si="12"/>
        <v>0.10008001257340449</v>
      </c>
      <c r="AH30" s="20">
        <f t="shared" si="12"/>
        <v>0.17006413961351718</v>
      </c>
      <c r="AI30" s="20">
        <f t="shared" si="12"/>
        <v>5.7185249868646038E-2</v>
      </c>
      <c r="AJ30" s="20">
        <f t="shared" si="12"/>
        <v>7.7041268107952865E-2</v>
      </c>
      <c r="AK30" s="20">
        <f t="shared" si="12"/>
        <v>5.8646812617595412E-2</v>
      </c>
      <c r="AL30" s="20">
        <f t="shared" si="12"/>
        <v>0.10240055043901664</v>
      </c>
      <c r="AM30" s="20">
        <f t="shared" si="12"/>
        <v>8.0540519468947913E-3</v>
      </c>
      <c r="AN30" s="20">
        <f t="shared" si="12"/>
        <v>-2.8184245163018873E-2</v>
      </c>
      <c r="AO30" s="20">
        <f t="shared" si="12"/>
        <v>-1.0459745612166893E-3</v>
      </c>
      <c r="AP30" s="20">
        <f t="shared" si="12"/>
        <v>0.11471104573247937</v>
      </c>
      <c r="AQ30" s="20">
        <f t="shared" si="12"/>
        <v>-5.9982438810229466E-2</v>
      </c>
      <c r="AR30" s="20">
        <f t="shared" si="12"/>
        <v>-4.9032851942917399E-2</v>
      </c>
      <c r="AS30" s="20">
        <f t="shared" si="12"/>
        <v>-5.7744363478538951E-2</v>
      </c>
      <c r="AT30" s="21">
        <f t="shared" si="12"/>
        <v>-1.5130623982932967E-2</v>
      </c>
      <c r="AU30" s="20">
        <f t="shared" si="12"/>
        <v>-2.5301538461538486E-2</v>
      </c>
      <c r="AV30" s="20">
        <f t="shared" si="12"/>
        <v>-6.3139053656041888E-2</v>
      </c>
      <c r="AW30" s="20">
        <f t="shared" si="12"/>
        <v>-7.7668005499097026E-2</v>
      </c>
      <c r="AX30" s="21">
        <f t="shared" si="12"/>
        <v>-9.5811139606760021E-2</v>
      </c>
      <c r="AY30" s="21">
        <f t="shared" si="12"/>
        <v>-0.12121212121212122</v>
      </c>
      <c r="AZ30" s="21">
        <f t="shared" si="12"/>
        <v>-0.14942528735632188</v>
      </c>
      <c r="BA30" s="21">
        <f t="shared" si="12"/>
        <v>-0.20270270270270274</v>
      </c>
      <c r="BB30" s="21">
        <f t="shared" si="12"/>
        <v>-0.25423728813559321</v>
      </c>
    </row>
    <row r="31" spans="1:54" x14ac:dyDescent="0.25">
      <c r="A31" s="1" t="s">
        <v>3</v>
      </c>
      <c r="C31" s="22">
        <f t="shared" si="12"/>
        <v>-1.1572196920217603E-3</v>
      </c>
      <c r="D31" s="22">
        <f t="shared" si="12"/>
        <v>8.4215053385936489E-3</v>
      </c>
      <c r="E31" s="22">
        <f t="shared" si="12"/>
        <v>-4.8205302278622075E-2</v>
      </c>
      <c r="F31" s="22">
        <f t="shared" si="12"/>
        <v>4.7729652372308529E-2</v>
      </c>
      <c r="G31" s="22">
        <f t="shared" si="12"/>
        <v>-0.10154047567095792</v>
      </c>
      <c r="H31" s="22">
        <f t="shared" si="12"/>
        <v>9.6637879950651318E-2</v>
      </c>
      <c r="I31" s="22">
        <f t="shared" si="12"/>
        <v>0.11721248305857968</v>
      </c>
      <c r="J31" s="22">
        <f t="shared" si="12"/>
        <v>-0.24440814773114694</v>
      </c>
      <c r="K31" s="22">
        <f t="shared" si="12"/>
        <v>-4.5899093351242537E-2</v>
      </c>
      <c r="L31" s="22">
        <f t="shared" si="12"/>
        <v>0.13715052462550315</v>
      </c>
      <c r="M31" s="22">
        <f t="shared" si="12"/>
        <v>-1.9000502940266228E-2</v>
      </c>
      <c r="N31" s="22">
        <f t="shared" si="12"/>
        <v>0.26542604323285102</v>
      </c>
      <c r="O31" s="22">
        <f t="shared" si="12"/>
        <v>-0.14346430435764979</v>
      </c>
      <c r="P31" s="22">
        <f t="shared" si="12"/>
        <v>-0.11806013526113035</v>
      </c>
      <c r="Q31" s="22">
        <f t="shared" si="12"/>
        <v>-4.0203596458205593E-2</v>
      </c>
      <c r="R31" s="22">
        <f t="shared" si="12"/>
        <v>-7.1052080143135687E-2</v>
      </c>
      <c r="S31" s="22">
        <f t="shared" si="12"/>
        <v>3.8729156183304081E-2</v>
      </c>
      <c r="T31" s="22">
        <f t="shared" si="12"/>
        <v>-0.1421356541881742</v>
      </c>
      <c r="U31" s="22">
        <f t="shared" si="12"/>
        <v>-1.2767504202826019E-2</v>
      </c>
      <c r="V31" s="22">
        <f t="shared" si="12"/>
        <v>2.9146065642751795E-2</v>
      </c>
      <c r="W31" s="22">
        <f t="shared" si="12"/>
        <v>0.18285429537018705</v>
      </c>
      <c r="X31" s="22">
        <f t="shared" si="12"/>
        <v>-2.9878315537048228E-2</v>
      </c>
      <c r="Y31" s="22">
        <f t="shared" si="12"/>
        <v>-1.4792421737121364E-2</v>
      </c>
      <c r="Z31" s="22">
        <f t="shared" si="12"/>
        <v>0.10459307647969629</v>
      </c>
      <c r="AA31" s="22">
        <f t="shared" si="12"/>
        <v>9.033565081265249E-2</v>
      </c>
      <c r="AB31" s="22">
        <f t="shared" si="12"/>
        <v>0.20067658554208956</v>
      </c>
      <c r="AC31" s="22">
        <f t="shared" si="12"/>
        <v>1.7839069320317869E-2</v>
      </c>
      <c r="AD31" s="22">
        <f t="shared" si="12"/>
        <v>7.2643436329012712E-2</v>
      </c>
      <c r="AE31" s="22">
        <f t="shared" si="12"/>
        <v>-0.15000089482255663</v>
      </c>
      <c r="AF31" s="22">
        <f t="shared" si="12"/>
        <v>-3.1573583968131591E-2</v>
      </c>
      <c r="AG31" s="22">
        <f t="shared" si="12"/>
        <v>5.0343727035946584E-2</v>
      </c>
      <c r="AH31" s="22">
        <f t="shared" si="12"/>
        <v>8.7412080792525382E-2</v>
      </c>
      <c r="AI31" s="22">
        <f t="shared" si="12"/>
        <v>-7.9795334104891813E-3</v>
      </c>
      <c r="AJ31" s="22">
        <f t="shared" si="12"/>
        <v>0.12508442834336231</v>
      </c>
      <c r="AK31" s="22">
        <f t="shared" si="12"/>
        <v>2.3974212914008808E-2</v>
      </c>
      <c r="AL31" s="22">
        <f t="shared" si="12"/>
        <v>0.15073185570668368</v>
      </c>
      <c r="AM31" s="22">
        <f t="shared" si="12"/>
        <v>7.7267779810564763E-2</v>
      </c>
      <c r="AN31" s="22">
        <f t="shared" si="12"/>
        <v>-3.3858225399043262E-2</v>
      </c>
      <c r="AO31" s="22">
        <f t="shared" si="12"/>
        <v>-4.9446514991377977E-2</v>
      </c>
      <c r="AP31" s="22">
        <f t="shared" si="12"/>
        <v>6.8410180183871017E-3</v>
      </c>
      <c r="AQ31" s="22">
        <f t="shared" si="12"/>
        <v>-4.0642255158384266E-2</v>
      </c>
      <c r="AR31" s="22">
        <f t="shared" si="12"/>
        <v>-3.1128546112718314E-2</v>
      </c>
      <c r="AS31" s="22">
        <f t="shared" si="12"/>
        <v>1.8947032725840085E-3</v>
      </c>
      <c r="AT31" s="23">
        <f t="shared" si="12"/>
        <v>-1.3886938476180832E-3</v>
      </c>
      <c r="AU31" s="22">
        <f t="shared" si="12"/>
        <v>-0.11816250000000006</v>
      </c>
      <c r="AV31" s="22">
        <f t="shared" si="12"/>
        <v>-0.1354097268487674</v>
      </c>
      <c r="AW31" s="22">
        <f t="shared" si="12"/>
        <v>-4.5508388085762186E-2</v>
      </c>
      <c r="AX31" s="23">
        <f t="shared" si="12"/>
        <v>-0.11969562939615408</v>
      </c>
      <c r="AY31" s="23">
        <f t="shared" si="12"/>
        <v>-0.17073170731707321</v>
      </c>
      <c r="AZ31" s="23">
        <f t="shared" si="12"/>
        <v>-0.23529411764705888</v>
      </c>
      <c r="BA31" s="23">
        <f t="shared" si="12"/>
        <v>-0.34615384615384615</v>
      </c>
      <c r="BB31" s="23">
        <f t="shared" si="12"/>
        <v>-0.52941176470588236</v>
      </c>
    </row>
    <row r="32" spans="1:54" x14ac:dyDescent="0.25">
      <c r="A32" s="1" t="s">
        <v>4</v>
      </c>
      <c r="C32" s="22">
        <f t="shared" si="12"/>
        <v>0.32185157014017163</v>
      </c>
      <c r="D32" s="22">
        <f t="shared" si="12"/>
        <v>-6.0172626387176242E-2</v>
      </c>
      <c r="E32" s="22">
        <f t="shared" si="12"/>
        <v>6.5380914895478037E-2</v>
      </c>
      <c r="F32" s="22">
        <f t="shared" si="12"/>
        <v>0.24851196584705049</v>
      </c>
      <c r="G32" s="22">
        <f t="shared" si="12"/>
        <v>2.7617951668583718E-3</v>
      </c>
      <c r="H32" s="22">
        <f t="shared" si="12"/>
        <v>-0.16010360995442474</v>
      </c>
      <c r="I32" s="22">
        <f t="shared" si="12"/>
        <v>0.3904981261711431</v>
      </c>
      <c r="J32" s="22">
        <f t="shared" si="12"/>
        <v>0.26688003593587695</v>
      </c>
      <c r="K32" s="22">
        <f t="shared" si="12"/>
        <v>0.54014404432132945</v>
      </c>
      <c r="L32" s="22">
        <f t="shared" si="12"/>
        <v>-4.8101411531101035E-2</v>
      </c>
      <c r="M32" s="22">
        <f t="shared" si="12"/>
        <v>-0.54345788741761902</v>
      </c>
      <c r="N32" s="22">
        <f t="shared" si="12"/>
        <v>0.31715392510677742</v>
      </c>
      <c r="O32" s="22">
        <f t="shared" si="12"/>
        <v>0.20574631742999361</v>
      </c>
      <c r="P32" s="22">
        <f t="shared" si="12"/>
        <v>0.3354180999437113</v>
      </c>
      <c r="Q32" s="22">
        <f t="shared" si="12"/>
        <v>0.14139190708130389</v>
      </c>
      <c r="R32" s="22">
        <f t="shared" si="12"/>
        <v>-9.3594846333757364E-2</v>
      </c>
      <c r="S32" s="22">
        <f t="shared" si="12"/>
        <v>0.47528293345405159</v>
      </c>
      <c r="T32" s="22">
        <f t="shared" si="12"/>
        <v>-5.8608733008069791E-3</v>
      </c>
      <c r="U32" s="22">
        <f t="shared" si="12"/>
        <v>-0.12237380908286521</v>
      </c>
      <c r="V32" s="22">
        <f t="shared" si="12"/>
        <v>0.16811254396248532</v>
      </c>
      <c r="W32" s="22">
        <f t="shared" si="12"/>
        <v>0.14805299076676026</v>
      </c>
      <c r="X32" s="22">
        <f t="shared" si="12"/>
        <v>0.28280823833834523</v>
      </c>
      <c r="Y32" s="22">
        <f t="shared" si="12"/>
        <v>8.6634456158044992E-2</v>
      </c>
      <c r="Z32" s="22">
        <f t="shared" si="12"/>
        <v>5.5758328316275474E-2</v>
      </c>
      <c r="AA32" s="22">
        <f t="shared" si="12"/>
        <v>-0.21584584221875069</v>
      </c>
      <c r="AB32" s="22">
        <f t="shared" si="12"/>
        <v>-7.8600106052571728E-2</v>
      </c>
      <c r="AC32" s="22">
        <f t="shared" si="12"/>
        <v>-0.11452389956755515</v>
      </c>
      <c r="AD32" s="22">
        <f t="shared" si="12"/>
        <v>-7.5661071083710785E-2</v>
      </c>
      <c r="AE32" s="22">
        <f t="shared" si="12"/>
        <v>-0.15313143488523939</v>
      </c>
      <c r="AF32" s="22">
        <f t="shared" si="12"/>
        <v>2.1148143755189253E-2</v>
      </c>
      <c r="AG32" s="22">
        <f t="shared" si="12"/>
        <v>0.16109323638391038</v>
      </c>
      <c r="AH32" s="22">
        <f t="shared" si="12"/>
        <v>0.2659410576018888</v>
      </c>
      <c r="AI32" s="22">
        <f t="shared" si="12"/>
        <v>7.6936449986566124E-2</v>
      </c>
      <c r="AJ32" s="22">
        <f t="shared" si="12"/>
        <v>-5.6794000675070899E-2</v>
      </c>
      <c r="AK32" s="22">
        <f t="shared" si="12"/>
        <v>0.15543238785766511</v>
      </c>
      <c r="AL32" s="22">
        <f t="shared" si="12"/>
        <v>5.8041460504159703E-2</v>
      </c>
      <c r="AM32" s="22">
        <f t="shared" si="12"/>
        <v>-4.6524799226177693E-2</v>
      </c>
      <c r="AN32" s="22">
        <f t="shared" si="12"/>
        <v>-3.178247492174513E-2</v>
      </c>
      <c r="AO32" s="22">
        <f t="shared" si="12"/>
        <v>7.51366591070457E-2</v>
      </c>
      <c r="AP32" s="22">
        <f t="shared" si="12"/>
        <v>8.3510184716193647E-2</v>
      </c>
      <c r="AQ32" s="22">
        <f t="shared" si="12"/>
        <v>-2.3018568706582032E-3</v>
      </c>
      <c r="AR32" s="22">
        <f t="shared" si="12"/>
        <v>-1.0308116603896633E-2</v>
      </c>
      <c r="AS32" s="22">
        <f t="shared" si="12"/>
        <v>2.2311181959284943E-2</v>
      </c>
      <c r="AT32" s="23">
        <f t="shared" si="12"/>
        <v>2.585145670906841E-2</v>
      </c>
      <c r="AU32" s="22">
        <f t="shared" si="12"/>
        <v>0.13397714285714279</v>
      </c>
      <c r="AV32" s="22">
        <f t="shared" si="12"/>
        <v>-3.428136621549438E-2</v>
      </c>
      <c r="AW32" s="22">
        <f t="shared" si="12"/>
        <v>-5.4909388811487991E-2</v>
      </c>
      <c r="AX32" s="23">
        <f t="shared" si="12"/>
        <v>-6.1837455830389132E-3</v>
      </c>
      <c r="AY32" s="23">
        <f t="shared" si="12"/>
        <v>0</v>
      </c>
      <c r="AZ32" s="23">
        <f t="shared" si="12"/>
        <v>0</v>
      </c>
      <c r="BA32" s="23">
        <f t="shared" si="12"/>
        <v>0</v>
      </c>
      <c r="BB32" s="23">
        <f t="shared" si="12"/>
        <v>0</v>
      </c>
    </row>
    <row r="33" spans="1:54" x14ac:dyDescent="0.25">
      <c r="A33" s="1" t="s">
        <v>5</v>
      </c>
      <c r="C33" s="22">
        <f t="shared" si="12"/>
        <v>-0.12455664510744846</v>
      </c>
      <c r="D33" s="22">
        <f t="shared" si="12"/>
        <v>-8.555767397521441E-2</v>
      </c>
      <c r="E33" s="22">
        <f t="shared" si="12"/>
        <v>-0.11128485796194942</v>
      </c>
      <c r="F33" s="22">
        <f t="shared" si="12"/>
        <v>0.3195014662756599</v>
      </c>
      <c r="G33" s="22">
        <f t="shared" si="12"/>
        <v>5.9784420491165724E-2</v>
      </c>
      <c r="H33" s="22">
        <f t="shared" si="12"/>
        <v>-0.12697913389954918</v>
      </c>
      <c r="I33" s="22">
        <f t="shared" si="12"/>
        <v>-0.241292337256786</v>
      </c>
      <c r="J33" s="22">
        <f t="shared" si="12"/>
        <v>2.0104479974671463E-2</v>
      </c>
      <c r="K33" s="22">
        <f t="shared" si="12"/>
        <v>4.3451272501553451E-3</v>
      </c>
      <c r="L33" s="22">
        <f t="shared" si="12"/>
        <v>0.30546971569839299</v>
      </c>
      <c r="M33" s="22">
        <f t="shared" si="12"/>
        <v>-0.32844123564918914</v>
      </c>
      <c r="N33" s="22">
        <f t="shared" si="12"/>
        <v>-0.42756432851603809</v>
      </c>
      <c r="O33" s="22">
        <f t="shared" si="12"/>
        <v>1.2102832512315271</v>
      </c>
      <c r="P33" s="22">
        <f t="shared" si="12"/>
        <v>1.2975344755536984</v>
      </c>
      <c r="Q33" s="22">
        <f t="shared" si="12"/>
        <v>0.46598763186613312</v>
      </c>
      <c r="R33" s="22">
        <f t="shared" si="12"/>
        <v>0.18271298593879237</v>
      </c>
      <c r="S33" s="22">
        <f t="shared" si="12"/>
        <v>5.0283236589971469E-2</v>
      </c>
      <c r="T33" s="22">
        <f t="shared" si="12"/>
        <v>0.13703555733120254</v>
      </c>
      <c r="U33" s="22">
        <f t="shared" si="12"/>
        <v>-0.10626024830170999</v>
      </c>
      <c r="V33" s="22">
        <f t="shared" si="12"/>
        <v>0.33843331258395315</v>
      </c>
      <c r="W33" s="22">
        <f t="shared" si="12"/>
        <v>-3.076885418451536E-2</v>
      </c>
      <c r="X33" s="22">
        <f t="shared" si="12"/>
        <v>0.35225780381856753</v>
      </c>
      <c r="Y33" s="22">
        <f t="shared" si="12"/>
        <v>1.7034214851337222</v>
      </c>
      <c r="Z33" s="22">
        <f t="shared" si="12"/>
        <v>-0.3583922847352714</v>
      </c>
      <c r="AA33" s="22">
        <f t="shared" si="12"/>
        <v>-3.3809246936709947E-2</v>
      </c>
      <c r="AB33" s="22">
        <f t="shared" si="12"/>
        <v>0.29507210199032707</v>
      </c>
      <c r="AC33" s="22">
        <f t="shared" si="12"/>
        <v>-2.1030530409940518E-2</v>
      </c>
      <c r="AD33" s="22">
        <f t="shared" si="12"/>
        <v>5.4488081006961453E-2</v>
      </c>
      <c r="AE33" s="22">
        <f t="shared" si="12"/>
        <v>-0.14493152283544641</v>
      </c>
      <c r="AF33" s="22">
        <f t="shared" si="12"/>
        <v>1.2497562877753943E-2</v>
      </c>
      <c r="AG33" s="22">
        <f t="shared" si="12"/>
        <v>0.15963490015597626</v>
      </c>
      <c r="AH33" s="22">
        <f t="shared" si="12"/>
        <v>0.25625612327925484</v>
      </c>
      <c r="AI33" s="22">
        <f t="shared" si="12"/>
        <v>0.15379429764847385</v>
      </c>
      <c r="AJ33" s="22">
        <f t="shared" si="12"/>
        <v>0.10980890844102298</v>
      </c>
      <c r="AK33" s="22">
        <f t="shared" si="12"/>
        <v>4.6899239210099752E-2</v>
      </c>
      <c r="AL33" s="22">
        <f t="shared" si="12"/>
        <v>6.3350091656890983E-2</v>
      </c>
      <c r="AM33" s="22">
        <f t="shared" si="12"/>
        <v>-6.3037249283667496E-2</v>
      </c>
      <c r="AN33" s="22">
        <f t="shared" si="12"/>
        <v>-1.5067842403729159E-2</v>
      </c>
      <c r="AO33" s="22">
        <f t="shared" si="12"/>
        <v>3.0857963937078292E-2</v>
      </c>
      <c r="AP33" s="22">
        <f t="shared" si="12"/>
        <v>0.31810140216294736</v>
      </c>
      <c r="AQ33" s="22">
        <f t="shared" si="12"/>
        <v>-0.12063138745507518</v>
      </c>
      <c r="AR33" s="22">
        <f t="shared" si="12"/>
        <v>-0.10133836780516925</v>
      </c>
      <c r="AS33" s="22">
        <f t="shared" si="12"/>
        <v>-0.20949720670391059</v>
      </c>
      <c r="AT33" s="23">
        <f t="shared" si="12"/>
        <v>-8.257423750081383E-2</v>
      </c>
      <c r="AU33" s="22">
        <f t="shared" si="12"/>
        <v>-1.3419354838709707E-2</v>
      </c>
      <c r="AV33" s="22">
        <f t="shared" si="12"/>
        <v>3.2775307350248584E-2</v>
      </c>
      <c r="AW33" s="22">
        <f t="shared" si="12"/>
        <v>-0.15496542815895442</v>
      </c>
      <c r="AX33" s="23">
        <f t="shared" si="12"/>
        <v>-0.10084071393247318</v>
      </c>
      <c r="AY33" s="23">
        <f t="shared" si="12"/>
        <v>-8.333333333333337E-2</v>
      </c>
      <c r="AZ33" s="23">
        <f t="shared" si="12"/>
        <v>-9.0909090909090939E-2</v>
      </c>
      <c r="BA33" s="23">
        <f t="shared" si="12"/>
        <v>-9.9999999999999978E-2</v>
      </c>
      <c r="BB33" s="23">
        <f t="shared" si="12"/>
        <v>-5.555555555555558E-2</v>
      </c>
    </row>
    <row r="35" spans="1:54" ht="15.75" thickBot="1" x14ac:dyDescent="0.3">
      <c r="A35" s="1" t="s">
        <v>17</v>
      </c>
    </row>
    <row r="36" spans="1:54" x14ac:dyDescent="0.25">
      <c r="A36" s="7" t="s">
        <v>7</v>
      </c>
      <c r="B36" s="19"/>
      <c r="C36" s="8">
        <f t="shared" ref="C36:AS39" si="13">C3-B3</f>
        <v>68.343000000000018</v>
      </c>
      <c r="D36" s="8">
        <f t="shared" si="13"/>
        <v>67.476999999999975</v>
      </c>
      <c r="E36" s="8">
        <f t="shared" si="13"/>
        <v>81.600999999999999</v>
      </c>
      <c r="F36" s="8">
        <f t="shared" si="13"/>
        <v>67.211999999999989</v>
      </c>
      <c r="G36" s="8">
        <f t="shared" si="13"/>
        <v>107.08899999999994</v>
      </c>
      <c r="H36" s="8">
        <f t="shared" si="13"/>
        <v>70.755000000000109</v>
      </c>
      <c r="I36" s="8">
        <f t="shared" si="13"/>
        <v>40.475999999999999</v>
      </c>
      <c r="J36" s="8">
        <f t="shared" si="13"/>
        <v>122.25999999999999</v>
      </c>
      <c r="K36" s="8">
        <f t="shared" si="13"/>
        <v>61.572000000000003</v>
      </c>
      <c r="L36" s="8">
        <f t="shared" si="13"/>
        <v>128.55899999999997</v>
      </c>
      <c r="M36" s="8">
        <f t="shared" si="13"/>
        <v>159.56899999999996</v>
      </c>
      <c r="N36" s="8">
        <f t="shared" si="13"/>
        <v>12.567999999999984</v>
      </c>
      <c r="O36" s="8">
        <f t="shared" si="13"/>
        <v>157.75900000000001</v>
      </c>
      <c r="P36" s="8">
        <f t="shared" si="13"/>
        <v>141.18999999999983</v>
      </c>
      <c r="Q36" s="8">
        <f t="shared" si="13"/>
        <v>73.958000000000311</v>
      </c>
      <c r="R36" s="8">
        <f t="shared" si="13"/>
        <v>80.212999999999738</v>
      </c>
      <c r="S36" s="8">
        <f t="shared" si="13"/>
        <v>64.001000000000204</v>
      </c>
      <c r="T36" s="8">
        <f t="shared" si="13"/>
        <v>130.24800000000005</v>
      </c>
      <c r="U36" s="8">
        <f t="shared" si="13"/>
        <v>123.56399999999985</v>
      </c>
      <c r="V36" s="8">
        <f t="shared" si="13"/>
        <v>98.985000000000127</v>
      </c>
      <c r="W36" s="8">
        <f t="shared" si="13"/>
        <v>110.08199999999988</v>
      </c>
      <c r="X36" s="8">
        <f t="shared" si="13"/>
        <v>160.03600000000006</v>
      </c>
      <c r="Y36" s="8">
        <f t="shared" si="13"/>
        <v>83.76299999999992</v>
      </c>
      <c r="Z36" s="8">
        <f t="shared" si="13"/>
        <v>259.75500000000011</v>
      </c>
      <c r="AA36" s="8">
        <f t="shared" si="13"/>
        <v>85.088999999999487</v>
      </c>
      <c r="AB36" s="8">
        <f t="shared" si="13"/>
        <v>63.477000000000317</v>
      </c>
      <c r="AC36" s="8">
        <f t="shared" si="13"/>
        <v>183.04000000000042</v>
      </c>
      <c r="AD36" s="8">
        <f t="shared" si="13"/>
        <v>114.82599999999957</v>
      </c>
      <c r="AE36" s="8">
        <f t="shared" si="13"/>
        <v>147.82699999999977</v>
      </c>
      <c r="AF36" s="8">
        <f t="shared" si="13"/>
        <v>180.48000000000047</v>
      </c>
      <c r="AG36" s="8">
        <f t="shared" si="13"/>
        <v>71.814000000000306</v>
      </c>
      <c r="AH36" s="8">
        <f t="shared" si="13"/>
        <v>61.135000000000218</v>
      </c>
      <c r="AI36" s="8">
        <f t="shared" si="13"/>
        <v>152.13399999999956</v>
      </c>
      <c r="AJ36" s="8">
        <f t="shared" si="13"/>
        <v>159.17899999999963</v>
      </c>
      <c r="AK36" s="8">
        <f t="shared" si="13"/>
        <v>126.51152000000047</v>
      </c>
      <c r="AL36" s="8">
        <f t="shared" si="13"/>
        <v>79.62347999999929</v>
      </c>
      <c r="AM36" s="8">
        <f t="shared" si="13"/>
        <v>71.035000000000764</v>
      </c>
      <c r="AN36" s="8">
        <f t="shared" si="13"/>
        <v>173.21699999999964</v>
      </c>
      <c r="AO36" s="8">
        <f t="shared" si="13"/>
        <v>163.23199999999997</v>
      </c>
      <c r="AP36" s="8">
        <f t="shared" si="13"/>
        <v>170.07600000000002</v>
      </c>
      <c r="AQ36" s="8">
        <f t="shared" si="13"/>
        <v>142.04100000000017</v>
      </c>
      <c r="AR36" s="8">
        <f t="shared" si="13"/>
        <v>109.27499999999964</v>
      </c>
      <c r="AS36" s="8">
        <f t="shared" si="13"/>
        <v>78.631000000000313</v>
      </c>
      <c r="AT36" s="9">
        <f>AT47+AP41</f>
        <v>175.81086085714287</v>
      </c>
      <c r="AU36" s="8">
        <f t="shared" ref="AU36:AW39" si="14">AU3-AT3</f>
        <v>-138.25699999999961</v>
      </c>
      <c r="AV36" s="8">
        <f t="shared" si="14"/>
        <v>-87.563000000001011</v>
      </c>
      <c r="AW36" s="8">
        <f t="shared" si="14"/>
        <v>-16.890999999999622</v>
      </c>
      <c r="AX36" s="9">
        <f t="shared" ref="AX36:BB39" si="15">AX47+AT41</f>
        <v>-16.006068606803638</v>
      </c>
      <c r="AY36" s="9">
        <f t="shared" si="15"/>
        <v>-24.5736136883462</v>
      </c>
      <c r="AZ36" s="9">
        <f t="shared" si="15"/>
        <v>-51.290598600143767</v>
      </c>
      <c r="BA36" s="9">
        <f t="shared" si="15"/>
        <v>-69.296782525898038</v>
      </c>
      <c r="BB36" s="9">
        <f t="shared" si="15"/>
        <v>-100.42071099429995</v>
      </c>
    </row>
    <row r="37" spans="1:54" x14ac:dyDescent="0.25">
      <c r="A37" s="1" t="s">
        <v>3</v>
      </c>
      <c r="C37" s="5">
        <f t="shared" si="13"/>
        <v>61.261000000000024</v>
      </c>
      <c r="D37" s="5">
        <f t="shared" si="13"/>
        <v>60.228999999999985</v>
      </c>
      <c r="E37" s="5">
        <f t="shared" si="13"/>
        <v>74.895999999999958</v>
      </c>
      <c r="F37" s="5">
        <f t="shared" si="13"/>
        <v>64.572000000000003</v>
      </c>
      <c r="G37" s="5">
        <f t="shared" si="13"/>
        <v>99.322000000000003</v>
      </c>
      <c r="H37" s="5">
        <f t="shared" si="13"/>
        <v>56.662000000000035</v>
      </c>
      <c r="I37" s="5">
        <f t="shared" si="13"/>
        <v>38.40300000000002</v>
      </c>
      <c r="J37" s="5">
        <f t="shared" si="13"/>
        <v>113.32899999999995</v>
      </c>
      <c r="K37" s="5">
        <f t="shared" si="13"/>
        <v>52.576000000000022</v>
      </c>
      <c r="L37" s="5">
        <f t="shared" si="13"/>
        <v>123.93700000000001</v>
      </c>
      <c r="M37" s="5">
        <f t="shared" si="13"/>
        <v>122.45299999999997</v>
      </c>
      <c r="N37" s="5">
        <f t="shared" si="13"/>
        <v>-4.2639999999998963</v>
      </c>
      <c r="O37" s="5">
        <f t="shared" si="13"/>
        <v>132.86500000000001</v>
      </c>
      <c r="P37" s="5">
        <f t="shared" si="13"/>
        <v>113.72699999999986</v>
      </c>
      <c r="Q37" s="5">
        <f t="shared" si="13"/>
        <v>61.985000000000127</v>
      </c>
      <c r="R37" s="5">
        <f t="shared" si="13"/>
        <v>59.340999999999894</v>
      </c>
      <c r="S37" s="5">
        <f t="shared" si="13"/>
        <v>24.322000000000116</v>
      </c>
      <c r="T37" s="5">
        <f t="shared" si="13"/>
        <v>81.668999999999869</v>
      </c>
      <c r="U37" s="5">
        <f t="shared" si="13"/>
        <v>27.817000000000007</v>
      </c>
      <c r="V37" s="5">
        <f t="shared" si="13"/>
        <v>41.11200000000008</v>
      </c>
      <c r="W37" s="5">
        <f t="shared" si="13"/>
        <v>-5.4149999999999636</v>
      </c>
      <c r="X37" s="5">
        <f t="shared" si="13"/>
        <v>38.530999999999949</v>
      </c>
      <c r="Y37" s="5">
        <f t="shared" si="13"/>
        <v>30.470000000000027</v>
      </c>
      <c r="Z37" s="5">
        <f t="shared" si="13"/>
        <v>45.895999999999958</v>
      </c>
      <c r="AA37" s="5">
        <f t="shared" si="13"/>
        <v>-23.754000000000133</v>
      </c>
      <c r="AB37" s="5">
        <f t="shared" si="13"/>
        <v>8.5870000000002165</v>
      </c>
      <c r="AC37" s="5">
        <f t="shared" si="13"/>
        <v>85.588999999999942</v>
      </c>
      <c r="AD37" s="5">
        <f t="shared" si="13"/>
        <v>-3.7650000000001</v>
      </c>
      <c r="AE37" s="5">
        <f t="shared" si="13"/>
        <v>41.347999999999956</v>
      </c>
      <c r="AF37" s="5">
        <f t="shared" si="13"/>
        <v>104.5</v>
      </c>
      <c r="AG37" s="5">
        <f t="shared" si="13"/>
        <v>24.061000000000149</v>
      </c>
      <c r="AH37" s="5">
        <f t="shared" si="13"/>
        <v>6.6950000000001637</v>
      </c>
      <c r="AI37" s="5">
        <f t="shared" si="13"/>
        <v>50.057999999999993</v>
      </c>
      <c r="AJ37" s="5">
        <f t="shared" si="13"/>
        <v>47.200999999999567</v>
      </c>
      <c r="AK37" s="5">
        <f t="shared" si="13"/>
        <v>27.82914000000028</v>
      </c>
      <c r="AL37" s="5">
        <f t="shared" si="13"/>
        <v>-23.161140000000159</v>
      </c>
      <c r="AM37" s="5">
        <f t="shared" si="13"/>
        <v>-15.348999999999705</v>
      </c>
      <c r="AN37" s="5">
        <f t="shared" si="13"/>
        <v>48.230000000000018</v>
      </c>
      <c r="AO37" s="5">
        <f t="shared" si="13"/>
        <v>41.378999999999905</v>
      </c>
      <c r="AP37" s="5">
        <f t="shared" si="13"/>
        <v>39.688999999999851</v>
      </c>
      <c r="AQ37" s="5">
        <f t="shared" si="13"/>
        <v>34.126000000000204</v>
      </c>
      <c r="AR37" s="5">
        <f t="shared" si="13"/>
        <v>39.186999999999898</v>
      </c>
      <c r="AS37" s="5">
        <f t="shared" si="13"/>
        <v>18.588999999999942</v>
      </c>
      <c r="AT37" s="6">
        <f t="shared" ref="AT37:AT39" si="16">AT48+AP42</f>
        <v>16.733296571428411</v>
      </c>
      <c r="AU37" s="5">
        <f t="shared" si="14"/>
        <v>35.534999999999854</v>
      </c>
      <c r="AV37" s="5">
        <f t="shared" si="14"/>
        <v>-91.664999999999964</v>
      </c>
      <c r="AW37" s="5">
        <f t="shared" si="14"/>
        <v>-52.438000000000102</v>
      </c>
      <c r="AX37" s="6">
        <f t="shared" si="15"/>
        <v>-22.063378906121102</v>
      </c>
      <c r="AY37" s="6">
        <f t="shared" si="15"/>
        <v>-57.89410706249339</v>
      </c>
      <c r="AZ37" s="6">
        <f t="shared" si="15"/>
        <v>-56.485240895446367</v>
      </c>
      <c r="BA37" s="6">
        <f t="shared" si="15"/>
        <v>-31.175565643972675</v>
      </c>
      <c r="BB37" s="6">
        <f t="shared" si="15"/>
        <v>-60.342107990557452</v>
      </c>
    </row>
    <row r="38" spans="1:54" x14ac:dyDescent="0.25">
      <c r="A38" s="1" t="s">
        <v>4</v>
      </c>
      <c r="C38" s="5">
        <f t="shared" si="13"/>
        <v>4.6450000000000031</v>
      </c>
      <c r="D38" s="5">
        <f t="shared" si="13"/>
        <v>5.0589999999999975</v>
      </c>
      <c r="E38" s="5">
        <f t="shared" si="13"/>
        <v>3.4140000000000015</v>
      </c>
      <c r="F38" s="5">
        <f t="shared" si="13"/>
        <v>2.4170000000000016</v>
      </c>
      <c r="G38" s="5">
        <f t="shared" si="13"/>
        <v>7.2000000000000028</v>
      </c>
      <c r="H38" s="5">
        <f t="shared" si="13"/>
        <v>11.527000000000001</v>
      </c>
      <c r="I38" s="5">
        <f t="shared" si="13"/>
        <v>0.10299999999999443</v>
      </c>
      <c r="J38" s="5">
        <f t="shared" si="13"/>
        <v>8.0250000000000057</v>
      </c>
      <c r="K38" s="5">
        <f t="shared" si="13"/>
        <v>7.8849999999999909</v>
      </c>
      <c r="L38" s="5">
        <f t="shared" si="13"/>
        <v>4.3359999999999985</v>
      </c>
      <c r="M38" s="5">
        <f t="shared" si="13"/>
        <v>37.098000000000013</v>
      </c>
      <c r="N38" s="5">
        <f t="shared" si="13"/>
        <v>10.388000000000005</v>
      </c>
      <c r="O38" s="5">
        <f t="shared" si="13"/>
        <v>22.326999999999998</v>
      </c>
      <c r="P38" s="5">
        <f t="shared" si="13"/>
        <v>23.740999999999985</v>
      </c>
      <c r="Q38" s="5">
        <f t="shared" si="13"/>
        <v>14.159999999999997</v>
      </c>
      <c r="R38" s="5">
        <f t="shared" si="13"/>
        <v>19.725999999999999</v>
      </c>
      <c r="S38" s="5">
        <f t="shared" si="13"/>
        <v>24.334000000000003</v>
      </c>
      <c r="T38" s="5">
        <f t="shared" si="13"/>
        <v>42.81</v>
      </c>
      <c r="U38" s="5">
        <f t="shared" si="13"/>
        <v>77.257000000000005</v>
      </c>
      <c r="V38" s="5">
        <f t="shared" si="13"/>
        <v>51.307999999999993</v>
      </c>
      <c r="W38" s="5">
        <f t="shared" si="13"/>
        <v>93.12299999999999</v>
      </c>
      <c r="X38" s="5">
        <f t="shared" si="13"/>
        <v>100.22800000000007</v>
      </c>
      <c r="Y38" s="5">
        <f t="shared" si="13"/>
        <v>71.195999999999913</v>
      </c>
      <c r="Z38" s="5">
        <f t="shared" si="13"/>
        <v>89.935000000000059</v>
      </c>
      <c r="AA38" s="5">
        <f t="shared" si="13"/>
        <v>95.79200000000003</v>
      </c>
      <c r="AB38" s="5">
        <f t="shared" si="13"/>
        <v>36.926999999999907</v>
      </c>
      <c r="AC38" s="5">
        <f t="shared" si="13"/>
        <v>55.575000000000045</v>
      </c>
      <c r="AD38" s="5">
        <f t="shared" si="13"/>
        <v>74.276000000000067</v>
      </c>
      <c r="AE38" s="5">
        <f t="shared" si="13"/>
        <v>45.557000000000016</v>
      </c>
      <c r="AF38" s="5">
        <f t="shared" si="13"/>
        <v>42.173000000000002</v>
      </c>
      <c r="AG38" s="5">
        <f t="shared" si="13"/>
        <v>16.259999999999991</v>
      </c>
      <c r="AH38" s="5">
        <f t="shared" si="13"/>
        <v>12.163000000000011</v>
      </c>
      <c r="AI38" s="5">
        <f t="shared" si="13"/>
        <v>45.586000000000013</v>
      </c>
      <c r="AJ38" s="5">
        <f t="shared" si="13"/>
        <v>35.771999999999935</v>
      </c>
      <c r="AK38" s="5">
        <f t="shared" si="13"/>
        <v>28.098199999999906</v>
      </c>
      <c r="AL38" s="5">
        <f t="shared" si="13"/>
        <v>13.465799999999945</v>
      </c>
      <c r="AM38" s="5">
        <f t="shared" si="13"/>
        <v>18.137000000000171</v>
      </c>
      <c r="AN38" s="5">
        <f t="shared" si="13"/>
        <v>37.281999999999925</v>
      </c>
      <c r="AO38" s="5">
        <f t="shared" si="13"/>
        <v>25.501999999999953</v>
      </c>
      <c r="AP38" s="5">
        <f t="shared" si="13"/>
        <v>19.688000000000102</v>
      </c>
      <c r="AQ38" s="5">
        <f t="shared" si="13"/>
        <v>7.8799999999998818</v>
      </c>
      <c r="AR38" s="5">
        <f t="shared" si="13"/>
        <v>-3.071999999999889</v>
      </c>
      <c r="AS38" s="5">
        <f t="shared" si="13"/>
        <v>-1.3820000000000618</v>
      </c>
      <c r="AT38" s="6">
        <f t="shared" si="16"/>
        <v>1.6942968571424046</v>
      </c>
      <c r="AU38" s="5">
        <f t="shared" si="14"/>
        <v>-35.392000000000053</v>
      </c>
      <c r="AV38" s="5">
        <f t="shared" si="14"/>
        <v>-12.626999999999953</v>
      </c>
      <c r="AW38" s="5">
        <f t="shared" si="14"/>
        <v>-5.04099999999994</v>
      </c>
      <c r="AX38" s="6">
        <f t="shared" si="15"/>
        <v>-21.614113902040941</v>
      </c>
      <c r="AY38" s="6">
        <f t="shared" si="15"/>
        <v>-1.9209720400912431</v>
      </c>
      <c r="AZ38" s="6">
        <f t="shared" si="15"/>
        <v>-33.953853014125457</v>
      </c>
      <c r="BA38" s="6">
        <f t="shared" si="15"/>
        <v>-41.436756380089577</v>
      </c>
      <c r="BB38" s="6">
        <f t="shared" si="15"/>
        <v>-38.47340928587073</v>
      </c>
    </row>
    <row r="39" spans="1:54" x14ac:dyDescent="0.25">
      <c r="A39" s="1" t="s">
        <v>5</v>
      </c>
      <c r="C39" s="5">
        <f t="shared" si="13"/>
        <v>2.4370000000000003</v>
      </c>
      <c r="D39" s="5">
        <f t="shared" si="13"/>
        <v>2.1890000000000001</v>
      </c>
      <c r="E39" s="5">
        <f t="shared" si="13"/>
        <v>3.2910000000000004</v>
      </c>
      <c r="F39" s="5">
        <f t="shared" si="13"/>
        <v>0.22299999999999898</v>
      </c>
      <c r="G39" s="5">
        <f t="shared" si="13"/>
        <v>0.56700000000000017</v>
      </c>
      <c r="H39" s="5">
        <f t="shared" si="13"/>
        <v>2.5660000000000007</v>
      </c>
      <c r="I39" s="5">
        <f t="shared" si="13"/>
        <v>1.9700000000000006</v>
      </c>
      <c r="J39" s="5">
        <f t="shared" si="13"/>
        <v>0.90599999999999881</v>
      </c>
      <c r="K39" s="5">
        <f t="shared" si="13"/>
        <v>1.1110000000000007</v>
      </c>
      <c r="L39" s="5">
        <f t="shared" si="13"/>
        <v>0.28599999999999781</v>
      </c>
      <c r="M39" s="5">
        <f t="shared" si="13"/>
        <v>1.8000000000000682E-2</v>
      </c>
      <c r="N39" s="5">
        <f t="shared" si="13"/>
        <v>6.4440000000000026</v>
      </c>
      <c r="O39" s="5">
        <f t="shared" si="13"/>
        <v>2.5669999999999966</v>
      </c>
      <c r="P39" s="5">
        <f t="shared" si="13"/>
        <v>3.7220000000000013</v>
      </c>
      <c r="Q39" s="5">
        <f t="shared" si="13"/>
        <v>-2.1870000000000012</v>
      </c>
      <c r="R39" s="5">
        <f t="shared" si="13"/>
        <v>1.1460000000000008</v>
      </c>
      <c r="S39" s="5">
        <f t="shared" si="13"/>
        <v>15.345000000000002</v>
      </c>
      <c r="T39" s="5">
        <f t="shared" si="13"/>
        <v>5.7689999999999984</v>
      </c>
      <c r="U39" s="5">
        <f t="shared" si="13"/>
        <v>18.489999999999995</v>
      </c>
      <c r="V39" s="5">
        <f t="shared" si="13"/>
        <v>6.5650000000000119</v>
      </c>
      <c r="W39" s="5">
        <f t="shared" si="13"/>
        <v>22.373999999999995</v>
      </c>
      <c r="X39" s="5">
        <f t="shared" si="13"/>
        <v>21.277000000000001</v>
      </c>
      <c r="Y39" s="5">
        <f t="shared" si="13"/>
        <v>-17.903000000000006</v>
      </c>
      <c r="Z39" s="5">
        <f t="shared" si="13"/>
        <v>123.92400000000001</v>
      </c>
      <c r="AA39" s="5">
        <f t="shared" si="13"/>
        <v>13.050999999999988</v>
      </c>
      <c r="AB39" s="5">
        <f t="shared" si="13"/>
        <v>17.962999999999994</v>
      </c>
      <c r="AC39" s="5">
        <f t="shared" si="13"/>
        <v>41.876000000000033</v>
      </c>
      <c r="AD39" s="5">
        <f t="shared" si="13"/>
        <v>44.314999999999998</v>
      </c>
      <c r="AE39" s="5">
        <f t="shared" si="13"/>
        <v>60.921999999999969</v>
      </c>
      <c r="AF39" s="5">
        <f t="shared" si="13"/>
        <v>33.807000000000016</v>
      </c>
      <c r="AG39" s="5">
        <f t="shared" si="13"/>
        <v>31.492999999999995</v>
      </c>
      <c r="AH39" s="5">
        <f t="shared" si="13"/>
        <v>42.277000000000044</v>
      </c>
      <c r="AI39" s="5">
        <f t="shared" si="13"/>
        <v>56.490000000000009</v>
      </c>
      <c r="AJ39" s="5">
        <f t="shared" si="13"/>
        <v>76.205999999999904</v>
      </c>
      <c r="AK39" s="5">
        <f t="shared" si="13"/>
        <v>70.58418000000006</v>
      </c>
      <c r="AL39" s="5">
        <f t="shared" si="13"/>
        <v>89.31881999999996</v>
      </c>
      <c r="AM39" s="5">
        <f t="shared" si="13"/>
        <v>68.247000000000071</v>
      </c>
      <c r="AN39" s="5">
        <f t="shared" si="13"/>
        <v>87.704999999999927</v>
      </c>
      <c r="AO39" s="5">
        <f t="shared" si="13"/>
        <v>96.351000000000113</v>
      </c>
      <c r="AP39" s="5">
        <f t="shared" si="13"/>
        <v>110.69899999999984</v>
      </c>
      <c r="AQ39" s="5">
        <f t="shared" si="13"/>
        <v>100.03500000000008</v>
      </c>
      <c r="AR39" s="5">
        <f t="shared" si="13"/>
        <v>73.160000000000082</v>
      </c>
      <c r="AS39" s="5">
        <f t="shared" si="13"/>
        <v>61.423999999999978</v>
      </c>
      <c r="AT39" s="6">
        <f t="shared" si="16"/>
        <v>157.38326742857203</v>
      </c>
      <c r="AU39" s="5">
        <f t="shared" si="14"/>
        <v>-128.40000000000009</v>
      </c>
      <c r="AV39" s="5">
        <f t="shared" si="14"/>
        <v>16.729000000000042</v>
      </c>
      <c r="AW39" s="5">
        <f t="shared" si="14"/>
        <v>40.587999999999965</v>
      </c>
      <c r="AX39" s="6">
        <f t="shared" si="15"/>
        <v>29.766662296598952</v>
      </c>
      <c r="AY39" s="6">
        <f t="shared" si="15"/>
        <v>37.609719382494319</v>
      </c>
      <c r="AZ39" s="6">
        <f t="shared" si="15"/>
        <v>41.802705437922953</v>
      </c>
      <c r="BA39" s="6">
        <f t="shared" si="15"/>
        <v>6.2642963638720062</v>
      </c>
      <c r="BB39" s="6">
        <f t="shared" si="15"/>
        <v>11.640821106539988</v>
      </c>
    </row>
    <row r="40" spans="1:54" ht="15.75" thickBot="1" x14ac:dyDescent="0.3">
      <c r="A40" s="1" t="s">
        <v>18</v>
      </c>
    </row>
    <row r="41" spans="1:54" x14ac:dyDescent="0.25">
      <c r="A41" s="7" t="s">
        <v>7</v>
      </c>
      <c r="B41" s="19"/>
      <c r="C41" s="8">
        <f t="shared" ref="C41:AS44" si="17">C7-B7</f>
        <v>4.4660000000000082</v>
      </c>
      <c r="D41" s="8">
        <f t="shared" si="17"/>
        <v>-0.26300000000003365</v>
      </c>
      <c r="E41" s="8">
        <f t="shared" si="17"/>
        <v>-10.435999999999979</v>
      </c>
      <c r="F41" s="8">
        <f t="shared" si="17"/>
        <v>18.672000000000025</v>
      </c>
      <c r="G41" s="8">
        <f t="shared" si="17"/>
        <v>-22.646000000000015</v>
      </c>
      <c r="H41" s="8">
        <f t="shared" si="17"/>
        <v>13.802000000000021</v>
      </c>
      <c r="I41" s="8">
        <f t="shared" si="17"/>
        <v>34.45799999999997</v>
      </c>
      <c r="J41" s="8">
        <f t="shared" si="17"/>
        <v>-52.016999999999996</v>
      </c>
      <c r="K41" s="8">
        <f t="shared" si="17"/>
        <v>15.653999999999996</v>
      </c>
      <c r="L41" s="8">
        <f t="shared" si="17"/>
        <v>23.574000000000012</v>
      </c>
      <c r="M41" s="8">
        <f t="shared" si="17"/>
        <v>-42.657000000000011</v>
      </c>
      <c r="N41" s="8">
        <f t="shared" si="17"/>
        <v>60.995999999999952</v>
      </c>
      <c r="O41" s="8">
        <f t="shared" si="17"/>
        <v>-24.710999999999956</v>
      </c>
      <c r="P41" s="8">
        <f t="shared" si="17"/>
        <v>-0.55400000000003047</v>
      </c>
      <c r="Q41" s="8">
        <f t="shared" si="17"/>
        <v>8.9470000000000596</v>
      </c>
      <c r="R41" s="8">
        <f t="shared" si="17"/>
        <v>-15.649000000000001</v>
      </c>
      <c r="S41" s="8">
        <f t="shared" si="17"/>
        <v>39.630999999999972</v>
      </c>
      <c r="T41" s="8">
        <f t="shared" si="17"/>
        <v>-21.983000000000004</v>
      </c>
      <c r="U41" s="8">
        <f t="shared" si="17"/>
        <v>-17.489999999999952</v>
      </c>
      <c r="V41" s="8">
        <f t="shared" si="17"/>
        <v>29.102999999999952</v>
      </c>
      <c r="W41" s="8">
        <f t="shared" si="17"/>
        <v>42.117000000000019</v>
      </c>
      <c r="X41" s="8">
        <f t="shared" si="17"/>
        <v>40.766999999999939</v>
      </c>
      <c r="Y41" s="8">
        <f t="shared" si="17"/>
        <v>101.26400000000007</v>
      </c>
      <c r="Z41" s="8">
        <f t="shared" si="17"/>
        <v>-24.478000000000009</v>
      </c>
      <c r="AA41" s="8">
        <f t="shared" si="17"/>
        <v>-21.819000000000017</v>
      </c>
      <c r="AB41" s="8">
        <f t="shared" si="17"/>
        <v>58.872000000000014</v>
      </c>
      <c r="AC41" s="8">
        <f t="shared" si="17"/>
        <v>-11.808999999999969</v>
      </c>
      <c r="AD41" s="8">
        <f t="shared" si="17"/>
        <v>16.970999999999947</v>
      </c>
      <c r="AE41" s="8">
        <f t="shared" si="17"/>
        <v>-74.539999999999964</v>
      </c>
      <c r="AF41" s="8">
        <f t="shared" si="17"/>
        <v>-4.4330000000000496</v>
      </c>
      <c r="AG41" s="8">
        <f t="shared" si="17"/>
        <v>42.027000000000044</v>
      </c>
      <c r="AH41" s="8">
        <f t="shared" si="17"/>
        <v>78.562999999999988</v>
      </c>
      <c r="AI41" s="8">
        <f t="shared" si="17"/>
        <v>30.910000000000082</v>
      </c>
      <c r="AJ41" s="8">
        <f t="shared" si="17"/>
        <v>44.023999999999887</v>
      </c>
      <c r="AK41" s="8">
        <f t="shared" si="17"/>
        <v>36.094650000000001</v>
      </c>
      <c r="AL41" s="8">
        <f t="shared" si="17"/>
        <v>66.719349999999963</v>
      </c>
      <c r="AM41" s="8">
        <f t="shared" si="17"/>
        <v>5.7850000000000819</v>
      </c>
      <c r="AN41" s="8">
        <f t="shared" si="17"/>
        <v>-20.406999999999925</v>
      </c>
      <c r="AO41" s="8">
        <f t="shared" si="17"/>
        <v>-0.73600000000010368</v>
      </c>
      <c r="AP41" s="8">
        <f t="shared" si="17"/>
        <v>80.632000000000062</v>
      </c>
      <c r="AQ41" s="8">
        <f t="shared" si="17"/>
        <v>-46.999000000000024</v>
      </c>
      <c r="AR41" s="8">
        <f t="shared" si="17"/>
        <v>-36.115000000000009</v>
      </c>
      <c r="AS41" s="8">
        <f t="shared" si="17"/>
        <v>-40.446000000000026</v>
      </c>
      <c r="AT41" s="9">
        <f t="shared" ref="AT41:AT44" si="18">FORECAST(AT$1,AE41:AS41,AE$1:AS$1)</f>
        <v>-7.6156185714289677</v>
      </c>
      <c r="AU41" s="8">
        <f t="shared" ref="AU41:AW44" si="19">AU7-AT7</f>
        <v>-16.446000000000026</v>
      </c>
      <c r="AV41" s="8">
        <f t="shared" si="19"/>
        <v>-40.001999999999953</v>
      </c>
      <c r="AW41" s="8">
        <f t="shared" si="19"/>
        <v>-46.100000000000023</v>
      </c>
      <c r="AX41" s="9">
        <f t="shared" ref="AX41:BB43" si="20">FORECAST(AX$1,AI41:AW41,AI$1:AW$1)</f>
        <v>-51.369854312926691</v>
      </c>
      <c r="AY41" s="9">
        <f t="shared" si="20"/>
        <v>-60.329673980046209</v>
      </c>
      <c r="AZ41" s="9">
        <f t="shared" si="20"/>
        <v>-67.204706863742103</v>
      </c>
      <c r="BA41" s="9">
        <f t="shared" si="20"/>
        <v>-74.215347831282998</v>
      </c>
      <c r="BB41" s="9">
        <f t="shared" si="20"/>
        <v>-75.18579809881885</v>
      </c>
    </row>
    <row r="42" spans="1:54" x14ac:dyDescent="0.25">
      <c r="A42" s="1" t="s">
        <v>3</v>
      </c>
      <c r="C42" s="5">
        <f t="shared" si="17"/>
        <v>-0.26400000000001</v>
      </c>
      <c r="D42" s="5">
        <f t="shared" si="17"/>
        <v>1.9190000000000111</v>
      </c>
      <c r="E42" s="5">
        <f t="shared" si="17"/>
        <v>-11.076999999999998</v>
      </c>
      <c r="F42" s="5">
        <f t="shared" si="17"/>
        <v>10.438999999999993</v>
      </c>
      <c r="G42" s="5">
        <f t="shared" si="17"/>
        <v>-23.268000000000001</v>
      </c>
      <c r="H42" s="5">
        <f t="shared" si="17"/>
        <v>19.895999999999987</v>
      </c>
      <c r="I42" s="5">
        <f t="shared" si="17"/>
        <v>26.463999999999999</v>
      </c>
      <c r="J42" s="5">
        <f t="shared" si="17"/>
        <v>-61.649999999999977</v>
      </c>
      <c r="K42" s="5">
        <f t="shared" si="17"/>
        <v>-8.7480000000000189</v>
      </c>
      <c r="L42" s="5">
        <f t="shared" si="17"/>
        <v>24.939999999999998</v>
      </c>
      <c r="M42" s="5">
        <f t="shared" si="17"/>
        <v>-3.929000000000002</v>
      </c>
      <c r="N42" s="5">
        <f t="shared" si="17"/>
        <v>53.842999999999989</v>
      </c>
      <c r="O42" s="5">
        <f t="shared" si="17"/>
        <v>-36.82699999999997</v>
      </c>
      <c r="P42" s="5">
        <f t="shared" si="17"/>
        <v>-25.957999999999998</v>
      </c>
      <c r="Q42" s="5">
        <f t="shared" si="17"/>
        <v>-7.7960000000000207</v>
      </c>
      <c r="R42" s="5">
        <f t="shared" si="17"/>
        <v>-13.22399999999999</v>
      </c>
      <c r="S42" s="5">
        <f t="shared" si="17"/>
        <v>6.695999999999998</v>
      </c>
      <c r="T42" s="5">
        <f t="shared" si="17"/>
        <v>-25.52600000000001</v>
      </c>
      <c r="U42" s="5">
        <f t="shared" si="17"/>
        <v>-1.9669999999999845</v>
      </c>
      <c r="V42" s="5">
        <f t="shared" si="17"/>
        <v>4.4329999999999927</v>
      </c>
      <c r="W42" s="5">
        <f t="shared" si="17"/>
        <v>28.622000000000014</v>
      </c>
      <c r="X42" s="5">
        <f t="shared" si="17"/>
        <v>-5.5320000000000107</v>
      </c>
      <c r="Y42" s="5">
        <f t="shared" si="17"/>
        <v>-2.6570000000000107</v>
      </c>
      <c r="Z42" s="5">
        <f t="shared" si="17"/>
        <v>18.509000000000015</v>
      </c>
      <c r="AA42" s="5">
        <f t="shared" si="17"/>
        <v>17.657999999999987</v>
      </c>
      <c r="AB42" s="5">
        <f t="shared" si="17"/>
        <v>42.77000000000001</v>
      </c>
      <c r="AC42" s="5">
        <f t="shared" si="17"/>
        <v>4.5649999999999977</v>
      </c>
      <c r="AD42" s="5">
        <f t="shared" si="17"/>
        <v>18.920999999999992</v>
      </c>
      <c r="AE42" s="5">
        <f t="shared" si="17"/>
        <v>-41.907999999999987</v>
      </c>
      <c r="AF42" s="5">
        <f t="shared" si="17"/>
        <v>-7.4979999999999905</v>
      </c>
      <c r="AG42" s="5">
        <f t="shared" si="17"/>
        <v>11.577999999999975</v>
      </c>
      <c r="AH42" s="5">
        <f t="shared" si="17"/>
        <v>21.115000000000038</v>
      </c>
      <c r="AI42" s="5">
        <f t="shared" si="17"/>
        <v>-2.0960000000000036</v>
      </c>
      <c r="AJ42" s="5">
        <f t="shared" si="17"/>
        <v>32.593999999999994</v>
      </c>
      <c r="AK42" s="5">
        <f t="shared" si="17"/>
        <v>7.0285199999999577</v>
      </c>
      <c r="AL42" s="5">
        <f t="shared" si="17"/>
        <v>45.249480000000005</v>
      </c>
      <c r="AM42" s="5">
        <f t="shared" si="17"/>
        <v>26.692000000000007</v>
      </c>
      <c r="AN42" s="5">
        <f t="shared" si="17"/>
        <v>-12.599999999999966</v>
      </c>
      <c r="AO42" s="5">
        <f t="shared" si="17"/>
        <v>-17.77800000000002</v>
      </c>
      <c r="AP42" s="5">
        <f t="shared" si="17"/>
        <v>2.3380000000000223</v>
      </c>
      <c r="AQ42" s="5">
        <f t="shared" si="17"/>
        <v>-13.985000000000014</v>
      </c>
      <c r="AR42" s="5">
        <f t="shared" si="17"/>
        <v>-10.27600000000001</v>
      </c>
      <c r="AS42" s="5">
        <f t="shared" si="17"/>
        <v>0.60599999999999454</v>
      </c>
      <c r="AT42" s="6">
        <f t="shared" si="18"/>
        <v>1.6012327619047255</v>
      </c>
      <c r="AU42" s="5">
        <f t="shared" si="19"/>
        <v>-37.812000000000012</v>
      </c>
      <c r="AV42" s="5">
        <f t="shared" si="19"/>
        <v>-38.210999999999984</v>
      </c>
      <c r="AW42" s="5">
        <f t="shared" si="19"/>
        <v>-11.103000000000009</v>
      </c>
      <c r="AX42" s="6">
        <f t="shared" si="20"/>
        <v>-29.178448928798389</v>
      </c>
      <c r="AY42" s="6">
        <f t="shared" si="20"/>
        <v>-36.505813388721435</v>
      </c>
      <c r="AZ42" s="6">
        <f t="shared" si="20"/>
        <v>-39.396881259042857</v>
      </c>
      <c r="BA42" s="6">
        <f t="shared" si="20"/>
        <v>-45.22379313129386</v>
      </c>
      <c r="BB42" s="6">
        <f t="shared" si="20"/>
        <v>-45.089952704933239</v>
      </c>
    </row>
    <row r="43" spans="1:54" x14ac:dyDescent="0.25">
      <c r="A43" s="1" t="s">
        <v>4</v>
      </c>
      <c r="C43" s="5">
        <f t="shared" si="17"/>
        <v>5.9239999999999995</v>
      </c>
      <c r="D43" s="5">
        <f t="shared" si="17"/>
        <v>-1.4639999999999986</v>
      </c>
      <c r="E43" s="5">
        <f t="shared" si="17"/>
        <v>1.495000000000001</v>
      </c>
      <c r="F43" s="5">
        <f t="shared" si="17"/>
        <v>6.0539999999999985</v>
      </c>
      <c r="G43" s="5">
        <f t="shared" si="17"/>
        <v>8.3999999999999631E-2</v>
      </c>
      <c r="H43" s="5">
        <f t="shared" si="17"/>
        <v>-4.8829999999999991</v>
      </c>
      <c r="I43" s="5">
        <f t="shared" si="17"/>
        <v>10.003</v>
      </c>
      <c r="J43" s="5">
        <f t="shared" si="17"/>
        <v>9.5060000000000002</v>
      </c>
      <c r="K43" s="5">
        <f t="shared" si="17"/>
        <v>24.373999999999995</v>
      </c>
      <c r="L43" s="5">
        <f t="shared" si="17"/>
        <v>-3.3429999999999893</v>
      </c>
      <c r="M43" s="5">
        <f t="shared" si="17"/>
        <v>-35.953000000000003</v>
      </c>
      <c r="N43" s="5">
        <f t="shared" si="17"/>
        <v>9.5789999999999971</v>
      </c>
      <c r="O43" s="5">
        <f t="shared" si="17"/>
        <v>8.1850000000000023</v>
      </c>
      <c r="P43" s="5">
        <f t="shared" si="17"/>
        <v>16.088999999999999</v>
      </c>
      <c r="Q43" s="5">
        <f t="shared" si="17"/>
        <v>9.0570000000000022</v>
      </c>
      <c r="R43" s="5">
        <f t="shared" si="17"/>
        <v>-6.8430000000000035</v>
      </c>
      <c r="S43" s="5">
        <f t="shared" si="17"/>
        <v>31.497</v>
      </c>
      <c r="T43" s="5">
        <f t="shared" si="17"/>
        <v>-0.57299999999999329</v>
      </c>
      <c r="U43" s="5">
        <f t="shared" si="17"/>
        <v>-11.894000000000005</v>
      </c>
      <c r="V43" s="5">
        <f t="shared" si="17"/>
        <v>14.340000000000003</v>
      </c>
      <c r="W43" s="5">
        <f t="shared" si="17"/>
        <v>14.751999999999995</v>
      </c>
      <c r="X43" s="5">
        <f t="shared" si="17"/>
        <v>32.350999999999999</v>
      </c>
      <c r="Y43" s="5">
        <f t="shared" si="17"/>
        <v>12.712999999999994</v>
      </c>
      <c r="Z43" s="5">
        <f t="shared" si="17"/>
        <v>8.8910000000000196</v>
      </c>
      <c r="AA43" s="5">
        <f t="shared" si="17"/>
        <v>-36.337000000000018</v>
      </c>
      <c r="AB43" s="5">
        <f t="shared" si="17"/>
        <v>-10.375999999999991</v>
      </c>
      <c r="AC43" s="5">
        <f t="shared" si="17"/>
        <v>-13.930000000000007</v>
      </c>
      <c r="AD43" s="5">
        <f t="shared" si="17"/>
        <v>-8.1489999999999867</v>
      </c>
      <c r="AE43" s="5">
        <f t="shared" si="17"/>
        <v>-15.245000000000005</v>
      </c>
      <c r="AF43" s="5">
        <f t="shared" si="17"/>
        <v>1.7830000000000013</v>
      </c>
      <c r="AG43" s="5">
        <f t="shared" si="17"/>
        <v>13.869</v>
      </c>
      <c r="AH43" s="5">
        <f t="shared" si="17"/>
        <v>26.584000000000003</v>
      </c>
      <c r="AI43" s="5">
        <f t="shared" si="17"/>
        <v>9.7360000000000042</v>
      </c>
      <c r="AJ43" s="5">
        <f t="shared" si="17"/>
        <v>-7.7400000000000091</v>
      </c>
      <c r="AK43" s="5">
        <f t="shared" si="17"/>
        <v>19.979590000000002</v>
      </c>
      <c r="AL43" s="5">
        <f t="shared" si="17"/>
        <v>8.6204099999999926</v>
      </c>
      <c r="AM43" s="5">
        <f t="shared" si="17"/>
        <v>-7.311000000000007</v>
      </c>
      <c r="AN43" s="5">
        <f t="shared" si="17"/>
        <v>-4.7620000000000005</v>
      </c>
      <c r="AO43" s="5">
        <f t="shared" si="17"/>
        <v>10.900000000000006</v>
      </c>
      <c r="AP43" s="5">
        <f t="shared" si="17"/>
        <v>13.025000000000006</v>
      </c>
      <c r="AQ43" s="5">
        <f t="shared" si="17"/>
        <v>-0.38900000000001</v>
      </c>
      <c r="AR43" s="5">
        <f t="shared" si="17"/>
        <v>-1.7379999999999995</v>
      </c>
      <c r="AS43" s="5">
        <f t="shared" si="17"/>
        <v>3.7230000000000132</v>
      </c>
      <c r="AT43" s="6">
        <f t="shared" si="18"/>
        <v>3.8294212380952501</v>
      </c>
      <c r="AU43" s="5">
        <f t="shared" si="19"/>
        <v>23.445999999999998</v>
      </c>
      <c r="AV43" s="5">
        <f t="shared" si="19"/>
        <v>-6.8029999999999973</v>
      </c>
      <c r="AW43" s="5">
        <f t="shared" si="19"/>
        <v>-10.522999999999996</v>
      </c>
      <c r="AX43" s="6">
        <f t="shared" si="20"/>
        <v>0.45207841451247077</v>
      </c>
      <c r="AY43" s="6">
        <f t="shared" si="20"/>
        <v>0.6062682420559895</v>
      </c>
      <c r="AZ43" s="6">
        <f t="shared" si="20"/>
        <v>-1.7626173596609078</v>
      </c>
      <c r="BA43" s="6">
        <f t="shared" si="20"/>
        <v>-0.51373697637018267</v>
      </c>
      <c r="BB43" s="6">
        <f t="shared" si="20"/>
        <v>-0.14972123297383177</v>
      </c>
    </row>
    <row r="44" spans="1:54" x14ac:dyDescent="0.25">
      <c r="A44" s="1" t="s">
        <v>5</v>
      </c>
      <c r="C44" s="5">
        <f t="shared" si="17"/>
        <v>-1.1940000000000008</v>
      </c>
      <c r="D44" s="5">
        <f t="shared" si="17"/>
        <v>-0.71799999999999908</v>
      </c>
      <c r="E44" s="5">
        <f t="shared" si="17"/>
        <v>-0.85400000000000009</v>
      </c>
      <c r="F44" s="5">
        <f t="shared" si="17"/>
        <v>2.1790000000000003</v>
      </c>
      <c r="G44" s="5">
        <f t="shared" si="17"/>
        <v>0.53800000000000026</v>
      </c>
      <c r="H44" s="5">
        <f t="shared" si="17"/>
        <v>-1.2110000000000003</v>
      </c>
      <c r="I44" s="5">
        <f t="shared" si="17"/>
        <v>-2.0090000000000003</v>
      </c>
      <c r="J44" s="5">
        <f t="shared" si="17"/>
        <v>0.12699999999999978</v>
      </c>
      <c r="K44" s="5">
        <f t="shared" si="17"/>
        <v>2.8000000000000469E-2</v>
      </c>
      <c r="L44" s="5">
        <f t="shared" si="17"/>
        <v>1.9769999999999994</v>
      </c>
      <c r="M44" s="5">
        <f t="shared" si="17"/>
        <v>-2.7749999999999995</v>
      </c>
      <c r="N44" s="5">
        <f t="shared" si="17"/>
        <v>-2.4260000000000002</v>
      </c>
      <c r="O44" s="5">
        <f t="shared" si="17"/>
        <v>3.931</v>
      </c>
      <c r="P44" s="5">
        <f t="shared" si="17"/>
        <v>9.3149999999999995</v>
      </c>
      <c r="Q44" s="5">
        <f t="shared" si="17"/>
        <v>7.6859999999999999</v>
      </c>
      <c r="R44" s="5">
        <f t="shared" si="17"/>
        <v>4.4179999999999993</v>
      </c>
      <c r="S44" s="5">
        <f t="shared" si="17"/>
        <v>1.4380000000000024</v>
      </c>
      <c r="T44" s="5">
        <f t="shared" si="17"/>
        <v>4.1159999999999997</v>
      </c>
      <c r="U44" s="5">
        <f t="shared" si="17"/>
        <v>-3.6290000000000013</v>
      </c>
      <c r="V44" s="5">
        <f t="shared" si="17"/>
        <v>10.330000000000002</v>
      </c>
      <c r="W44" s="5">
        <f t="shared" si="17"/>
        <v>-1.257000000000005</v>
      </c>
      <c r="X44" s="5">
        <f t="shared" si="17"/>
        <v>13.948</v>
      </c>
      <c r="Y44" s="5">
        <f t="shared" si="17"/>
        <v>91.208000000000013</v>
      </c>
      <c r="Z44" s="5">
        <f t="shared" si="17"/>
        <v>-51.878000000000014</v>
      </c>
      <c r="AA44" s="5">
        <f t="shared" si="17"/>
        <v>-3.1400000000000006</v>
      </c>
      <c r="AB44" s="5">
        <f t="shared" si="17"/>
        <v>26.478000000000009</v>
      </c>
      <c r="AC44" s="5">
        <f t="shared" si="17"/>
        <v>-2.4440000000000026</v>
      </c>
      <c r="AD44" s="5">
        <f t="shared" si="17"/>
        <v>6.1989999999999981</v>
      </c>
      <c r="AE44" s="5">
        <f t="shared" si="17"/>
        <v>-17.387</v>
      </c>
      <c r="AF44" s="5">
        <f t="shared" si="17"/>
        <v>1.2819999999999965</v>
      </c>
      <c r="AG44" s="5">
        <f t="shared" si="17"/>
        <v>16.579999999999998</v>
      </c>
      <c r="AH44" s="5">
        <f t="shared" si="17"/>
        <v>30.864000000000019</v>
      </c>
      <c r="AI44" s="5">
        <f t="shared" si="17"/>
        <v>23.269999999999982</v>
      </c>
      <c r="AJ44" s="5">
        <f t="shared" si="17"/>
        <v>19.170000000000016</v>
      </c>
      <c r="AK44" s="5">
        <f t="shared" si="17"/>
        <v>9.0865399999999852</v>
      </c>
      <c r="AL44" s="5">
        <f t="shared" si="17"/>
        <v>12.849459999999993</v>
      </c>
      <c r="AM44" s="5">
        <f t="shared" si="17"/>
        <v>-13.595999999999975</v>
      </c>
      <c r="AN44" s="5">
        <f t="shared" si="17"/>
        <v>-3.0450000000000159</v>
      </c>
      <c r="AO44" s="5">
        <f t="shared" si="17"/>
        <v>6.1419999999999959</v>
      </c>
      <c r="AP44" s="5">
        <f t="shared" si="17"/>
        <v>65.269000000000005</v>
      </c>
      <c r="AQ44" s="5">
        <f t="shared" si="17"/>
        <v>-32.625</v>
      </c>
      <c r="AR44" s="5">
        <f t="shared" si="17"/>
        <v>-24.100999999999999</v>
      </c>
      <c r="AS44" s="5">
        <f t="shared" si="17"/>
        <v>-44.775000000000006</v>
      </c>
      <c r="AT44" s="6">
        <f t="shared" si="18"/>
        <v>-13.046272571428744</v>
      </c>
      <c r="AU44" s="5">
        <f t="shared" si="19"/>
        <v>-2.0800000000000125</v>
      </c>
      <c r="AV44" s="5">
        <f t="shared" si="19"/>
        <v>5.0120000000000005</v>
      </c>
      <c r="AW44" s="5">
        <f t="shared" si="19"/>
        <v>-24.47399999999999</v>
      </c>
      <c r="AX44" s="6">
        <f>FORECAST(AX$1,AI44:AW44,AI$1:AW$1)+10</f>
        <v>-12.643483798639863</v>
      </c>
      <c r="AY44" s="6">
        <f>FORECAST(AY$1,AJ44:AX44,AJ$1:AX$1)+10</f>
        <v>-11.763462166711179</v>
      </c>
      <c r="AZ44" s="6">
        <f t="shared" ref="AZ44:BB44" si="21">FORECAST(AZ$1,AK44:AY44,AK$1:AY$1)+10</f>
        <v>-10.286478086309216</v>
      </c>
      <c r="BA44" s="6">
        <f t="shared" si="21"/>
        <v>-9.1643785701789966</v>
      </c>
      <c r="BB44" s="6">
        <f t="shared" si="21"/>
        <v>-6.580303047281177</v>
      </c>
    </row>
    <row r="45" spans="1:54" x14ac:dyDescent="0.25"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</row>
    <row r="46" spans="1:54" ht="15.75" thickBot="1" x14ac:dyDescent="0.3">
      <c r="A46" s="1" t="s">
        <v>19</v>
      </c>
    </row>
    <row r="47" spans="1:54" x14ac:dyDescent="0.25">
      <c r="A47" s="7" t="s">
        <v>7</v>
      </c>
      <c r="B47" s="24"/>
      <c r="C47" s="24"/>
      <c r="D47" s="24"/>
      <c r="E47" s="24"/>
      <c r="F47" s="24"/>
      <c r="G47" s="8">
        <f>G36-C41</f>
        <v>102.62299999999993</v>
      </c>
      <c r="H47" s="8">
        <f t="shared" ref="H47:V50" si="22">H36-D41</f>
        <v>71.018000000000143</v>
      </c>
      <c r="I47" s="8">
        <f t="shared" si="22"/>
        <v>50.911999999999978</v>
      </c>
      <c r="J47" s="8">
        <f t="shared" si="22"/>
        <v>103.58799999999997</v>
      </c>
      <c r="K47" s="8">
        <f t="shared" si="22"/>
        <v>84.218000000000018</v>
      </c>
      <c r="L47" s="8">
        <f t="shared" si="22"/>
        <v>114.75699999999995</v>
      </c>
      <c r="M47" s="8">
        <f t="shared" si="22"/>
        <v>125.11099999999999</v>
      </c>
      <c r="N47" s="8">
        <f t="shared" si="22"/>
        <v>64.58499999999998</v>
      </c>
      <c r="O47" s="8">
        <f t="shared" si="22"/>
        <v>142.10500000000002</v>
      </c>
      <c r="P47" s="8">
        <f t="shared" si="22"/>
        <v>117.61599999999981</v>
      </c>
      <c r="Q47" s="8">
        <f t="shared" si="22"/>
        <v>116.61500000000032</v>
      </c>
      <c r="R47" s="8">
        <f t="shared" si="22"/>
        <v>19.216999999999786</v>
      </c>
      <c r="S47" s="8">
        <f t="shared" si="22"/>
        <v>88.71200000000016</v>
      </c>
      <c r="T47" s="8">
        <f t="shared" si="22"/>
        <v>130.80200000000008</v>
      </c>
      <c r="U47" s="8">
        <f t="shared" si="22"/>
        <v>114.61699999999979</v>
      </c>
      <c r="V47" s="8">
        <f>V36-R41</f>
        <v>114.63400000000013</v>
      </c>
      <c r="W47" s="8">
        <f t="shared" ref="W47:AF50" si="23">W36-S41</f>
        <v>70.450999999999908</v>
      </c>
      <c r="X47" s="8">
        <f t="shared" si="23"/>
        <v>182.01900000000006</v>
      </c>
      <c r="Y47" s="8">
        <f t="shared" si="23"/>
        <v>101.25299999999987</v>
      </c>
      <c r="Z47" s="8">
        <f t="shared" si="23"/>
        <v>230.65200000000016</v>
      </c>
      <c r="AA47" s="8">
        <f t="shared" si="23"/>
        <v>42.971999999999468</v>
      </c>
      <c r="AB47" s="8">
        <f t="shared" si="23"/>
        <v>22.710000000000377</v>
      </c>
      <c r="AC47" s="8">
        <f t="shared" si="23"/>
        <v>81.776000000000352</v>
      </c>
      <c r="AD47" s="8">
        <f t="shared" si="23"/>
        <v>139.30399999999958</v>
      </c>
      <c r="AE47" s="8">
        <f t="shared" si="23"/>
        <v>169.64599999999979</v>
      </c>
      <c r="AF47" s="8">
        <f>AF36-AB41</f>
        <v>121.60800000000046</v>
      </c>
      <c r="AG47" s="8">
        <f t="shared" ref="AG47:AQ50" si="24">AG36-AC41</f>
        <v>83.623000000000275</v>
      </c>
      <c r="AH47" s="8">
        <f t="shared" si="24"/>
        <v>44.164000000000271</v>
      </c>
      <c r="AI47" s="8">
        <f t="shared" si="24"/>
        <v>226.67399999999952</v>
      </c>
      <c r="AJ47" s="8">
        <f t="shared" si="24"/>
        <v>163.61199999999968</v>
      </c>
      <c r="AK47" s="8">
        <f t="shared" si="24"/>
        <v>84.48452000000043</v>
      </c>
      <c r="AL47" s="8">
        <f t="shared" si="24"/>
        <v>1.060479999999302</v>
      </c>
      <c r="AM47" s="8">
        <f t="shared" si="24"/>
        <v>40.125000000000682</v>
      </c>
      <c r="AN47" s="8">
        <f t="shared" si="24"/>
        <v>129.19299999999976</v>
      </c>
      <c r="AO47" s="8">
        <f t="shared" si="24"/>
        <v>127.13734999999997</v>
      </c>
      <c r="AP47" s="8">
        <f t="shared" si="24"/>
        <v>103.35665000000006</v>
      </c>
      <c r="AQ47" s="8">
        <f>AQ36-AM41</f>
        <v>136.25600000000009</v>
      </c>
      <c r="AR47" s="8">
        <f t="shared" ref="AR47:AS50" si="25">AR36-AN41</f>
        <v>129.68199999999956</v>
      </c>
      <c r="AS47" s="8">
        <f t="shared" si="25"/>
        <v>79.367000000000417</v>
      </c>
      <c r="AT47" s="9">
        <f t="shared" ref="AT47:BB50" si="26">FORECAST(AT$1,AE47:AS47,AE$1:AS$1)</f>
        <v>95.178860857142809</v>
      </c>
      <c r="AU47" s="8">
        <f t="shared" ref="AU47:AW50" si="27">AU36-AQ41</f>
        <v>-91.257999999999583</v>
      </c>
      <c r="AV47" s="8">
        <f t="shared" si="27"/>
        <v>-51.448000000001002</v>
      </c>
      <c r="AW47" s="8">
        <f t="shared" si="27"/>
        <v>23.555000000000405</v>
      </c>
      <c r="AX47" s="9">
        <f t="shared" si="26"/>
        <v>-8.3904500353746698</v>
      </c>
      <c r="AY47" s="9">
        <f t="shared" si="26"/>
        <v>-8.1276136883461731</v>
      </c>
      <c r="AZ47" s="9">
        <f t="shared" si="26"/>
        <v>-11.288598600143814</v>
      </c>
      <c r="BA47" s="9">
        <f t="shared" si="26"/>
        <v>-23.196782525898016</v>
      </c>
      <c r="BB47" s="9">
        <f t="shared" si="26"/>
        <v>-49.050856681373261</v>
      </c>
    </row>
    <row r="48" spans="1:54" x14ac:dyDescent="0.25">
      <c r="A48" s="1" t="s">
        <v>3</v>
      </c>
      <c r="B48" s="25"/>
      <c r="C48" s="25"/>
      <c r="D48" s="25"/>
      <c r="E48" s="25"/>
      <c r="F48" s="25"/>
      <c r="G48" s="5">
        <f t="shared" ref="G48:G50" si="28">G37-C42</f>
        <v>99.586000000000013</v>
      </c>
      <c r="H48" s="5">
        <f t="shared" si="22"/>
        <v>54.743000000000023</v>
      </c>
      <c r="I48" s="5">
        <f t="shared" si="22"/>
        <v>49.480000000000018</v>
      </c>
      <c r="J48" s="5">
        <f t="shared" si="22"/>
        <v>102.88999999999996</v>
      </c>
      <c r="K48" s="5">
        <f t="shared" si="22"/>
        <v>75.844000000000023</v>
      </c>
      <c r="L48" s="5">
        <f t="shared" si="22"/>
        <v>104.04100000000003</v>
      </c>
      <c r="M48" s="5">
        <f t="shared" si="22"/>
        <v>95.988999999999976</v>
      </c>
      <c r="N48" s="5">
        <f t="shared" si="22"/>
        <v>57.386000000000081</v>
      </c>
      <c r="O48" s="5">
        <f t="shared" si="22"/>
        <v>141.61300000000003</v>
      </c>
      <c r="P48" s="5">
        <f t="shared" si="22"/>
        <v>88.786999999999864</v>
      </c>
      <c r="Q48" s="5">
        <f t="shared" si="22"/>
        <v>65.914000000000129</v>
      </c>
      <c r="R48" s="5">
        <f t="shared" si="22"/>
        <v>5.4979999999999052</v>
      </c>
      <c r="S48" s="5">
        <f t="shared" si="22"/>
        <v>61.149000000000086</v>
      </c>
      <c r="T48" s="5">
        <f t="shared" si="22"/>
        <v>107.62699999999987</v>
      </c>
      <c r="U48" s="5">
        <f t="shared" si="22"/>
        <v>35.613000000000028</v>
      </c>
      <c r="V48" s="5">
        <f t="shared" si="22"/>
        <v>54.33600000000007</v>
      </c>
      <c r="W48" s="5">
        <f t="shared" si="23"/>
        <v>-12.110999999999962</v>
      </c>
      <c r="X48" s="5">
        <f t="shared" si="23"/>
        <v>64.05699999999996</v>
      </c>
      <c r="Y48" s="5">
        <f t="shared" si="23"/>
        <v>32.437000000000012</v>
      </c>
      <c r="Z48" s="5">
        <f t="shared" si="23"/>
        <v>41.462999999999965</v>
      </c>
      <c r="AA48" s="5">
        <f t="shared" si="23"/>
        <v>-52.376000000000147</v>
      </c>
      <c r="AB48" s="5">
        <f t="shared" si="23"/>
        <v>14.119000000000227</v>
      </c>
      <c r="AC48" s="5">
        <f t="shared" si="23"/>
        <v>88.245999999999952</v>
      </c>
      <c r="AD48" s="5">
        <f t="shared" si="23"/>
        <v>-22.274000000000115</v>
      </c>
      <c r="AE48" s="5">
        <f t="shared" si="23"/>
        <v>23.689999999999969</v>
      </c>
      <c r="AF48" s="5">
        <f t="shared" si="23"/>
        <v>61.72999999999999</v>
      </c>
      <c r="AG48" s="5">
        <f t="shared" si="24"/>
        <v>19.496000000000151</v>
      </c>
      <c r="AH48" s="5">
        <f t="shared" si="24"/>
        <v>-12.225999999999829</v>
      </c>
      <c r="AI48" s="5">
        <f t="shared" si="24"/>
        <v>91.96599999999998</v>
      </c>
      <c r="AJ48" s="5">
        <f t="shared" si="24"/>
        <v>54.698999999999558</v>
      </c>
      <c r="AK48" s="5">
        <f t="shared" si="24"/>
        <v>16.251140000000305</v>
      </c>
      <c r="AL48" s="5">
        <f t="shared" si="24"/>
        <v>-44.276140000000197</v>
      </c>
      <c r="AM48" s="5">
        <f t="shared" si="24"/>
        <v>-13.252999999999702</v>
      </c>
      <c r="AN48" s="5">
        <f t="shared" si="24"/>
        <v>15.636000000000024</v>
      </c>
      <c r="AO48" s="5">
        <f t="shared" si="24"/>
        <v>34.350479999999948</v>
      </c>
      <c r="AP48" s="5">
        <f t="shared" si="24"/>
        <v>-5.5604800000001546</v>
      </c>
      <c r="AQ48" s="5">
        <f t="shared" si="24"/>
        <v>7.4340000000001965</v>
      </c>
      <c r="AR48" s="5">
        <f t="shared" si="25"/>
        <v>51.786999999999864</v>
      </c>
      <c r="AS48" s="5">
        <f t="shared" si="25"/>
        <v>36.366999999999962</v>
      </c>
      <c r="AT48" s="6">
        <f t="shared" si="26"/>
        <v>14.395296571428389</v>
      </c>
      <c r="AU48" s="5">
        <f t="shared" si="27"/>
        <v>49.519999999999868</v>
      </c>
      <c r="AV48" s="5">
        <f t="shared" si="27"/>
        <v>-81.388999999999953</v>
      </c>
      <c r="AW48" s="5">
        <f t="shared" si="27"/>
        <v>-53.044000000000096</v>
      </c>
      <c r="AX48" s="6">
        <f t="shared" si="26"/>
        <v>-23.664611668025827</v>
      </c>
      <c r="AY48" s="6">
        <f t="shared" si="26"/>
        <v>-20.082107062493378</v>
      </c>
      <c r="AZ48" s="6">
        <f t="shared" si="26"/>
        <v>-18.274240895446383</v>
      </c>
      <c r="BA48" s="6">
        <f t="shared" si="26"/>
        <v>-20.072565643972666</v>
      </c>
      <c r="BB48" s="6">
        <f t="shared" si="26"/>
        <v>-31.163659061759063</v>
      </c>
    </row>
    <row r="49" spans="1:54" x14ac:dyDescent="0.25">
      <c r="A49" s="1" t="s">
        <v>4</v>
      </c>
      <c r="B49" s="25"/>
      <c r="C49" s="25"/>
      <c r="D49" s="25"/>
      <c r="E49" s="25"/>
      <c r="F49" s="25"/>
      <c r="G49" s="5">
        <f t="shared" si="28"/>
        <v>1.2760000000000034</v>
      </c>
      <c r="H49" s="5">
        <f t="shared" si="22"/>
        <v>12.991</v>
      </c>
      <c r="I49" s="5">
        <f t="shared" si="22"/>
        <v>-1.3920000000000066</v>
      </c>
      <c r="J49" s="5">
        <f t="shared" si="22"/>
        <v>1.9710000000000072</v>
      </c>
      <c r="K49" s="5">
        <f t="shared" si="22"/>
        <v>7.8009999999999913</v>
      </c>
      <c r="L49" s="5">
        <f t="shared" si="22"/>
        <v>9.2189999999999976</v>
      </c>
      <c r="M49" s="5">
        <f t="shared" si="22"/>
        <v>27.095000000000013</v>
      </c>
      <c r="N49" s="5">
        <f t="shared" si="22"/>
        <v>0.882000000000005</v>
      </c>
      <c r="O49" s="5">
        <f t="shared" si="22"/>
        <v>-2.046999999999997</v>
      </c>
      <c r="P49" s="5">
        <f t="shared" si="22"/>
        <v>27.083999999999975</v>
      </c>
      <c r="Q49" s="5">
        <f t="shared" si="22"/>
        <v>50.113</v>
      </c>
      <c r="R49" s="5">
        <f t="shared" si="22"/>
        <v>10.147000000000002</v>
      </c>
      <c r="S49" s="5">
        <f t="shared" si="22"/>
        <v>16.149000000000001</v>
      </c>
      <c r="T49" s="5">
        <f t="shared" si="22"/>
        <v>26.721000000000004</v>
      </c>
      <c r="U49" s="5">
        <f t="shared" si="22"/>
        <v>68.2</v>
      </c>
      <c r="V49" s="5">
        <f t="shared" si="22"/>
        <v>58.150999999999996</v>
      </c>
      <c r="W49" s="5">
        <f t="shared" si="23"/>
        <v>61.625999999999991</v>
      </c>
      <c r="X49" s="5">
        <f t="shared" si="23"/>
        <v>100.80100000000006</v>
      </c>
      <c r="Y49" s="5">
        <f t="shared" si="23"/>
        <v>83.089999999999918</v>
      </c>
      <c r="Z49" s="5">
        <f t="shared" si="23"/>
        <v>75.595000000000056</v>
      </c>
      <c r="AA49" s="5">
        <f t="shared" si="23"/>
        <v>81.040000000000035</v>
      </c>
      <c r="AB49" s="5">
        <f t="shared" si="23"/>
        <v>4.5759999999999081</v>
      </c>
      <c r="AC49" s="5">
        <f t="shared" si="23"/>
        <v>42.862000000000052</v>
      </c>
      <c r="AD49" s="5">
        <f t="shared" si="23"/>
        <v>65.385000000000048</v>
      </c>
      <c r="AE49" s="5">
        <f t="shared" si="23"/>
        <v>81.894000000000034</v>
      </c>
      <c r="AF49" s="5">
        <f t="shared" si="23"/>
        <v>52.548999999999992</v>
      </c>
      <c r="AG49" s="5">
        <f t="shared" si="24"/>
        <v>30.189999999999998</v>
      </c>
      <c r="AH49" s="5">
        <f t="shared" si="24"/>
        <v>20.311999999999998</v>
      </c>
      <c r="AI49" s="5">
        <f t="shared" si="24"/>
        <v>60.831000000000017</v>
      </c>
      <c r="AJ49" s="5">
        <f t="shared" si="24"/>
        <v>33.988999999999933</v>
      </c>
      <c r="AK49" s="5">
        <f t="shared" si="24"/>
        <v>14.229199999999906</v>
      </c>
      <c r="AL49" s="5">
        <f t="shared" si="24"/>
        <v>-13.118200000000058</v>
      </c>
      <c r="AM49" s="5">
        <f t="shared" si="24"/>
        <v>8.4010000000001668</v>
      </c>
      <c r="AN49" s="5">
        <f t="shared" si="24"/>
        <v>45.021999999999935</v>
      </c>
      <c r="AO49" s="5">
        <f t="shared" si="24"/>
        <v>5.522409999999951</v>
      </c>
      <c r="AP49" s="5">
        <f t="shared" si="24"/>
        <v>11.067590000000109</v>
      </c>
      <c r="AQ49" s="5">
        <f t="shared" si="24"/>
        <v>15.190999999999889</v>
      </c>
      <c r="AR49" s="5">
        <f t="shared" si="25"/>
        <v>1.6900000000001114</v>
      </c>
      <c r="AS49" s="5">
        <f t="shared" si="25"/>
        <v>-12.282000000000068</v>
      </c>
      <c r="AT49" s="6">
        <f t="shared" si="26"/>
        <v>-11.330703142857601</v>
      </c>
      <c r="AU49" s="5">
        <f t="shared" si="27"/>
        <v>-35.003000000000043</v>
      </c>
      <c r="AV49" s="5">
        <f t="shared" si="27"/>
        <v>-10.888999999999953</v>
      </c>
      <c r="AW49" s="5">
        <f t="shared" si="27"/>
        <v>-8.7639999999999532</v>
      </c>
      <c r="AX49" s="6">
        <f t="shared" si="26"/>
        <v>-25.443535140136191</v>
      </c>
      <c r="AY49" s="6">
        <f t="shared" si="26"/>
        <v>-25.366972040091241</v>
      </c>
      <c r="AZ49" s="6">
        <f t="shared" si="26"/>
        <v>-27.15085301412546</v>
      </c>
      <c r="BA49" s="6">
        <f t="shared" si="26"/>
        <v>-30.91375638008958</v>
      </c>
      <c r="BB49" s="6">
        <f t="shared" si="26"/>
        <v>-38.925487700383201</v>
      </c>
    </row>
    <row r="50" spans="1:54" x14ac:dyDescent="0.25">
      <c r="A50" s="1" t="s">
        <v>5</v>
      </c>
      <c r="B50" s="25"/>
      <c r="C50" s="25"/>
      <c r="D50" s="25"/>
      <c r="E50" s="25"/>
      <c r="F50" s="25"/>
      <c r="G50" s="5">
        <f t="shared" si="28"/>
        <v>1.761000000000001</v>
      </c>
      <c r="H50" s="5">
        <f t="shared" si="22"/>
        <v>3.2839999999999998</v>
      </c>
      <c r="I50" s="5">
        <f t="shared" si="22"/>
        <v>2.8240000000000007</v>
      </c>
      <c r="J50" s="5">
        <f t="shared" si="22"/>
        <v>-1.2730000000000015</v>
      </c>
      <c r="K50" s="5">
        <f t="shared" si="22"/>
        <v>0.5730000000000004</v>
      </c>
      <c r="L50" s="5">
        <f t="shared" si="22"/>
        <v>1.4969999999999981</v>
      </c>
      <c r="M50" s="5">
        <f t="shared" si="22"/>
        <v>2.027000000000001</v>
      </c>
      <c r="N50" s="5">
        <f t="shared" si="22"/>
        <v>6.3170000000000028</v>
      </c>
      <c r="O50" s="5">
        <f t="shared" si="22"/>
        <v>2.5389999999999961</v>
      </c>
      <c r="P50" s="5">
        <f t="shared" si="22"/>
        <v>1.7450000000000019</v>
      </c>
      <c r="Q50" s="5">
        <f t="shared" si="22"/>
        <v>0.5879999999999983</v>
      </c>
      <c r="R50" s="5">
        <f t="shared" si="22"/>
        <v>3.572000000000001</v>
      </c>
      <c r="S50" s="5">
        <f t="shared" si="22"/>
        <v>11.414000000000001</v>
      </c>
      <c r="T50" s="5">
        <f t="shared" si="22"/>
        <v>-3.5460000000000012</v>
      </c>
      <c r="U50" s="5">
        <f t="shared" si="22"/>
        <v>10.803999999999995</v>
      </c>
      <c r="V50" s="5">
        <f t="shared" si="22"/>
        <v>2.1470000000000127</v>
      </c>
      <c r="W50" s="5">
        <f t="shared" si="23"/>
        <v>20.935999999999993</v>
      </c>
      <c r="X50" s="5">
        <f t="shared" si="23"/>
        <v>17.161000000000001</v>
      </c>
      <c r="Y50" s="5">
        <f t="shared" si="23"/>
        <v>-14.274000000000004</v>
      </c>
      <c r="Z50" s="5">
        <f t="shared" si="23"/>
        <v>113.59400000000001</v>
      </c>
      <c r="AA50" s="5">
        <f t="shared" si="23"/>
        <v>14.307999999999993</v>
      </c>
      <c r="AB50" s="5">
        <f t="shared" si="23"/>
        <v>4.0149999999999935</v>
      </c>
      <c r="AC50" s="5">
        <f t="shared" si="23"/>
        <v>-49.331999999999979</v>
      </c>
      <c r="AD50" s="5">
        <f t="shared" si="23"/>
        <v>96.193000000000012</v>
      </c>
      <c r="AE50" s="5">
        <f t="shared" si="23"/>
        <v>64.061999999999969</v>
      </c>
      <c r="AF50" s="5">
        <f t="shared" si="23"/>
        <v>7.3290000000000077</v>
      </c>
      <c r="AG50" s="5">
        <f t="shared" si="24"/>
        <v>33.936999999999998</v>
      </c>
      <c r="AH50" s="5">
        <f t="shared" si="24"/>
        <v>36.078000000000046</v>
      </c>
      <c r="AI50" s="5">
        <f t="shared" si="24"/>
        <v>73.87700000000001</v>
      </c>
      <c r="AJ50" s="5">
        <f t="shared" si="24"/>
        <v>74.923999999999907</v>
      </c>
      <c r="AK50" s="5">
        <f t="shared" si="24"/>
        <v>54.004180000000062</v>
      </c>
      <c r="AL50" s="5">
        <f t="shared" si="24"/>
        <v>58.454819999999941</v>
      </c>
      <c r="AM50" s="5">
        <f t="shared" si="24"/>
        <v>44.977000000000089</v>
      </c>
      <c r="AN50" s="5">
        <f t="shared" si="24"/>
        <v>68.534999999999911</v>
      </c>
      <c r="AO50" s="5">
        <f t="shared" si="24"/>
        <v>87.264460000000128</v>
      </c>
      <c r="AP50" s="5">
        <f t="shared" si="24"/>
        <v>97.849539999999848</v>
      </c>
      <c r="AQ50" s="5">
        <f t="shared" si="24"/>
        <v>113.63100000000006</v>
      </c>
      <c r="AR50" s="5">
        <f t="shared" si="25"/>
        <v>76.205000000000098</v>
      </c>
      <c r="AS50" s="5">
        <f t="shared" si="25"/>
        <v>55.281999999999982</v>
      </c>
      <c r="AT50" s="6">
        <f t="shared" si="26"/>
        <v>92.11426742857202</v>
      </c>
      <c r="AU50" s="5">
        <f t="shared" si="27"/>
        <v>-95.775000000000091</v>
      </c>
      <c r="AV50" s="5">
        <f t="shared" si="27"/>
        <v>40.830000000000041</v>
      </c>
      <c r="AW50" s="5">
        <f t="shared" si="27"/>
        <v>85.362999999999971</v>
      </c>
      <c r="AX50" s="6">
        <f t="shared" si="26"/>
        <v>42.812934868027696</v>
      </c>
      <c r="AY50" s="6">
        <f t="shared" si="26"/>
        <v>39.689719382494332</v>
      </c>
      <c r="AZ50" s="6">
        <f t="shared" si="26"/>
        <v>36.790705437922952</v>
      </c>
      <c r="BA50" s="6">
        <f t="shared" si="26"/>
        <v>30.738296363871996</v>
      </c>
      <c r="BB50" s="6">
        <f t="shared" si="26"/>
        <v>24.284304905179852</v>
      </c>
    </row>
    <row r="51" spans="1:54" x14ac:dyDescent="0.25">
      <c r="AR51" s="17"/>
      <c r="AS51" s="17"/>
      <c r="AT51" s="17"/>
      <c r="AU51" s="17"/>
      <c r="AV51" s="17"/>
      <c r="AW51" s="17"/>
      <c r="AX51" s="17"/>
      <c r="AY51" s="17"/>
    </row>
    <row r="52" spans="1:54" x14ac:dyDescent="0.25"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7"/>
    </row>
    <row r="53" spans="1:54" x14ac:dyDescent="0.25"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</row>
    <row r="54" spans="1:54" x14ac:dyDescent="0.25"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</row>
    <row r="55" spans="1:54" x14ac:dyDescent="0.25"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</row>
  </sheetData>
  <hyperlinks>
    <hyperlink ref="A16" r:id="rId1" xr:uid="{1D6A834D-DE9A-48F2-B608-240DB55A52E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AD649-B7B1-45D2-BE94-BD99496BB11B}">
  <dimension ref="A1:BB85"/>
  <sheetViews>
    <sheetView zoomScale="85" zoomScaleNormal="85" workbookViewId="0">
      <pane xSplit="1" ySplit="2" topLeftCell="AE3" activePane="bottomRight" state="frozen"/>
      <selection activeCell="AI17" sqref="AI17"/>
      <selection pane="topRight" activeCell="AI17" sqref="AI17"/>
      <selection pane="bottomLeft" activeCell="AI17" sqref="AI17"/>
      <selection pane="bottomRight" activeCell="AI17" sqref="AI17"/>
    </sheetView>
  </sheetViews>
  <sheetFormatPr defaultRowHeight="15" x14ac:dyDescent="0.25"/>
  <cols>
    <col min="1" max="1" width="26.42578125" style="28" customWidth="1"/>
  </cols>
  <sheetData>
    <row r="1" spans="1:54" x14ac:dyDescent="0.25">
      <c r="A1" s="28" t="s">
        <v>0</v>
      </c>
      <c r="B1" s="29">
        <v>1975</v>
      </c>
      <c r="C1" s="29">
        <v>1976</v>
      </c>
      <c r="D1" s="29">
        <v>1977</v>
      </c>
      <c r="E1" s="29">
        <v>1978</v>
      </c>
      <c r="F1" s="29">
        <v>1979</v>
      </c>
      <c r="G1" s="29">
        <v>1980</v>
      </c>
      <c r="H1" s="29">
        <v>1981</v>
      </c>
      <c r="I1" s="29">
        <v>1982</v>
      </c>
      <c r="J1" s="29">
        <v>1983</v>
      </c>
      <c r="K1" s="29">
        <v>1984</v>
      </c>
      <c r="L1" s="29">
        <v>1985</v>
      </c>
      <c r="M1" s="29">
        <v>1986</v>
      </c>
      <c r="N1" s="29">
        <v>1987</v>
      </c>
      <c r="O1" s="29">
        <v>1988</v>
      </c>
      <c r="P1" s="29">
        <v>1989</v>
      </c>
      <c r="Q1" s="29">
        <v>1990</v>
      </c>
      <c r="R1" s="29">
        <v>1991</v>
      </c>
      <c r="S1" s="29">
        <v>1992</v>
      </c>
      <c r="T1" s="29">
        <v>1993</v>
      </c>
      <c r="U1" s="29">
        <v>1994</v>
      </c>
      <c r="V1" s="29">
        <v>1995</v>
      </c>
      <c r="W1" s="29">
        <v>1996</v>
      </c>
      <c r="X1" s="29">
        <v>1997</v>
      </c>
      <c r="Y1" s="29">
        <v>1998</v>
      </c>
      <c r="Z1" s="29">
        <v>1999</v>
      </c>
      <c r="AA1" s="29">
        <v>2000</v>
      </c>
      <c r="AB1" s="29">
        <v>2001</v>
      </c>
      <c r="AC1" s="29">
        <v>2002</v>
      </c>
      <c r="AD1" s="29">
        <v>2003</v>
      </c>
      <c r="AE1" s="29">
        <v>2004</v>
      </c>
      <c r="AF1" s="29">
        <v>2005</v>
      </c>
      <c r="AG1" s="29">
        <v>2006</v>
      </c>
      <c r="AH1" s="29">
        <v>2007</v>
      </c>
      <c r="AI1" s="29">
        <v>2008</v>
      </c>
      <c r="AJ1" s="29">
        <v>2009</v>
      </c>
      <c r="AK1" s="29">
        <v>2010</v>
      </c>
      <c r="AL1" s="29">
        <v>2011</v>
      </c>
      <c r="AM1" s="29">
        <v>2012</v>
      </c>
      <c r="AN1" s="29">
        <v>2013</v>
      </c>
      <c r="AO1" s="29">
        <v>2014</v>
      </c>
      <c r="AP1" s="29">
        <v>2015</v>
      </c>
      <c r="AQ1" s="29">
        <v>2016</v>
      </c>
      <c r="AR1" s="29">
        <v>2017</v>
      </c>
      <c r="AS1" s="29">
        <v>2018</v>
      </c>
      <c r="AT1" s="29">
        <v>2019</v>
      </c>
      <c r="AU1" s="29">
        <v>2020</v>
      </c>
      <c r="AV1" s="29">
        <v>2021</v>
      </c>
      <c r="AW1" s="29">
        <v>2022</v>
      </c>
      <c r="AX1" s="29">
        <v>2023</v>
      </c>
      <c r="AY1" s="29">
        <v>2024</v>
      </c>
      <c r="AZ1" s="29">
        <v>2025</v>
      </c>
      <c r="BA1" s="29">
        <v>2026</v>
      </c>
      <c r="BB1" s="29">
        <v>2027</v>
      </c>
    </row>
    <row r="2" spans="1:54" ht="15.75" thickBot="1" x14ac:dyDescent="0.3">
      <c r="A2" s="30" t="s">
        <v>20</v>
      </c>
    </row>
    <row r="3" spans="1:54" x14ac:dyDescent="0.25">
      <c r="A3" s="31" t="s">
        <v>2</v>
      </c>
      <c r="B3" s="32"/>
      <c r="C3" s="32"/>
      <c r="D3" s="32"/>
      <c r="E3" s="32"/>
      <c r="F3" s="32"/>
      <c r="G3" s="32"/>
      <c r="H3" s="32"/>
      <c r="I3" s="33">
        <v>302</v>
      </c>
      <c r="J3" s="33">
        <v>300</v>
      </c>
      <c r="K3" s="33">
        <v>320</v>
      </c>
      <c r="L3" s="33">
        <v>335</v>
      </c>
      <c r="M3" s="33">
        <v>320</v>
      </c>
      <c r="N3" s="33">
        <v>365</v>
      </c>
      <c r="O3" s="33">
        <v>435</v>
      </c>
      <c r="P3" s="33">
        <v>580</v>
      </c>
      <c r="Q3" s="33">
        <v>675</v>
      </c>
      <c r="R3" s="33">
        <v>715</v>
      </c>
      <c r="S3" s="33">
        <v>855</v>
      </c>
      <c r="T3" s="33">
        <v>921</v>
      </c>
      <c r="U3" s="33">
        <v>1045</v>
      </c>
      <c r="V3" s="33">
        <v>1190</v>
      </c>
      <c r="W3" s="33">
        <v>1428</v>
      </c>
      <c r="X3" s="33">
        <v>1783</v>
      </c>
      <c r="Y3" s="33">
        <v>2068</v>
      </c>
      <c r="Z3" s="33">
        <v>2397</v>
      </c>
      <c r="AA3" s="33">
        <v>2518</v>
      </c>
      <c r="AB3" s="33">
        <v>2956</v>
      </c>
      <c r="AC3" s="33">
        <v>3307</v>
      </c>
      <c r="AD3" s="33">
        <v>3429</v>
      </c>
      <c r="AE3" s="33">
        <v>3936</v>
      </c>
      <c r="AF3" s="33">
        <v>4383</v>
      </c>
      <c r="AG3" s="33">
        <v>4886</v>
      </c>
      <c r="AH3" s="33">
        <v>5236</v>
      </c>
      <c r="AI3" s="33">
        <v>5586</v>
      </c>
      <c r="AJ3" s="33">
        <v>6063</v>
      </c>
      <c r="AK3" s="33">
        <v>6498</v>
      </c>
      <c r="AL3" s="33">
        <v>7256</v>
      </c>
      <c r="AM3" s="33">
        <v>8064</v>
      </c>
      <c r="AN3" s="33">
        <v>8430</v>
      </c>
      <c r="AO3" s="33">
        <v>8958</v>
      </c>
      <c r="AP3" s="33">
        <v>9523</v>
      </c>
      <c r="AQ3" s="33">
        <v>10300</v>
      </c>
      <c r="AR3" s="33">
        <v>11100</v>
      </c>
      <c r="AS3" s="33">
        <v>11700</v>
      </c>
      <c r="AT3" s="33">
        <v>11900</v>
      </c>
      <c r="AU3" s="33">
        <v>12100</v>
      </c>
      <c r="AV3" s="33">
        <v>12200</v>
      </c>
      <c r="AW3" s="33">
        <v>12500</v>
      </c>
      <c r="AX3" s="34">
        <v>13500</v>
      </c>
      <c r="AY3" s="34">
        <v>13800</v>
      </c>
      <c r="AZ3" s="34">
        <f>MROUND(FORECAST(AZ1,AP3:AY3,AP1:AY1),50)-1850</f>
        <v>12350</v>
      </c>
      <c r="BA3" s="34">
        <f>MROUND(FORECAST(BA1,AQ3:AZ3,AQ1:AZ1),50)-1200</f>
        <v>12550</v>
      </c>
      <c r="BB3" s="34">
        <f>MROUND(FORECAST(BB1,AR3:BA3,AR1:BA1),50)-250</f>
        <v>13150</v>
      </c>
    </row>
    <row r="7" spans="1:54" x14ac:dyDescent="0.25">
      <c r="A7" s="35" t="s">
        <v>6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</row>
    <row r="11" spans="1:54" x14ac:dyDescent="0.25">
      <c r="A11" s="35" t="s">
        <v>7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</row>
    <row r="14" spans="1:54" ht="15.75" thickBot="1" x14ac:dyDescent="0.3"/>
    <row r="15" spans="1:54" x14ac:dyDescent="0.25">
      <c r="A15" s="31" t="s">
        <v>10</v>
      </c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</row>
    <row r="16" spans="1:54" x14ac:dyDescent="0.25">
      <c r="A16" s="37"/>
    </row>
    <row r="19" spans="1:54" ht="15.75" thickBot="1" x14ac:dyDescent="0.3">
      <c r="A19" s="28" t="s">
        <v>11</v>
      </c>
    </row>
    <row r="20" spans="1:54" x14ac:dyDescent="0.25">
      <c r="A20" s="31" t="s">
        <v>12</v>
      </c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3">
        <f>(U53/12*2)+(V53/12*10)</f>
        <v>4191.666666666667</v>
      </c>
      <c r="V20" s="33">
        <f t="shared" ref="V20:AP20" si="0">(V53/12*2)+(W53/12*10)</f>
        <v>4750</v>
      </c>
      <c r="W20" s="33">
        <f t="shared" si="0"/>
        <v>5295.833333333333</v>
      </c>
      <c r="X20" s="33">
        <f t="shared" si="0"/>
        <v>5064.166666666667</v>
      </c>
      <c r="Y20" s="33">
        <f t="shared" si="0"/>
        <v>5666.6666666666661</v>
      </c>
      <c r="Z20" s="33">
        <f t="shared" si="0"/>
        <v>6966.666666666667</v>
      </c>
      <c r="AA20" s="33">
        <f t="shared" si="0"/>
        <v>8116.6666666666661</v>
      </c>
      <c r="AB20" s="33">
        <f t="shared" si="0"/>
        <v>9050</v>
      </c>
      <c r="AC20" s="33">
        <f t="shared" si="0"/>
        <v>10116.666666666668</v>
      </c>
      <c r="AD20" s="33">
        <f t="shared" si="0"/>
        <v>11691.666666666666</v>
      </c>
      <c r="AE20" s="33">
        <f t="shared" si="0"/>
        <v>13295</v>
      </c>
      <c r="AF20" s="33">
        <f t="shared" si="0"/>
        <v>15226.666666666668</v>
      </c>
      <c r="AG20" s="33">
        <f t="shared" si="0"/>
        <v>16426.666666666664</v>
      </c>
      <c r="AH20" s="33">
        <f t="shared" si="0"/>
        <v>17766.666666666668</v>
      </c>
      <c r="AI20" s="33">
        <f t="shared" si="0"/>
        <v>20083.333333333332</v>
      </c>
      <c r="AJ20" s="33">
        <f t="shared" si="0"/>
        <v>21750</v>
      </c>
      <c r="AK20" s="33">
        <f t="shared" si="0"/>
        <v>23333.333333333336</v>
      </c>
      <c r="AL20" s="33">
        <f t="shared" si="0"/>
        <v>25766.666666666668</v>
      </c>
      <c r="AM20" s="33">
        <f t="shared" si="0"/>
        <v>28116.666666666668</v>
      </c>
      <c r="AN20" s="33">
        <f t="shared" si="0"/>
        <v>30166.666666666664</v>
      </c>
      <c r="AO20" s="33">
        <f t="shared" si="0"/>
        <v>32583.333333333332</v>
      </c>
      <c r="AP20" s="33">
        <f t="shared" si="0"/>
        <v>33461.238458593034</v>
      </c>
      <c r="AQ20" s="33">
        <f>SUM('[1]Indonesia Palm Complex'!X$59:X$67,'[1]Indonesia Palm Complex'!Y$56:Y$58)</f>
        <v>34526</v>
      </c>
      <c r="AR20" s="33">
        <f>SUM('[1]Indonesia Palm Complex'!Y$59:Y$67,'[1]Indonesia Palm Complex'!Z$56:Z$58)</f>
        <v>42012</v>
      </c>
      <c r="AS20" s="33">
        <f>SUM('[1]Indonesia Palm Complex'!Z$59:Z$67,'[1]Indonesia Palm Complex'!AA$56:AA$58)</f>
        <v>47437</v>
      </c>
      <c r="AT20" s="33">
        <f>SUM('[1]Indonesia Palm Complex'!AA$59:AA$67,'[1]Indonesia Palm Complex'!AB$56:AB$58)</f>
        <v>51868</v>
      </c>
      <c r="AU20" s="33">
        <f>SUM('[1]Indonesia Palm Complex'!AB$59:AB$67,'[1]Indonesia Palm Complex'!AC$56:AC$58)</f>
        <v>51625</v>
      </c>
      <c r="AV20" s="33">
        <f>SUM('[1]Indonesia Palm Complex'!AC$59:AC$67,'[1]Indonesia Palm Complex'!AD$56:AD$58)</f>
        <v>51300</v>
      </c>
      <c r="AW20" s="33">
        <f>SUM('[1]Indonesia Palm Complex'!AD$59:AD$67,'[1]Indonesia Palm Complex'!AE$56:AE$58)</f>
        <v>51248</v>
      </c>
      <c r="AX20" s="33">
        <f>SUM('[1]Indonesia Palm Complex'!AE$59:AE$67,'[1]Indonesia Palm Complex'!AF$56:AF$58)</f>
        <v>54929</v>
      </c>
      <c r="AY20" s="33" t="e">
        <f>SUM('[1]Indonesia Palm Complex'!AF$59:AF$67,'[1]Indonesia Palm Complex'!AG$56:AG$58)</f>
        <v>#REF!</v>
      </c>
      <c r="AZ20" s="33" t="e">
        <f>SUM('[1]Indonesia Palm Complex'!AG$59:AG$67,'[1]Indonesia Palm Complex'!AH$56:AH$58)</f>
        <v>#REF!</v>
      </c>
      <c r="BA20" s="33" t="e">
        <f>SUM('[1]Indonesia Palm Complex'!AH$59:AH$67,'[1]Indonesia Palm Complex'!AI$56:AI$58)</f>
        <v>#REF!</v>
      </c>
      <c r="BB20" s="33" t="e">
        <f>SUM('[1]Indonesia Palm Complex'!AI$59:AI$67,'[1]Indonesia Palm Complex'!AJ$56:AJ$58)</f>
        <v>#REF!</v>
      </c>
    </row>
    <row r="21" spans="1:54" x14ac:dyDescent="0.25">
      <c r="A21" s="28" t="s">
        <v>13</v>
      </c>
      <c r="U21" s="38">
        <f>U20/U3</f>
        <v>4.0111642743221694</v>
      </c>
      <c r="V21" s="38">
        <f t="shared" ref="V21:AU21" si="1">V20/V3</f>
        <v>3.9915966386554622</v>
      </c>
      <c r="W21" s="38">
        <f t="shared" si="1"/>
        <v>3.708566760037348</v>
      </c>
      <c r="X21" s="38">
        <f t="shared" si="1"/>
        <v>2.8402505141147878</v>
      </c>
      <c r="Y21" s="38">
        <f t="shared" si="1"/>
        <v>2.7401676337846546</v>
      </c>
      <c r="Z21" s="38">
        <f t="shared" si="1"/>
        <v>2.9064107912668615</v>
      </c>
      <c r="AA21" s="38">
        <f t="shared" si="1"/>
        <v>3.2234577707175003</v>
      </c>
      <c r="AB21" s="38">
        <f t="shared" si="1"/>
        <v>3.0615696887686061</v>
      </c>
      <c r="AC21" s="38">
        <f t="shared" si="1"/>
        <v>3.0591674226388474</v>
      </c>
      <c r="AD21" s="38">
        <f t="shared" si="1"/>
        <v>3.4096432390395641</v>
      </c>
      <c r="AE21" s="38">
        <f t="shared" si="1"/>
        <v>3.3777947154471546</v>
      </c>
      <c r="AF21" s="38">
        <f t="shared" si="1"/>
        <v>3.4740284432276223</v>
      </c>
      <c r="AG21" s="38">
        <f t="shared" si="1"/>
        <v>3.3619866284622728</v>
      </c>
      <c r="AH21" s="38">
        <f t="shared" si="1"/>
        <v>3.3931754519989816</v>
      </c>
      <c r="AI21" s="38">
        <f t="shared" si="1"/>
        <v>3.5952977682300991</v>
      </c>
      <c r="AJ21" s="38">
        <f t="shared" si="1"/>
        <v>3.5873330034636317</v>
      </c>
      <c r="AK21" s="38">
        <f t="shared" si="1"/>
        <v>3.5908484661947271</v>
      </c>
      <c r="AL21" s="38">
        <f t="shared" si="1"/>
        <v>3.5510841602352077</v>
      </c>
      <c r="AM21" s="38">
        <f t="shared" si="1"/>
        <v>3.4866898148148149</v>
      </c>
      <c r="AN21" s="38">
        <f t="shared" si="1"/>
        <v>3.5784895215500194</v>
      </c>
      <c r="AO21" s="38">
        <f t="shared" si="1"/>
        <v>3.6373446453821536</v>
      </c>
      <c r="AP21" s="38">
        <f t="shared" si="1"/>
        <v>3.5137287050922015</v>
      </c>
      <c r="AQ21" s="38">
        <f t="shared" si="1"/>
        <v>3.3520388349514563</v>
      </c>
      <c r="AR21" s="38">
        <f t="shared" si="1"/>
        <v>3.7848648648648648</v>
      </c>
      <c r="AS21" s="38">
        <f t="shared" si="1"/>
        <v>4.0544444444444441</v>
      </c>
      <c r="AT21" s="38">
        <f t="shared" si="1"/>
        <v>4.3586554621848741</v>
      </c>
      <c r="AU21" s="38">
        <f t="shared" si="1"/>
        <v>4.2665289256198351</v>
      </c>
      <c r="AV21" s="38">
        <f>AV20/AV3</f>
        <v>4.2049180327868854</v>
      </c>
      <c r="AW21" s="38">
        <f t="shared" ref="AW21:AX21" si="2">FORECAST(AW1,Y21:AV21,Y1:AV1)</f>
        <v>4.1522962813910453</v>
      </c>
      <c r="AX21" s="38">
        <f t="shared" si="2"/>
        <v>4.1832418687710771</v>
      </c>
      <c r="AY21" s="38">
        <f>FORECAST(AY1,AA21:AX21,AA1:AX1)-0.25</f>
        <v>3.9696564169163224</v>
      </c>
      <c r="AZ21" s="38">
        <f>FORECAST(AZ1,AB21:AY21,AB1:AY1)</f>
        <v>4.23646153552491</v>
      </c>
      <c r="BA21" s="38">
        <f>FORECAST(BA1,AC21:AZ21,AC1:AZ1)</f>
        <v>4.274372992491223</v>
      </c>
      <c r="BB21" s="38">
        <f>FORECAST(BB1,AD21:BA21,AD1:BA1)</f>
        <v>4.3056061616343584</v>
      </c>
    </row>
    <row r="22" spans="1:54" x14ac:dyDescent="0.25">
      <c r="A22" s="28" t="s">
        <v>14</v>
      </c>
    </row>
    <row r="24" spans="1:54" ht="15.75" thickBot="1" x14ac:dyDescent="0.3">
      <c r="A24" s="28" t="s">
        <v>15</v>
      </c>
    </row>
    <row r="25" spans="1:54" x14ac:dyDescent="0.25">
      <c r="A25" s="31" t="s">
        <v>7</v>
      </c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</row>
    <row r="29" spans="1:54" ht="15.75" thickBot="1" x14ac:dyDescent="0.3">
      <c r="A29" s="28" t="s">
        <v>16</v>
      </c>
    </row>
    <row r="30" spans="1:54" x14ac:dyDescent="0.25">
      <c r="A30" s="31" t="s">
        <v>7</v>
      </c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</row>
    <row r="35" spans="1:54" ht="15.75" thickBot="1" x14ac:dyDescent="0.3">
      <c r="A35" s="28" t="s">
        <v>17</v>
      </c>
    </row>
    <row r="36" spans="1:54" x14ac:dyDescent="0.25">
      <c r="A36" s="31" t="s">
        <v>7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</row>
    <row r="40" spans="1:54" ht="15.75" thickBot="1" x14ac:dyDescent="0.3">
      <c r="A40" s="28" t="s">
        <v>18</v>
      </c>
    </row>
    <row r="41" spans="1:54" x14ac:dyDescent="0.25">
      <c r="A41" s="31" t="s">
        <v>7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</row>
    <row r="46" spans="1:54" ht="15.75" thickBot="1" x14ac:dyDescent="0.3">
      <c r="A46" s="28" t="s">
        <v>19</v>
      </c>
    </row>
    <row r="47" spans="1:54" x14ac:dyDescent="0.25">
      <c r="A47" s="31" t="s">
        <v>7</v>
      </c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2"/>
      <c r="AY47" s="32"/>
      <c r="AZ47" s="32"/>
      <c r="BA47" s="32"/>
      <c r="BB47" s="32"/>
    </row>
    <row r="52" spans="1:54" s="39" customFormat="1" ht="12.75" x14ac:dyDescent="0.2">
      <c r="A52" s="39" t="s">
        <v>21</v>
      </c>
      <c r="T52" s="40" t="s">
        <v>22</v>
      </c>
      <c r="U52" s="41" t="str">
        <f>'[1]Indonesia Palm Complex'!B$55</f>
        <v xml:space="preserve">93/94 </v>
      </c>
      <c r="V52" s="41" t="str">
        <f>'[1]Indonesia Palm Complex'!C$55</f>
        <v xml:space="preserve">94/95 </v>
      </c>
      <c r="W52" s="41" t="str">
        <f>'[1]Indonesia Palm Complex'!D$55</f>
        <v xml:space="preserve">95/96 </v>
      </c>
      <c r="X52" s="41" t="str">
        <f>'[1]Indonesia Palm Complex'!E$55</f>
        <v xml:space="preserve">96/97 </v>
      </c>
      <c r="Y52" s="41" t="str">
        <f>'[1]Indonesia Palm Complex'!F$55</f>
        <v xml:space="preserve">97/98 </v>
      </c>
      <c r="Z52" s="41" t="str">
        <f>'[1]Indonesia Palm Complex'!G$55</f>
        <v xml:space="preserve">98/99 </v>
      </c>
      <c r="AA52" s="41" t="str">
        <f>'[1]Indonesia Palm Complex'!H$55</f>
        <v xml:space="preserve">99/00 </v>
      </c>
      <c r="AB52" s="41" t="str">
        <f>'[1]Indonesia Palm Complex'!I$55</f>
        <v xml:space="preserve">00/01 </v>
      </c>
      <c r="AC52" s="41" t="str">
        <f>'[1]Indonesia Palm Complex'!J$55</f>
        <v xml:space="preserve">01/02 </v>
      </c>
      <c r="AD52" s="41" t="str">
        <f>'[1]Indonesia Palm Complex'!K$55</f>
        <v xml:space="preserve">02/03 </v>
      </c>
      <c r="AE52" s="41" t="str">
        <f>'[1]Indonesia Palm Complex'!L$55</f>
        <v xml:space="preserve">03/04 </v>
      </c>
      <c r="AF52" s="41" t="str">
        <f>'[1]Indonesia Palm Complex'!M$55</f>
        <v xml:space="preserve">04/05 </v>
      </c>
      <c r="AG52" s="41" t="str">
        <f>'[1]Indonesia Palm Complex'!N$55</f>
        <v xml:space="preserve">05/06 </v>
      </c>
      <c r="AH52" s="41" t="str">
        <f>'[1]Indonesia Palm Complex'!O$55</f>
        <v xml:space="preserve">06/07 </v>
      </c>
      <c r="AI52" s="41" t="str">
        <f>'[1]Indonesia Palm Complex'!P$55</f>
        <v xml:space="preserve">07/08 </v>
      </c>
      <c r="AJ52" s="41" t="str">
        <f>'[1]Indonesia Palm Complex'!Q$55</f>
        <v xml:space="preserve">08/09 </v>
      </c>
      <c r="AK52" s="41" t="str">
        <f>'[1]Indonesia Palm Complex'!R$55</f>
        <v xml:space="preserve">09/10 </v>
      </c>
      <c r="AL52" s="41" t="str">
        <f>'[1]Indonesia Palm Complex'!S$55</f>
        <v xml:space="preserve">10/11 </v>
      </c>
      <c r="AM52" s="41" t="str">
        <f>'[1]Indonesia Palm Complex'!T$55</f>
        <v xml:space="preserve">11/12 </v>
      </c>
      <c r="AN52" s="41" t="str">
        <f>'[1]Indonesia Palm Complex'!U$55</f>
        <v xml:space="preserve">12/13 </v>
      </c>
      <c r="AO52" s="41" t="str">
        <f>'[1]Indonesia Palm Complex'!V$55</f>
        <v xml:space="preserve">13/14 </v>
      </c>
      <c r="AP52" s="41" t="str">
        <f>'[1]Indonesia Palm Complex'!W$55</f>
        <v xml:space="preserve">14/15 </v>
      </c>
      <c r="AQ52" s="41" t="str">
        <f>'[1]Indonesia Palm Complex'!X$55</f>
        <v xml:space="preserve">15/16 </v>
      </c>
      <c r="AR52" s="41" t="str">
        <f>'[1]Indonesia Palm Complex'!Y$55</f>
        <v xml:space="preserve">16/17 </v>
      </c>
      <c r="AS52" s="41" t="str">
        <f>'[1]Indonesia Palm Complex'!Z$55</f>
        <v xml:space="preserve">17/18 </v>
      </c>
      <c r="AT52" s="41" t="str">
        <f>'[1]Indonesia Palm Complex'!AA$55</f>
        <v xml:space="preserve">18/19 </v>
      </c>
      <c r="AU52" s="41" t="str">
        <f>'[1]Indonesia Palm Complex'!AB$55</f>
        <v>19/20</v>
      </c>
      <c r="AV52" s="41" t="str">
        <f>'[1]Indonesia Palm Complex'!AC$55</f>
        <v>20/21</v>
      </c>
      <c r="AW52" s="41" t="str">
        <f>'[1]Indonesia Palm Complex'!AD$55</f>
        <v xml:space="preserve">21/22  </v>
      </c>
      <c r="AX52" s="41" t="str">
        <f>'[1]Indonesia Palm Complex'!AE$55</f>
        <v xml:space="preserve">22/23  </v>
      </c>
      <c r="AY52" s="41" t="str">
        <f>'[1]Indonesia Palm Complex'!AF$55</f>
        <v xml:space="preserve">23/24  </v>
      </c>
      <c r="AZ52" s="41" t="str">
        <f>'[1]Indonesia Palm Complex'!AG$55</f>
        <v xml:space="preserve">24/25  </v>
      </c>
      <c r="BA52" s="41" t="str">
        <f>'[1]Indonesia Palm Complex'!AH$55</f>
        <v xml:space="preserve">25/26  </v>
      </c>
      <c r="BB52" s="41" t="str">
        <f>'[1]Indonesia Palm Complex'!AI$55</f>
        <v xml:space="preserve">26/27  </v>
      </c>
    </row>
    <row r="53" spans="1:54" s="39" customFormat="1" ht="12.75" x14ac:dyDescent="0.2">
      <c r="A53" s="39" t="s">
        <v>23</v>
      </c>
      <c r="U53" s="42">
        <v>3900</v>
      </c>
      <c r="V53" s="42">
        <v>4250</v>
      </c>
      <c r="W53" s="42">
        <v>4850</v>
      </c>
      <c r="X53" s="42">
        <v>5385</v>
      </c>
      <c r="Y53" s="42">
        <v>5000</v>
      </c>
      <c r="Z53" s="42">
        <v>5800</v>
      </c>
      <c r="AA53" s="42">
        <v>7200</v>
      </c>
      <c r="AB53" s="42">
        <v>8300</v>
      </c>
      <c r="AC53" s="42">
        <v>9200</v>
      </c>
      <c r="AD53" s="42">
        <v>10300</v>
      </c>
      <c r="AE53" s="42">
        <v>11970</v>
      </c>
      <c r="AF53" s="42">
        <v>13560</v>
      </c>
      <c r="AG53" s="42">
        <v>15560</v>
      </c>
      <c r="AH53" s="42">
        <v>16600</v>
      </c>
      <c r="AI53" s="42">
        <v>18000</v>
      </c>
      <c r="AJ53" s="42">
        <v>20500</v>
      </c>
      <c r="AK53" s="42">
        <v>22000</v>
      </c>
      <c r="AL53" s="42">
        <v>23600</v>
      </c>
      <c r="AM53" s="42">
        <v>26200</v>
      </c>
      <c r="AN53" s="42">
        <v>28500</v>
      </c>
      <c r="AO53" s="42">
        <v>30500</v>
      </c>
      <c r="AP53" s="42">
        <v>33000</v>
      </c>
      <c r="AQ53" s="42">
        <f>'[1]Indonesia Palm Complex'!X$10</f>
        <v>33553.486150311641</v>
      </c>
      <c r="AR53" s="42">
        <f>'[1]Indonesia Palm Complex'!Y$10</f>
        <v>40025</v>
      </c>
      <c r="AS53" s="42">
        <f>'[1]Indonesia Palm Complex'!Z$10</f>
        <v>47211</v>
      </c>
      <c r="AT53" s="42">
        <f>'[1]Indonesia Palm Complex'!AA$10</f>
        <v>51888</v>
      </c>
      <c r="AU53" s="42">
        <f>'[1]Indonesia Palm Complex'!AB$10</f>
        <v>50080</v>
      </c>
      <c r="AV53" s="42">
        <f>'[1]Indonesia Palm Complex'!AC$10</f>
        <v>52025</v>
      </c>
      <c r="AW53" s="42">
        <f>MROUND((AV20/12*2)+(AW20/12*10),250)</f>
        <v>51250</v>
      </c>
      <c r="AX53" s="42">
        <f>MROUND((AW20/12*2)+(AX20/12*10),250)</f>
        <v>54250</v>
      </c>
      <c r="AY53" s="42" t="e">
        <f>MROUND((AX20/12*2)+(AY20/12*10),250)</f>
        <v>#REF!</v>
      </c>
      <c r="AZ53" s="42" t="e">
        <f t="shared" ref="AZ53:BB53" si="3">MROUND((AY20/12*2)+(AZ20/12*10),250)</f>
        <v>#REF!</v>
      </c>
      <c r="BA53" s="42" t="e">
        <f t="shared" si="3"/>
        <v>#REF!</v>
      </c>
      <c r="BB53" s="42" t="e">
        <f t="shared" si="3"/>
        <v>#REF!</v>
      </c>
    </row>
    <row r="55" spans="1:54" x14ac:dyDescent="0.25">
      <c r="A55" s="28" t="s">
        <v>24</v>
      </c>
      <c r="AR55" s="42">
        <v>37965.224000000002</v>
      </c>
      <c r="AS55" s="42">
        <v>40567.230000000003</v>
      </c>
      <c r="AT55" s="42">
        <v>42869.428999999996</v>
      </c>
    </row>
    <row r="57" spans="1:54" x14ac:dyDescent="0.25">
      <c r="B57" s="43" t="s">
        <v>25</v>
      </c>
      <c r="C57" s="43" t="s">
        <v>26</v>
      </c>
      <c r="D57" s="43" t="s">
        <v>27</v>
      </c>
      <c r="E57" s="43" t="s">
        <v>28</v>
      </c>
      <c r="F57" s="43" t="s">
        <v>29</v>
      </c>
    </row>
    <row r="58" spans="1:54" x14ac:dyDescent="0.25">
      <c r="A58" s="28" t="s">
        <v>30</v>
      </c>
      <c r="B58" s="44">
        <v>1506</v>
      </c>
      <c r="C58" s="44">
        <v>711</v>
      </c>
      <c r="D58" s="44">
        <v>407</v>
      </c>
      <c r="E58" s="44">
        <v>93</v>
      </c>
      <c r="F58" s="44">
        <v>2717</v>
      </c>
    </row>
    <row r="59" spans="1:54" x14ac:dyDescent="0.25">
      <c r="A59" s="28" t="s">
        <v>31</v>
      </c>
      <c r="B59" s="44">
        <v>1058</v>
      </c>
      <c r="C59" s="44">
        <v>262</v>
      </c>
      <c r="D59" s="44">
        <v>188</v>
      </c>
      <c r="E59" s="44">
        <v>56</v>
      </c>
      <c r="F59" s="44">
        <v>1564</v>
      </c>
    </row>
    <row r="60" spans="1:54" x14ac:dyDescent="0.25">
      <c r="A60" s="28" t="s">
        <v>32</v>
      </c>
      <c r="B60" s="44">
        <v>624</v>
      </c>
      <c r="C60" s="44">
        <v>587</v>
      </c>
      <c r="D60" s="44">
        <v>295</v>
      </c>
      <c r="E60" s="44">
        <v>20</v>
      </c>
      <c r="F60" s="44">
        <v>1525</v>
      </c>
    </row>
    <row r="61" spans="1:54" x14ac:dyDescent="0.25">
      <c r="A61" s="28" t="s">
        <v>33</v>
      </c>
      <c r="B61" s="44">
        <v>994</v>
      </c>
      <c r="C61" s="44">
        <v>345</v>
      </c>
      <c r="D61" s="44">
        <v>467</v>
      </c>
      <c r="E61" s="44">
        <v>38</v>
      </c>
      <c r="F61" s="44">
        <v>1844</v>
      </c>
    </row>
    <row r="62" spans="1:54" x14ac:dyDescent="0.25">
      <c r="A62" s="28" t="s">
        <v>34</v>
      </c>
      <c r="B62" s="44">
        <v>441</v>
      </c>
      <c r="C62" s="44">
        <v>322</v>
      </c>
      <c r="D62" s="44">
        <v>400</v>
      </c>
      <c r="E62" s="44">
        <v>28</v>
      </c>
      <c r="F62" s="44">
        <v>1192</v>
      </c>
    </row>
    <row r="63" spans="1:54" x14ac:dyDescent="0.25">
      <c r="A63" s="28" t="s">
        <v>35</v>
      </c>
      <c r="B63" s="44">
        <v>567</v>
      </c>
      <c r="C63" s="44">
        <v>187</v>
      </c>
      <c r="D63" s="44">
        <v>171</v>
      </c>
      <c r="E63" s="44">
        <v>26</v>
      </c>
      <c r="F63" s="44">
        <v>951</v>
      </c>
    </row>
    <row r="64" spans="1:54" x14ac:dyDescent="0.25">
      <c r="A64" s="28" t="s">
        <v>36</v>
      </c>
      <c r="B64" s="44">
        <v>253</v>
      </c>
      <c r="C64" s="44">
        <v>124</v>
      </c>
      <c r="D64" s="44">
        <v>68</v>
      </c>
      <c r="E64" s="44">
        <v>17</v>
      </c>
      <c r="F64" s="44">
        <v>462</v>
      </c>
    </row>
    <row r="65" spans="1:6" x14ac:dyDescent="0.25">
      <c r="A65" s="28" t="s">
        <v>37</v>
      </c>
      <c r="B65" s="44">
        <v>246</v>
      </c>
      <c r="C65" s="44">
        <v>75</v>
      </c>
      <c r="D65" s="44">
        <v>81</v>
      </c>
      <c r="E65" s="44">
        <v>14</v>
      </c>
      <c r="F65" s="44">
        <v>416</v>
      </c>
    </row>
    <row r="66" spans="1:6" x14ac:dyDescent="0.25">
      <c r="A66" s="28" t="s">
        <v>38</v>
      </c>
      <c r="B66" s="44">
        <v>284</v>
      </c>
      <c r="C66" s="44">
        <v>58</v>
      </c>
      <c r="D66" s="44">
        <v>31</v>
      </c>
      <c r="E66" s="44">
        <v>12</v>
      </c>
      <c r="F66" s="44">
        <v>384</v>
      </c>
    </row>
    <row r="67" spans="1:6" x14ac:dyDescent="0.25">
      <c r="A67" s="28" t="s">
        <v>39</v>
      </c>
      <c r="B67" s="44">
        <v>273</v>
      </c>
      <c r="C67" s="44">
        <v>12</v>
      </c>
      <c r="D67" s="44">
        <v>13</v>
      </c>
      <c r="E67" s="44">
        <v>6</v>
      </c>
      <c r="F67" s="44">
        <v>304</v>
      </c>
    </row>
    <row r="68" spans="1:6" x14ac:dyDescent="0.25">
      <c r="A68" s="28" t="s">
        <v>40</v>
      </c>
      <c r="B68" s="44">
        <v>66</v>
      </c>
      <c r="C68" s="44">
        <v>97</v>
      </c>
      <c r="D68" s="44">
        <v>93</v>
      </c>
      <c r="E68" s="44">
        <v>3</v>
      </c>
      <c r="F68" s="44">
        <v>259</v>
      </c>
    </row>
    <row r="69" spans="1:6" x14ac:dyDescent="0.25">
      <c r="A69" s="28" t="s">
        <v>41</v>
      </c>
      <c r="B69" s="44">
        <v>121</v>
      </c>
      <c r="C69" s="44">
        <v>37</v>
      </c>
      <c r="D69" s="44">
        <v>50</v>
      </c>
      <c r="E69" s="44">
        <v>9</v>
      </c>
      <c r="F69" s="44">
        <v>217</v>
      </c>
    </row>
    <row r="70" spans="1:6" x14ac:dyDescent="0.25">
      <c r="A70" s="28" t="s">
        <v>42</v>
      </c>
      <c r="B70" s="44">
        <v>134</v>
      </c>
      <c r="C70" s="44">
        <v>33</v>
      </c>
      <c r="D70" s="44">
        <v>15</v>
      </c>
      <c r="E70" s="44">
        <v>5</v>
      </c>
      <c r="F70" s="44">
        <v>187</v>
      </c>
    </row>
    <row r="71" spans="1:6" x14ac:dyDescent="0.25">
      <c r="A71" s="28" t="s">
        <v>43</v>
      </c>
      <c r="B71" s="44">
        <v>109</v>
      </c>
      <c r="C71" s="44">
        <v>31</v>
      </c>
      <c r="D71" s="44">
        <v>18</v>
      </c>
      <c r="E71" s="44">
        <v>3</v>
      </c>
      <c r="F71" s="44">
        <v>160</v>
      </c>
    </row>
    <row r="72" spans="1:6" x14ac:dyDescent="0.25">
      <c r="A72" s="28" t="s">
        <v>44</v>
      </c>
      <c r="B72" s="44">
        <v>88</v>
      </c>
      <c r="C72" s="44">
        <v>15</v>
      </c>
      <c r="D72" s="44">
        <v>26</v>
      </c>
      <c r="E72" s="44">
        <v>2</v>
      </c>
      <c r="F72" s="44">
        <v>131</v>
      </c>
    </row>
    <row r="73" spans="1:6" x14ac:dyDescent="0.25">
      <c r="A73" s="28" t="s">
        <v>45</v>
      </c>
      <c r="B73" s="44">
        <v>84</v>
      </c>
      <c r="C73" s="44">
        <v>20</v>
      </c>
      <c r="D73" s="44">
        <v>12</v>
      </c>
      <c r="E73" s="44">
        <v>3</v>
      </c>
      <c r="F73" s="44">
        <v>119</v>
      </c>
    </row>
    <row r="74" spans="1:6" x14ac:dyDescent="0.25">
      <c r="A74" s="28" t="s">
        <v>46</v>
      </c>
      <c r="B74" s="44">
        <v>58</v>
      </c>
      <c r="C74" s="44">
        <v>16</v>
      </c>
      <c r="D74" s="44">
        <v>11</v>
      </c>
      <c r="E74" s="44">
        <v>3</v>
      </c>
      <c r="F74" s="44">
        <v>88</v>
      </c>
    </row>
    <row r="75" spans="1:6" x14ac:dyDescent="0.25">
      <c r="A75" s="28" t="s">
        <v>47</v>
      </c>
      <c r="B75" s="44">
        <v>32</v>
      </c>
      <c r="C75" s="44">
        <v>2</v>
      </c>
      <c r="D75" s="44">
        <v>2</v>
      </c>
      <c r="E75" s="44">
        <v>1</v>
      </c>
      <c r="F75" s="44">
        <v>37</v>
      </c>
    </row>
    <row r="76" spans="1:6" x14ac:dyDescent="0.25">
      <c r="A76" s="28" t="s">
        <v>48</v>
      </c>
      <c r="B76" s="44">
        <v>18</v>
      </c>
      <c r="C76" s="44">
        <v>8</v>
      </c>
      <c r="D76" s="44">
        <v>9</v>
      </c>
      <c r="E76" s="44">
        <v>1</v>
      </c>
      <c r="F76" s="44">
        <v>36</v>
      </c>
    </row>
    <row r="77" spans="1:6" x14ac:dyDescent="0.25">
      <c r="A77" s="28" t="s">
        <v>49</v>
      </c>
      <c r="B77" s="44">
        <v>21</v>
      </c>
      <c r="C77" s="44">
        <v>2</v>
      </c>
      <c r="D77" s="44">
        <v>1</v>
      </c>
      <c r="E77" s="44">
        <v>0</v>
      </c>
      <c r="F77" s="44">
        <v>25</v>
      </c>
    </row>
    <row r="78" spans="1:6" x14ac:dyDescent="0.25">
      <c r="A78" s="28" t="s">
        <v>50</v>
      </c>
      <c r="B78" s="44">
        <v>17</v>
      </c>
      <c r="C78" s="44">
        <v>1</v>
      </c>
      <c r="D78" s="44">
        <v>2</v>
      </c>
      <c r="E78" s="44">
        <v>0</v>
      </c>
      <c r="F78" s="44">
        <v>19</v>
      </c>
    </row>
    <row r="79" spans="1:6" x14ac:dyDescent="0.25">
      <c r="A79" s="28" t="s">
        <v>51</v>
      </c>
      <c r="B79" s="44">
        <v>8.9</v>
      </c>
      <c r="C79" s="44">
        <v>0.3</v>
      </c>
      <c r="D79" s="44">
        <v>0.1</v>
      </c>
      <c r="E79" s="44">
        <v>0</v>
      </c>
      <c r="F79" s="44">
        <v>9</v>
      </c>
    </row>
    <row r="80" spans="1:6" x14ac:dyDescent="0.25">
      <c r="A80" s="28" t="s">
        <v>52</v>
      </c>
      <c r="B80" s="44">
        <v>2.7</v>
      </c>
      <c r="C80" s="44">
        <v>1</v>
      </c>
      <c r="D80" s="44">
        <v>2.2000000000000002</v>
      </c>
      <c r="E80" s="44">
        <v>0</v>
      </c>
      <c r="F80" s="44">
        <v>6</v>
      </c>
    </row>
    <row r="81" spans="1:6" x14ac:dyDescent="0.25">
      <c r="A81" s="28" t="s">
        <v>53</v>
      </c>
      <c r="B81" s="44">
        <v>1.4</v>
      </c>
      <c r="C81" s="44">
        <v>0.1</v>
      </c>
      <c r="D81" s="44">
        <v>0.1</v>
      </c>
      <c r="E81" s="44">
        <v>0</v>
      </c>
      <c r="F81" s="44">
        <v>2</v>
      </c>
    </row>
    <row r="82" spans="1:6" x14ac:dyDescent="0.25">
      <c r="A82" s="28" t="s">
        <v>54</v>
      </c>
      <c r="B82" s="44">
        <v>0.3</v>
      </c>
      <c r="C82" s="44">
        <v>0.2</v>
      </c>
      <c r="D82" s="44">
        <v>0.5</v>
      </c>
      <c r="E82" s="44">
        <v>0</v>
      </c>
      <c r="F82" s="44">
        <v>1</v>
      </c>
    </row>
    <row r="83" spans="1:6" x14ac:dyDescent="0.25">
      <c r="A83" s="28" t="s">
        <v>55</v>
      </c>
      <c r="B83" s="44">
        <f>SUM(B58:B82)</f>
        <v>7007.2999999999993</v>
      </c>
      <c r="C83" s="44">
        <f t="shared" ref="C83:F83" si="4">SUM(C58:C82)</f>
        <v>2946.6</v>
      </c>
      <c r="D83" s="44">
        <f t="shared" si="4"/>
        <v>2362.8999999999996</v>
      </c>
      <c r="E83" s="44">
        <f t="shared" si="4"/>
        <v>340</v>
      </c>
      <c r="F83" s="44">
        <f t="shared" si="4"/>
        <v>12655</v>
      </c>
    </row>
    <row r="84" spans="1:6" x14ac:dyDescent="0.25">
      <c r="B84" s="44"/>
      <c r="C84" s="44"/>
      <c r="D84" s="44"/>
      <c r="E84" s="44"/>
      <c r="F84" s="44"/>
    </row>
    <row r="85" spans="1:6" x14ac:dyDescent="0.25">
      <c r="A85" s="28" t="s">
        <v>56</v>
      </c>
      <c r="B85" s="44">
        <v>4160</v>
      </c>
      <c r="C85" s="44">
        <v>3720</v>
      </c>
      <c r="D85" s="44">
        <v>3390</v>
      </c>
      <c r="E85" s="44">
        <v>1050</v>
      </c>
      <c r="F85" s="44">
        <f>SUM(B85:E85)</f>
        <v>12320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Malaysia</vt:lpstr>
      <vt:lpstr>Indonesia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2025-07-17T08:26:24Z</dcterms:created>
  <dcterms:modified xsi:type="dcterms:W3CDTF">2025-08-11T10:39:52Z</dcterms:modified>
</cp:coreProperties>
</file>