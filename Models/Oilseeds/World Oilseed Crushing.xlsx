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939896D9-468F-485B-8C95-BCB2EDDF0458}" xr6:coauthVersionLast="47" xr6:coauthVersionMax="47" xr10:uidLastSave="{00000000-0000-0000-0000-000000000000}"/>
  <bookViews>
    <workbookView xWindow="1305" yWindow="885" windowWidth="27240" windowHeight="14550" xr2:uid="{87376991-EF7D-46BA-8363-9DB2DA44D91B}"/>
  </bookViews>
  <sheets>
    <sheet name="AC10 Crush" sheetId="1" r:id="rId1"/>
    <sheet name="Soybeans" sheetId="2" r:id="rId2"/>
    <sheet name="Sunseed" sheetId="3" r:id="rId3"/>
    <sheet name="Rapeseed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4" l="1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H25" i="4"/>
  <c r="AG25" i="4"/>
  <c r="AF25" i="4"/>
  <c r="AE25" i="4"/>
  <c r="AD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L25" i="4"/>
  <c r="K25" i="4"/>
  <c r="J25" i="4"/>
  <c r="I25" i="4"/>
  <c r="H25" i="4"/>
  <c r="G25" i="4"/>
  <c r="F25" i="4"/>
  <c r="E25" i="4"/>
  <c r="D25" i="4"/>
  <c r="C25" i="4"/>
  <c r="BF24" i="4"/>
  <c r="BF25" i="4" s="1"/>
  <c r="BE24" i="4"/>
  <c r="BE25" i="4" s="1"/>
  <c r="BD24" i="4"/>
  <c r="BD25" i="4" s="1"/>
  <c r="BC24" i="4"/>
  <c r="BC25" i="4" s="1"/>
  <c r="BB24" i="4"/>
  <c r="BB25" i="4" s="1"/>
  <c r="BA24" i="4"/>
  <c r="BA25" i="4" s="1"/>
  <c r="AZ24" i="4"/>
  <c r="AZ25" i="4" s="1"/>
  <c r="AY24" i="4"/>
  <c r="AY25" i="4" s="1"/>
  <c r="AL24" i="4"/>
  <c r="AK24" i="4"/>
  <c r="AK25" i="4" s="1"/>
  <c r="AJ24" i="4"/>
  <c r="AJ25" i="4" s="1"/>
  <c r="AI24" i="4"/>
  <c r="AI25" i="4" s="1"/>
  <c r="AC24" i="4"/>
  <c r="AC23" i="4"/>
  <c r="AC20" i="4"/>
  <c r="AC19" i="4"/>
  <c r="AC17" i="4"/>
  <c r="AC16" i="4"/>
  <c r="AC15" i="4"/>
  <c r="AC14" i="4"/>
  <c r="AC13" i="4"/>
  <c r="AC12" i="4"/>
  <c r="AC11" i="4"/>
  <c r="AC10" i="4"/>
  <c r="AC9" i="4"/>
  <c r="AC8" i="4"/>
  <c r="AC6" i="4"/>
  <c r="AC25" i="4" s="1"/>
  <c r="AC29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B28" i="3"/>
  <c r="AA28" i="3"/>
  <c r="Z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E28" i="3"/>
  <c r="D28" i="3"/>
  <c r="AL27" i="3"/>
  <c r="AK27" i="3"/>
  <c r="AJ27" i="3"/>
  <c r="AC27" i="3"/>
  <c r="F27" i="3"/>
  <c r="F28" i="3" s="1"/>
  <c r="C27" i="3"/>
  <c r="C28" i="3" s="1"/>
  <c r="AC26" i="3"/>
  <c r="AC25" i="3"/>
  <c r="AC24" i="3"/>
  <c r="AC23" i="3"/>
  <c r="AC22" i="3"/>
  <c r="AC19" i="3"/>
  <c r="Y19" i="3"/>
  <c r="Y28" i="3" s="1"/>
  <c r="AC17" i="3"/>
  <c r="AC16" i="3"/>
  <c r="AC15" i="3"/>
  <c r="AC14" i="3"/>
  <c r="AC9" i="3"/>
  <c r="AC8" i="3"/>
  <c r="Y8" i="3"/>
  <c r="AC6" i="3"/>
  <c r="AC28" i="3" s="1"/>
  <c r="AJ31" i="2"/>
  <c r="T31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I30" i="2"/>
  <c r="AH30" i="2"/>
  <c r="AG30" i="2"/>
  <c r="AE30" i="2"/>
  <c r="AD30" i="2"/>
  <c r="AC30" i="2"/>
  <c r="AB30" i="2"/>
  <c r="AA30" i="2"/>
  <c r="Z30" i="2"/>
  <c r="Y30" i="2"/>
  <c r="X30" i="2"/>
  <c r="W30" i="2"/>
  <c r="V30" i="2"/>
  <c r="U30" i="2"/>
  <c r="S30" i="2"/>
  <c r="R30" i="2"/>
  <c r="Q30" i="2"/>
  <c r="P30" i="2"/>
  <c r="O30" i="2"/>
  <c r="N30" i="2"/>
  <c r="M30" i="2"/>
  <c r="L30" i="2"/>
  <c r="K30" i="2"/>
  <c r="J30" i="2"/>
  <c r="I30" i="2"/>
  <c r="F30" i="2"/>
  <c r="E30" i="2"/>
  <c r="AP29" i="2"/>
  <c r="AM29" i="2"/>
  <c r="AL29" i="2"/>
  <c r="AK29" i="2"/>
  <c r="AJ29" i="2"/>
  <c r="T29" i="2"/>
  <c r="H29" i="2"/>
  <c r="H30" i="2" s="1"/>
  <c r="G29" i="2"/>
  <c r="G30" i="2" s="1"/>
  <c r="D29" i="2"/>
  <c r="D30" i="2" s="1"/>
  <c r="AJ27" i="2"/>
  <c r="T27" i="2"/>
  <c r="AJ26" i="2"/>
  <c r="T26" i="2"/>
  <c r="AJ25" i="2"/>
  <c r="AJ24" i="2"/>
  <c r="T24" i="2"/>
  <c r="AJ23" i="2"/>
  <c r="AF23" i="2"/>
  <c r="T23" i="2"/>
  <c r="AJ22" i="2"/>
  <c r="AJ21" i="2"/>
  <c r="AF21" i="2"/>
  <c r="AJ20" i="2"/>
  <c r="T20" i="2"/>
  <c r="AJ19" i="2"/>
  <c r="T19" i="2"/>
  <c r="AJ18" i="2"/>
  <c r="AF18" i="2"/>
  <c r="T18" i="2"/>
  <c r="AJ17" i="2"/>
  <c r="T17" i="2"/>
  <c r="AJ16" i="2"/>
  <c r="AJ15" i="2"/>
  <c r="AF15" i="2"/>
  <c r="T15" i="2"/>
  <c r="AJ14" i="2"/>
  <c r="AJ30" i="2" s="1"/>
  <c r="T14" i="2"/>
  <c r="AJ13" i="2"/>
  <c r="T13" i="2"/>
  <c r="AJ12" i="2"/>
  <c r="AF12" i="2"/>
  <c r="AF30" i="2" s="1"/>
  <c r="T12" i="2"/>
  <c r="AJ10" i="2"/>
  <c r="T10" i="2"/>
  <c r="AJ9" i="2"/>
  <c r="T9" i="2"/>
  <c r="AJ8" i="2"/>
  <c r="T8" i="2"/>
  <c r="AJ6" i="2"/>
  <c r="T6" i="2"/>
  <c r="T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sanfordp</author>
  </authors>
  <commentList>
    <comment ref="AU6" authorId="0" shapeId="0" xr:uid="{18790C8D-EBEF-4C16-82EE-1D6B7A49330D}">
      <text>
        <r>
          <rPr>
            <b/>
            <sz val="8"/>
            <color indexed="81"/>
            <rFont val="Tahoma"/>
            <family val="2"/>
          </rPr>
          <t>sanfordp:</t>
        </r>
        <r>
          <rPr>
            <sz val="8"/>
            <color indexed="81"/>
            <rFont val="Tahoma"/>
            <family val="2"/>
          </rPr>
          <t xml:space="preserve">
Chgd to EU-27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sanfordp</author>
  </authors>
  <commentList>
    <comment ref="AN6" authorId="0" shapeId="0" xr:uid="{625F9472-1CD2-4B4E-AF71-1ECBB17DC6B6}">
      <text>
        <r>
          <rPr>
            <b/>
            <sz val="8"/>
            <color indexed="81"/>
            <rFont val="Tahoma"/>
            <family val="2"/>
          </rPr>
          <t>sanfordp:</t>
        </r>
        <r>
          <rPr>
            <sz val="8"/>
            <color indexed="81"/>
            <rFont val="Tahoma"/>
            <family val="2"/>
          </rPr>
          <t xml:space="preserve">
Chgd to EU-27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sanfordp</author>
  </authors>
  <commentList>
    <comment ref="AN6" authorId="0" shapeId="0" xr:uid="{55CBE43B-4EFC-4D8C-8048-2CC24B743EB9}">
      <text>
        <r>
          <rPr>
            <b/>
            <sz val="8"/>
            <color indexed="81"/>
            <rFont val="Tahoma"/>
            <family val="2"/>
          </rPr>
          <t>sanfordp:</t>
        </r>
        <r>
          <rPr>
            <sz val="8"/>
            <color indexed="81"/>
            <rFont val="Tahoma"/>
            <family val="2"/>
          </rPr>
          <t xml:space="preserve">
Chgd to EU-27</t>
        </r>
      </text>
    </comment>
    <comment ref="AO12" authorId="0" shapeId="0" xr:uid="{F1165703-D8C6-40BF-A566-2075C6FD7B9F}">
      <text>
        <r>
          <rPr>
            <b/>
            <sz val="8"/>
            <color indexed="81"/>
            <rFont val="Tahoma"/>
            <family val="2"/>
          </rPr>
          <t>sanfordp: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<sst xmlns="http://schemas.openxmlformats.org/spreadsheetml/2006/main" count="401" uniqueCount="72">
  <si>
    <t>SOYBEAN CRUSH (Oct/Sep)</t>
  </si>
  <si>
    <t>SOYBEAN CRUSH (Sep/Aug)</t>
  </si>
  <si>
    <t>1998/99</t>
  </si>
  <si>
    <t>1999/00</t>
  </si>
  <si>
    <t>2000/01</t>
  </si>
  <si>
    <t>2001/02</t>
  </si>
  <si>
    <t>2002/03</t>
  </si>
  <si>
    <t>2003/04</t>
  </si>
  <si>
    <t>Estonia</t>
  </si>
  <si>
    <t>Latvia</t>
  </si>
  <si>
    <t>Lithuania</t>
  </si>
  <si>
    <t>Czech Republic</t>
  </si>
  <si>
    <t>Slovakia</t>
  </si>
  <si>
    <t>Hungary</t>
  </si>
  <si>
    <t>Poland</t>
  </si>
  <si>
    <t>Slovenia</t>
  </si>
  <si>
    <t>Cyprus</t>
  </si>
  <si>
    <t>Malta</t>
  </si>
  <si>
    <t>SUNFLOWER CRUSH (Oct/Sep)</t>
  </si>
  <si>
    <t>SUNFLOWER CRUSH (Aug/Jly)</t>
  </si>
  <si>
    <t>RAPESEED CRUSH  (Oct/Sep)</t>
  </si>
  <si>
    <t>RAPESEED CRUSH  (Jly/Jun)</t>
  </si>
  <si>
    <t>Soybeans: World Crushings (1000 T)</t>
  </si>
  <si>
    <t>Soybeans</t>
  </si>
  <si>
    <t>Jan/Mar</t>
  </si>
  <si>
    <t>Apr/Jun</t>
  </si>
  <si>
    <t>Jly/Sep</t>
  </si>
  <si>
    <t>Oct/Dec</t>
  </si>
  <si>
    <t>Jly/Sep*</t>
  </si>
  <si>
    <t>Crushing</t>
  </si>
  <si>
    <t>EU-25</t>
  </si>
  <si>
    <t>Other Europe</t>
  </si>
  <si>
    <t>Other W. Europe</t>
  </si>
  <si>
    <t>Central Europe</t>
  </si>
  <si>
    <t>Russia</t>
  </si>
  <si>
    <t>Ukraine</t>
  </si>
  <si>
    <t>Canada</t>
  </si>
  <si>
    <t>USA</t>
  </si>
  <si>
    <t>Mexico</t>
  </si>
  <si>
    <t>Argentina</t>
  </si>
  <si>
    <t>Bolivia</t>
  </si>
  <si>
    <t>Brazil</t>
  </si>
  <si>
    <t>Paraguay</t>
  </si>
  <si>
    <t>China, PR</t>
  </si>
  <si>
    <t>India</t>
  </si>
  <si>
    <t>Iran</t>
  </si>
  <si>
    <t>Israel</t>
  </si>
  <si>
    <t>Japan</t>
  </si>
  <si>
    <t>Korea, South</t>
  </si>
  <si>
    <t>Malaysia</t>
  </si>
  <si>
    <t>Taiwan</t>
  </si>
  <si>
    <t>Thailand</t>
  </si>
  <si>
    <t>Turkey</t>
  </si>
  <si>
    <t>Other Countries</t>
  </si>
  <si>
    <t>Total</t>
  </si>
  <si>
    <t>From  8/1/03 Weekly &amp; 10/31/03 Monthly</t>
  </si>
  <si>
    <t>*EU-15 changes to EU-25</t>
  </si>
  <si>
    <t>Sunseed: World Crushings (1000 T)</t>
  </si>
  <si>
    <t>Sunflower Seed</t>
  </si>
  <si>
    <t>Crushings</t>
  </si>
  <si>
    <t>Serbia/Monten</t>
  </si>
  <si>
    <t>Kazakhstan</t>
  </si>
  <si>
    <t>Bulgaria</t>
  </si>
  <si>
    <t>Romania</t>
  </si>
  <si>
    <t>S. Africa, Rep</t>
  </si>
  <si>
    <t>Myanmar</t>
  </si>
  <si>
    <t>Pakistan</t>
  </si>
  <si>
    <t>Australia</t>
  </si>
  <si>
    <t>Rapeseed: World Crushings (1000 T)</t>
  </si>
  <si>
    <t>Rapeseed</t>
  </si>
  <si>
    <t>Bangladesh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</si>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</sst>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 quotePrefix="1" applyAlignment="1">
      <alignment horizontal="left"/>
    </xf>
    <xf numFmtId="0" fontId="1" fillId="0" borderId="0" xfId="1"/>
    <xf numFmtId="164" fontId="0" fillId="0" borderId="0" xfId="2" applyNumberFormat="1" applyFont="1"/>
    <xf numFmtId="14" fontId="2" fillId="0" borderId="0" xfId="1" applyNumberFormat="1" applyFont="1"/>
    <xf numFmtId="14" fontId="3" fillId="0" borderId="0" xfId="1" applyNumberFormat="1" applyFont="1"/>
    <xf numFmtId="14" fontId="1" fillId="0" borderId="0" xfId="1" applyNumberFormat="1"/>
    <xf numFmtId="0" fontId="4" fillId="0" borderId="0" xfId="1" applyFont="1"/>
    <xf numFmtId="0" fontId="3" fillId="0" borderId="0" xfId="1" applyFont="1"/>
    <xf numFmtId="0" fontId="2" fillId="0" borderId="0" xfId="1" applyFont="1"/>
    <xf numFmtId="1" fontId="2" fillId="0" borderId="0" xfId="1" applyNumberFormat="1" applyFont="1"/>
    <xf numFmtId="0" fontId="7" fillId="0" borderId="0" xfId="1" applyFont="1"/>
    <xf numFmtId="0" fontId="1" fillId="0" borderId="0" xfId="1" applyAlignment="1">
      <alignment horizontal="left"/>
    </xf>
    <xf numFmtId="1" fontId="7" fillId="0" borderId="0" xfId="1" applyNumberFormat="1" applyFont="1"/>
    <xf numFmtId="1" fontId="3" fillId="0" borderId="0" xfId="1" applyNumberFormat="1" applyFont="1"/>
  </cellXfs>
  <cellStyles count="3">
    <cellStyle name="Comma 2" xfId="2" xr:uid="{F355804F-868B-43DF-A862-28C1B6DB964D}"/>
    <cellStyle name="Normal" xfId="0" builtinId="0"/>
    <cellStyle name="Normal 2" xfId="1" xr:uid="{BD979C37-703F-4A0A-8A8F-86606ED49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B42-979A-406B-BF28-6B9F5602D631}">
  <dimension ref="A1:P38"/>
  <sheetViews>
    <sheetView tabSelected="1" workbookViewId="0"/>
  </sheetViews>
  <sheetFormatPr defaultColWidth="8.7109375" defaultRowHeight="12.75" x14ac:dyDescent="0.2"/>
  <cols>
    <col min="1" max="1" width="12.85546875" style="2" customWidth="1"/>
    <col min="2" max="9" width="8.7109375" style="2"/>
    <col min="10" max="10" width="12.85546875" style="2" customWidth="1"/>
    <col min="11" max="16384" width="8.7109375" style="2"/>
  </cols>
  <sheetData>
    <row r="1" spans="1:16" x14ac:dyDescent="0.2">
      <c r="A1" s="1" t="s">
        <v>0</v>
      </c>
      <c r="J1" s="1" t="s">
        <v>1</v>
      </c>
    </row>
    <row r="2" spans="1:16" x14ac:dyDescent="0.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</row>
    <row r="3" spans="1:16" ht="15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J3" s="2" t="s">
        <v>8</v>
      </c>
      <c r="K3" s="3"/>
      <c r="L3" s="3"/>
      <c r="M3" s="3"/>
      <c r="N3" s="3"/>
      <c r="O3" s="3"/>
      <c r="P3" s="3"/>
    </row>
    <row r="4" spans="1:16" ht="15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J4" s="2" t="s">
        <v>9</v>
      </c>
      <c r="K4" s="3"/>
      <c r="L4" s="3"/>
      <c r="M4" s="3"/>
      <c r="N4" s="3"/>
      <c r="O4" s="3"/>
      <c r="P4" s="3"/>
    </row>
    <row r="5" spans="1:16" ht="15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J5" s="2" t="s">
        <v>10</v>
      </c>
      <c r="K5" s="3"/>
      <c r="L5" s="3"/>
      <c r="M5" s="3"/>
      <c r="N5" s="3"/>
      <c r="O5" s="3"/>
      <c r="P5" s="3"/>
    </row>
    <row r="6" spans="1:16" ht="15" x14ac:dyDescent="0.25">
      <c r="A6" s="1" t="s">
        <v>11</v>
      </c>
      <c r="B6" s="3">
        <v>8</v>
      </c>
      <c r="C6" s="3">
        <v>10.9</v>
      </c>
      <c r="D6" s="3">
        <v>17.600000000000001</v>
      </c>
      <c r="E6" s="3">
        <v>28</v>
      </c>
      <c r="F6" s="3">
        <v>14.5</v>
      </c>
      <c r="G6" s="3">
        <v>15</v>
      </c>
      <c r="J6" s="1" t="s">
        <v>11</v>
      </c>
      <c r="K6" s="3"/>
      <c r="L6" s="3"/>
      <c r="M6" s="3"/>
      <c r="N6" s="3"/>
      <c r="O6" s="3"/>
      <c r="P6" s="3"/>
    </row>
    <row r="7" spans="1:16" ht="15" x14ac:dyDescent="0.25">
      <c r="A7" s="2" t="s">
        <v>12</v>
      </c>
      <c r="B7" s="3">
        <v>6</v>
      </c>
      <c r="C7" s="3">
        <v>0.1</v>
      </c>
      <c r="D7" s="3">
        <v>2.6</v>
      </c>
      <c r="E7" s="3">
        <v>9.6999999999999993</v>
      </c>
      <c r="F7" s="3">
        <v>15.2</v>
      </c>
      <c r="G7" s="3">
        <v>14.2</v>
      </c>
      <c r="J7" s="2" t="s">
        <v>12</v>
      </c>
      <c r="K7" s="3"/>
      <c r="L7" s="3"/>
      <c r="M7" s="3"/>
      <c r="N7" s="3"/>
      <c r="O7" s="3"/>
      <c r="P7" s="3"/>
    </row>
    <row r="8" spans="1:16" ht="15" x14ac:dyDescent="0.25">
      <c r="A8" s="2" t="s">
        <v>13</v>
      </c>
      <c r="B8" s="3">
        <v>31</v>
      </c>
      <c r="C8" s="3">
        <v>45.3</v>
      </c>
      <c r="D8" s="3">
        <v>45</v>
      </c>
      <c r="E8" s="3">
        <v>85</v>
      </c>
      <c r="F8" s="3">
        <v>71</v>
      </c>
      <c r="G8" s="3">
        <v>72</v>
      </c>
      <c r="J8" s="2" t="s">
        <v>13</v>
      </c>
      <c r="K8" s="3"/>
      <c r="L8" s="3"/>
      <c r="M8" s="3"/>
      <c r="N8" s="3"/>
      <c r="O8" s="3"/>
      <c r="P8" s="3"/>
    </row>
    <row r="9" spans="1:16" ht="15" x14ac:dyDescent="0.25">
      <c r="A9" s="2" t="s">
        <v>14</v>
      </c>
      <c r="B9" s="3">
        <v>7</v>
      </c>
      <c r="C9" s="3">
        <v>4</v>
      </c>
      <c r="D9" s="3">
        <v>10.1</v>
      </c>
      <c r="E9" s="3">
        <v>10</v>
      </c>
      <c r="F9" s="3">
        <v>5</v>
      </c>
      <c r="G9" s="3">
        <v>4</v>
      </c>
      <c r="J9" s="2" t="s">
        <v>14</v>
      </c>
      <c r="K9" s="3"/>
      <c r="L9" s="3"/>
      <c r="M9" s="3"/>
      <c r="N9" s="3"/>
      <c r="O9" s="3"/>
      <c r="P9" s="3"/>
    </row>
    <row r="10" spans="1:16" ht="15" x14ac:dyDescent="0.25">
      <c r="A10" s="2" t="s">
        <v>15</v>
      </c>
      <c r="B10" s="3"/>
      <c r="C10" s="3"/>
      <c r="D10" s="3"/>
      <c r="E10" s="3"/>
      <c r="F10" s="3"/>
      <c r="G10" s="3"/>
      <c r="J10" s="2" t="s">
        <v>15</v>
      </c>
      <c r="K10" s="3"/>
      <c r="L10" s="3"/>
      <c r="M10" s="3"/>
      <c r="N10" s="3"/>
      <c r="O10" s="3"/>
      <c r="P10" s="3"/>
    </row>
    <row r="11" spans="1:16" ht="15" x14ac:dyDescent="0.25">
      <c r="A11" s="2" t="s">
        <v>16</v>
      </c>
      <c r="B11" s="3"/>
      <c r="C11" s="3"/>
      <c r="D11" s="3"/>
      <c r="E11" s="3"/>
      <c r="F11" s="3"/>
      <c r="G11" s="3"/>
      <c r="J11" s="2" t="s">
        <v>16</v>
      </c>
      <c r="K11" s="3"/>
      <c r="L11" s="3"/>
      <c r="M11" s="3"/>
      <c r="N11" s="3"/>
      <c r="O11" s="3"/>
      <c r="P11" s="3"/>
    </row>
    <row r="12" spans="1:16" ht="15" x14ac:dyDescent="0.25">
      <c r="A12" s="2" t="s">
        <v>17</v>
      </c>
      <c r="B12" s="3"/>
      <c r="C12" s="3"/>
      <c r="D12" s="3"/>
      <c r="E12" s="3"/>
      <c r="F12" s="3"/>
      <c r="G12" s="3"/>
      <c r="J12" s="2" t="s">
        <v>17</v>
      </c>
      <c r="K12" s="3"/>
      <c r="L12" s="3"/>
      <c r="M12" s="3"/>
      <c r="N12" s="3"/>
      <c r="O12" s="3"/>
      <c r="P12" s="3"/>
    </row>
    <row r="14" spans="1:16" x14ac:dyDescent="0.2">
      <c r="A14" s="1" t="s">
        <v>18</v>
      </c>
      <c r="J14" s="1" t="s">
        <v>19</v>
      </c>
    </row>
    <row r="15" spans="1:16" x14ac:dyDescent="0.2"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K15" s="2" t="s">
        <v>2</v>
      </c>
      <c r="L15" s="2" t="s">
        <v>3</v>
      </c>
      <c r="M15" s="2" t="s">
        <v>4</v>
      </c>
      <c r="N15" s="2" t="s">
        <v>5</v>
      </c>
      <c r="O15" s="2" t="s">
        <v>6</v>
      </c>
      <c r="P15" s="2" t="s">
        <v>7</v>
      </c>
    </row>
    <row r="16" spans="1:16" ht="15" x14ac:dyDescent="0.25">
      <c r="A16" s="2" t="s">
        <v>8</v>
      </c>
      <c r="B16" s="3">
        <v>3</v>
      </c>
      <c r="C16" s="3">
        <v>0.4</v>
      </c>
      <c r="D16" s="3">
        <v>1.8</v>
      </c>
      <c r="E16" s="3">
        <v>0.8</v>
      </c>
      <c r="F16" s="3">
        <v>0.5</v>
      </c>
      <c r="G16" s="3">
        <v>1.8</v>
      </c>
      <c r="J16" s="2" t="s">
        <v>8</v>
      </c>
      <c r="K16" s="3"/>
      <c r="L16" s="3"/>
      <c r="M16" s="3"/>
      <c r="N16" s="3"/>
      <c r="O16" s="3"/>
      <c r="P16" s="3"/>
    </row>
    <row r="17" spans="1:16" ht="15" x14ac:dyDescent="0.25">
      <c r="A17" s="2" t="s">
        <v>9</v>
      </c>
      <c r="B17" s="3">
        <v>20.3</v>
      </c>
      <c r="C17" s="3">
        <v>1.7</v>
      </c>
      <c r="D17" s="3">
        <v>2.5</v>
      </c>
      <c r="E17" s="3">
        <v>1.5</v>
      </c>
      <c r="F17" s="3">
        <v>1.2</v>
      </c>
      <c r="G17" s="3">
        <v>1.8</v>
      </c>
      <c r="J17" s="2" t="s">
        <v>9</v>
      </c>
      <c r="K17" s="3"/>
      <c r="L17" s="3"/>
      <c r="M17" s="3"/>
      <c r="N17" s="3"/>
      <c r="O17" s="3"/>
      <c r="P17" s="3"/>
    </row>
    <row r="18" spans="1:16" ht="15" x14ac:dyDescent="0.25">
      <c r="A18" s="2" t="s">
        <v>10</v>
      </c>
      <c r="B18" s="3">
        <v>0</v>
      </c>
      <c r="C18" s="3">
        <v>0.7</v>
      </c>
      <c r="D18" s="3">
        <v>2.2999999999999998</v>
      </c>
      <c r="E18" s="3">
        <v>3</v>
      </c>
      <c r="F18" s="3">
        <v>2.5</v>
      </c>
      <c r="G18" s="3">
        <v>6.5</v>
      </c>
      <c r="J18" s="2" t="s">
        <v>10</v>
      </c>
      <c r="K18" s="3"/>
      <c r="L18" s="3"/>
      <c r="M18" s="3"/>
      <c r="N18" s="3"/>
      <c r="O18" s="3"/>
      <c r="P18" s="3"/>
    </row>
    <row r="19" spans="1:16" ht="15" x14ac:dyDescent="0.25">
      <c r="A19" s="1" t="s">
        <v>11</v>
      </c>
      <c r="B19" s="3">
        <v>38.6</v>
      </c>
      <c r="C19" s="3">
        <v>32.799999999999997</v>
      </c>
      <c r="D19" s="3">
        <v>41.1</v>
      </c>
      <c r="E19" s="3">
        <v>17.5</v>
      </c>
      <c r="F19" s="3">
        <v>55.3</v>
      </c>
      <c r="G19" s="3">
        <v>72</v>
      </c>
      <c r="J19" s="1" t="s">
        <v>11</v>
      </c>
      <c r="K19" s="3"/>
      <c r="L19" s="3">
        <v>34</v>
      </c>
      <c r="M19" s="3">
        <v>41</v>
      </c>
      <c r="N19" s="3">
        <v>13</v>
      </c>
      <c r="O19" s="3">
        <v>47</v>
      </c>
      <c r="P19" s="3">
        <v>75</v>
      </c>
    </row>
    <row r="20" spans="1:16" ht="15" x14ac:dyDescent="0.25">
      <c r="A20" s="2" t="s">
        <v>12</v>
      </c>
      <c r="B20" s="3">
        <v>50.5</v>
      </c>
      <c r="C20" s="3">
        <v>37.799999999999997</v>
      </c>
      <c r="D20" s="3">
        <v>49.8</v>
      </c>
      <c r="E20" s="3">
        <v>39.700000000000003</v>
      </c>
      <c r="F20" s="3">
        <v>60.8</v>
      </c>
      <c r="G20" s="3">
        <v>182</v>
      </c>
      <c r="J20" s="2" t="s">
        <v>12</v>
      </c>
      <c r="K20" s="3"/>
      <c r="L20" s="3">
        <v>37</v>
      </c>
      <c r="M20" s="3">
        <v>48</v>
      </c>
      <c r="N20" s="3">
        <v>42</v>
      </c>
      <c r="O20" s="3">
        <v>56</v>
      </c>
      <c r="P20" s="3">
        <v>174</v>
      </c>
    </row>
    <row r="21" spans="1:16" ht="15" x14ac:dyDescent="0.25">
      <c r="A21" s="2" t="s">
        <v>13</v>
      </c>
      <c r="B21" s="3">
        <v>505</v>
      </c>
      <c r="C21" s="3">
        <v>450</v>
      </c>
      <c r="D21" s="3">
        <v>349</v>
      </c>
      <c r="E21" s="3">
        <v>351</v>
      </c>
      <c r="F21" s="3">
        <v>300</v>
      </c>
      <c r="G21" s="3">
        <v>425</v>
      </c>
      <c r="J21" s="2" t="s">
        <v>13</v>
      </c>
      <c r="K21" s="3"/>
      <c r="L21" s="3">
        <v>460</v>
      </c>
      <c r="M21" s="3">
        <v>355</v>
      </c>
      <c r="N21" s="3">
        <v>350</v>
      </c>
      <c r="O21" s="3">
        <v>285</v>
      </c>
      <c r="P21" s="3">
        <v>425</v>
      </c>
    </row>
    <row r="22" spans="1:16" ht="15" x14ac:dyDescent="0.25">
      <c r="A22" s="2" t="s">
        <v>14</v>
      </c>
      <c r="B22" s="3">
        <v>15</v>
      </c>
      <c r="C22" s="3">
        <v>18</v>
      </c>
      <c r="D22" s="3">
        <v>16</v>
      </c>
      <c r="E22" s="3">
        <v>16.5</v>
      </c>
      <c r="F22" s="3">
        <v>16</v>
      </c>
      <c r="G22" s="3">
        <v>26</v>
      </c>
      <c r="J22" s="2" t="s">
        <v>14</v>
      </c>
      <c r="K22" s="3"/>
      <c r="L22" s="3"/>
      <c r="M22" s="3"/>
      <c r="N22" s="3"/>
      <c r="O22" s="3"/>
      <c r="P22" s="3"/>
    </row>
    <row r="23" spans="1:16" ht="15" x14ac:dyDescent="0.25">
      <c r="A23" s="2" t="s">
        <v>15</v>
      </c>
      <c r="B23" s="3"/>
      <c r="C23" s="3"/>
      <c r="D23" s="3"/>
      <c r="E23" s="3"/>
      <c r="F23" s="3"/>
      <c r="G23" s="3"/>
      <c r="J23" s="2" t="s">
        <v>15</v>
      </c>
      <c r="K23" s="3"/>
      <c r="L23" s="3"/>
      <c r="M23" s="3"/>
      <c r="N23" s="3"/>
      <c r="O23" s="3"/>
      <c r="P23" s="3"/>
    </row>
    <row r="24" spans="1:16" ht="15" x14ac:dyDescent="0.25">
      <c r="A24" s="2" t="s">
        <v>16</v>
      </c>
      <c r="B24" s="3"/>
      <c r="C24" s="3"/>
      <c r="D24" s="3"/>
      <c r="E24" s="3"/>
      <c r="F24" s="3"/>
      <c r="G24" s="3"/>
      <c r="J24" s="2" t="s">
        <v>16</v>
      </c>
      <c r="K24" s="3"/>
      <c r="L24" s="3"/>
      <c r="M24" s="3"/>
      <c r="N24" s="3"/>
      <c r="O24" s="3"/>
      <c r="P24" s="3"/>
    </row>
    <row r="25" spans="1:16" ht="15" x14ac:dyDescent="0.25">
      <c r="A25" s="2" t="s">
        <v>17</v>
      </c>
      <c r="B25" s="3"/>
      <c r="C25" s="3"/>
      <c r="D25" s="3"/>
      <c r="E25" s="3"/>
      <c r="F25" s="3"/>
      <c r="G25" s="3"/>
      <c r="J25" s="2" t="s">
        <v>17</v>
      </c>
      <c r="K25" s="3"/>
      <c r="L25" s="3"/>
      <c r="M25" s="3"/>
      <c r="N25" s="3"/>
      <c r="O25" s="3"/>
      <c r="P25" s="3"/>
    </row>
    <row r="27" spans="1:16" x14ac:dyDescent="0.2">
      <c r="A27" s="1" t="s">
        <v>20</v>
      </c>
      <c r="J27" s="1" t="s">
        <v>21</v>
      </c>
    </row>
    <row r="28" spans="1:16" x14ac:dyDescent="0.2"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K28" s="2" t="s">
        <v>2</v>
      </c>
      <c r="L28" s="2" t="s">
        <v>3</v>
      </c>
      <c r="M28" s="2" t="s">
        <v>4</v>
      </c>
      <c r="N28" s="2" t="s">
        <v>5</v>
      </c>
      <c r="O28" s="2" t="s">
        <v>6</v>
      </c>
      <c r="P28" s="2" t="s">
        <v>7</v>
      </c>
    </row>
    <row r="29" spans="1:16" ht="15" x14ac:dyDescent="0.25">
      <c r="A29" s="2" t="s">
        <v>8</v>
      </c>
      <c r="B29" s="3">
        <v>9.3000000000000007</v>
      </c>
      <c r="C29" s="3">
        <v>19.2</v>
      </c>
      <c r="D29" s="3">
        <v>33.5</v>
      </c>
      <c r="E29" s="3">
        <v>49.3</v>
      </c>
      <c r="F29" s="3">
        <v>76</v>
      </c>
      <c r="G29" s="3">
        <v>69</v>
      </c>
      <c r="J29" s="2" t="s">
        <v>8</v>
      </c>
      <c r="K29" s="3"/>
      <c r="L29" s="3"/>
      <c r="M29" s="3"/>
      <c r="N29" s="3"/>
      <c r="O29" s="3"/>
      <c r="P29" s="3"/>
    </row>
    <row r="30" spans="1:16" ht="15" x14ac:dyDescent="0.25">
      <c r="A30" s="2" t="s">
        <v>9</v>
      </c>
      <c r="B30" s="3">
        <v>1.7</v>
      </c>
      <c r="C30" s="3">
        <v>5</v>
      </c>
      <c r="D30" s="3">
        <v>1.8</v>
      </c>
      <c r="E30" s="3">
        <v>6.2</v>
      </c>
      <c r="F30" s="3">
        <v>4.3</v>
      </c>
      <c r="G30" s="3">
        <v>6.7</v>
      </c>
      <c r="J30" s="2" t="s">
        <v>9</v>
      </c>
      <c r="K30" s="3"/>
      <c r="L30" s="3"/>
      <c r="M30" s="3"/>
      <c r="N30" s="3"/>
      <c r="O30" s="3"/>
      <c r="P30" s="3"/>
    </row>
    <row r="31" spans="1:16" ht="15" x14ac:dyDescent="0.25">
      <c r="A31" s="2" t="s">
        <v>10</v>
      </c>
      <c r="B31" s="3">
        <v>22.6</v>
      </c>
      <c r="C31" s="3">
        <v>9.8000000000000007</v>
      </c>
      <c r="D31" s="3">
        <v>19.5</v>
      </c>
      <c r="E31" s="3">
        <v>8</v>
      </c>
      <c r="F31" s="3">
        <v>20.5</v>
      </c>
      <c r="G31" s="3">
        <v>23</v>
      </c>
      <c r="J31" s="2" t="s">
        <v>10</v>
      </c>
      <c r="K31" s="3"/>
      <c r="L31" s="3"/>
      <c r="M31" s="3"/>
      <c r="N31" s="3"/>
      <c r="O31" s="3"/>
      <c r="P31" s="3"/>
    </row>
    <row r="32" spans="1:16" ht="15" x14ac:dyDescent="0.25">
      <c r="A32" s="1" t="s">
        <v>11</v>
      </c>
      <c r="B32" s="3">
        <v>453</v>
      </c>
      <c r="C32" s="3">
        <v>477</v>
      </c>
      <c r="D32" s="3">
        <v>549</v>
      </c>
      <c r="E32" s="3">
        <v>552</v>
      </c>
      <c r="F32" s="3">
        <v>457</v>
      </c>
      <c r="G32" s="3">
        <v>422</v>
      </c>
      <c r="J32" s="1" t="s">
        <v>11</v>
      </c>
      <c r="K32" s="3"/>
      <c r="L32" s="3">
        <v>470</v>
      </c>
      <c r="M32" s="3">
        <v>545</v>
      </c>
      <c r="N32" s="3">
        <v>565</v>
      </c>
      <c r="O32" s="3">
        <v>480</v>
      </c>
      <c r="P32" s="3">
        <v>397</v>
      </c>
    </row>
    <row r="33" spans="1:16" ht="15" x14ac:dyDescent="0.25">
      <c r="A33" s="2" t="s">
        <v>12</v>
      </c>
      <c r="B33" s="3">
        <v>142</v>
      </c>
      <c r="C33" s="3">
        <v>133</v>
      </c>
      <c r="D33" s="3">
        <v>140.19999999999999</v>
      </c>
      <c r="E33" s="3">
        <v>150</v>
      </c>
      <c r="F33" s="3">
        <v>170.8</v>
      </c>
      <c r="G33" s="3">
        <v>70</v>
      </c>
      <c r="J33" s="2" t="s">
        <v>12</v>
      </c>
      <c r="K33" s="3"/>
      <c r="L33" s="3">
        <v>150</v>
      </c>
      <c r="M33" s="3">
        <v>125</v>
      </c>
      <c r="N33" s="3">
        <v>148</v>
      </c>
      <c r="O33" s="3">
        <v>180</v>
      </c>
      <c r="P33" s="3">
        <v>60</v>
      </c>
    </row>
    <row r="34" spans="1:16" ht="15" x14ac:dyDescent="0.25">
      <c r="A34" s="2" t="s">
        <v>13</v>
      </c>
      <c r="B34" s="3">
        <v>80.5</v>
      </c>
      <c r="C34" s="3">
        <v>122.1</v>
      </c>
      <c r="D34" s="3">
        <v>66.599999999999994</v>
      </c>
      <c r="E34" s="3">
        <v>82.8</v>
      </c>
      <c r="F34" s="3">
        <v>81.2</v>
      </c>
      <c r="G34" s="3">
        <v>57</v>
      </c>
      <c r="J34" s="2" t="s">
        <v>13</v>
      </c>
      <c r="K34" s="3"/>
      <c r="L34" s="3">
        <v>126</v>
      </c>
      <c r="M34" s="3">
        <v>58</v>
      </c>
      <c r="N34" s="3">
        <v>90</v>
      </c>
      <c r="O34" s="3">
        <v>85</v>
      </c>
      <c r="P34" s="3">
        <v>50</v>
      </c>
    </row>
    <row r="35" spans="1:16" ht="15" x14ac:dyDescent="0.25">
      <c r="A35" s="2" t="s">
        <v>14</v>
      </c>
      <c r="B35" s="3">
        <v>920</v>
      </c>
      <c r="C35" s="3">
        <v>830</v>
      </c>
      <c r="D35" s="3">
        <v>852</v>
      </c>
      <c r="E35" s="3">
        <v>793</v>
      </c>
      <c r="F35" s="3">
        <v>857</v>
      </c>
      <c r="G35" s="3">
        <v>805</v>
      </c>
      <c r="J35" s="2" t="s">
        <v>14</v>
      </c>
      <c r="K35" s="3"/>
      <c r="L35" s="3">
        <v>830</v>
      </c>
      <c r="M35" s="3">
        <v>872</v>
      </c>
      <c r="N35" s="3">
        <v>765</v>
      </c>
      <c r="O35" s="3">
        <v>875</v>
      </c>
      <c r="P35" s="3">
        <v>790</v>
      </c>
    </row>
    <row r="36" spans="1:16" ht="15" x14ac:dyDescent="0.25">
      <c r="A36" s="2" t="s">
        <v>15</v>
      </c>
      <c r="B36" s="3"/>
      <c r="C36" s="3"/>
      <c r="D36" s="3"/>
      <c r="E36" s="3"/>
      <c r="F36" s="3"/>
      <c r="G36" s="3"/>
      <c r="J36" s="2" t="s">
        <v>15</v>
      </c>
      <c r="K36" s="3"/>
      <c r="L36" s="3"/>
      <c r="M36" s="3"/>
      <c r="N36" s="3"/>
      <c r="O36" s="3"/>
      <c r="P36" s="3"/>
    </row>
    <row r="37" spans="1:16" ht="15" x14ac:dyDescent="0.25">
      <c r="A37" s="2" t="s">
        <v>16</v>
      </c>
      <c r="B37" s="3"/>
      <c r="C37" s="3"/>
      <c r="D37" s="3"/>
      <c r="E37" s="3"/>
      <c r="F37" s="3"/>
      <c r="G37" s="3"/>
      <c r="J37" s="2" t="s">
        <v>16</v>
      </c>
      <c r="K37" s="3"/>
      <c r="L37" s="3"/>
      <c r="M37" s="3"/>
      <c r="N37" s="3"/>
      <c r="O37" s="3"/>
      <c r="P37" s="3"/>
    </row>
    <row r="38" spans="1:16" ht="15" x14ac:dyDescent="0.25">
      <c r="A38" s="2" t="s">
        <v>17</v>
      </c>
      <c r="B38" s="3"/>
      <c r="C38" s="3"/>
      <c r="D38" s="3"/>
      <c r="E38" s="3"/>
      <c r="F38" s="3"/>
      <c r="G38" s="3"/>
      <c r="J38" s="2" t="s">
        <v>17</v>
      </c>
      <c r="K38" s="3"/>
      <c r="L38" s="3"/>
      <c r="M38" s="3"/>
      <c r="N38" s="3"/>
      <c r="O38" s="3"/>
      <c r="P38" s="3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33E-6C2E-403D-9AD2-F9C8CED27401}">
  <dimension ref="A1:BR35"/>
  <sheetViews>
    <sheetView workbookViewId="0">
      <pane xSplit="2" ySplit="4" topLeftCell="BK5" activePane="bottomRight" state="frozen"/>
      <selection pane="topRight"/>
      <selection pane="bottomLeft"/>
      <selection pane="bottomRight"/>
    </sheetView>
  </sheetViews>
  <sheetFormatPr defaultColWidth="8.7109375" defaultRowHeight="12.75" x14ac:dyDescent="0.2"/>
  <cols>
    <col min="1" max="16384" width="8.7109375" style="2"/>
  </cols>
  <sheetData>
    <row r="1" spans="1:70" x14ac:dyDescent="0.2">
      <c r="A1" s="2" t="s">
        <v>22</v>
      </c>
      <c r="BD1" s="4">
        <v>39720</v>
      </c>
      <c r="BE1" s="4">
        <v>39720</v>
      </c>
      <c r="BJ1" s="5">
        <v>40599</v>
      </c>
      <c r="BK1" s="5">
        <v>40599</v>
      </c>
      <c r="BL1" s="5">
        <v>40599</v>
      </c>
      <c r="BM1" s="5">
        <v>40599</v>
      </c>
      <c r="BN1" s="5">
        <v>40599</v>
      </c>
      <c r="BO1" s="5">
        <v>40599</v>
      </c>
    </row>
    <row r="2" spans="1:70" x14ac:dyDescent="0.2">
      <c r="AX2" s="6">
        <v>39801</v>
      </c>
      <c r="AY2" s="6">
        <v>39801</v>
      </c>
      <c r="AZ2" s="6">
        <v>39717</v>
      </c>
      <c r="BA2" s="6">
        <v>39717</v>
      </c>
      <c r="BB2" s="6">
        <v>40165</v>
      </c>
      <c r="BC2" s="6">
        <v>40165</v>
      </c>
      <c r="BD2" s="6">
        <v>40137</v>
      </c>
      <c r="BE2" s="6">
        <v>40137</v>
      </c>
      <c r="BF2" s="6">
        <v>40298</v>
      </c>
      <c r="BG2" s="6">
        <v>40298</v>
      </c>
      <c r="BH2" s="6">
        <v>40298</v>
      </c>
      <c r="BI2" s="6">
        <v>40298</v>
      </c>
      <c r="BJ2" s="6">
        <v>40298</v>
      </c>
      <c r="BK2" s="6">
        <v>40298</v>
      </c>
      <c r="BL2" s="6">
        <v>40298</v>
      </c>
      <c r="BM2" s="6">
        <v>40298</v>
      </c>
      <c r="BN2" s="6"/>
      <c r="BO2" s="6"/>
    </row>
    <row r="3" spans="1:70" x14ac:dyDescent="0.2">
      <c r="A3" s="1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24</v>
      </c>
      <c r="L3" s="2" t="s">
        <v>25</v>
      </c>
      <c r="M3" s="2" t="s">
        <v>26</v>
      </c>
      <c r="N3" s="7" t="s">
        <v>27</v>
      </c>
      <c r="O3" s="7" t="s">
        <v>24</v>
      </c>
      <c r="P3" s="2" t="s">
        <v>25</v>
      </c>
      <c r="Q3" s="7" t="s">
        <v>26</v>
      </c>
      <c r="R3" s="7" t="s">
        <v>27</v>
      </c>
      <c r="S3" s="2" t="s">
        <v>24</v>
      </c>
      <c r="T3" s="2" t="s">
        <v>25</v>
      </c>
      <c r="U3" s="7" t="s">
        <v>26</v>
      </c>
      <c r="V3" s="7" t="s">
        <v>27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24</v>
      </c>
      <c r="AB3" s="7" t="s">
        <v>25</v>
      </c>
      <c r="AC3" s="7" t="s">
        <v>26</v>
      </c>
      <c r="AD3" s="7" t="s">
        <v>27</v>
      </c>
      <c r="AE3" s="7" t="s">
        <v>24</v>
      </c>
      <c r="AF3" s="7" t="s">
        <v>25</v>
      </c>
      <c r="AG3" s="7" t="s">
        <v>26</v>
      </c>
      <c r="AH3" s="7" t="s">
        <v>27</v>
      </c>
      <c r="AI3" s="7" t="s">
        <v>24</v>
      </c>
      <c r="AJ3" s="7" t="s">
        <v>25</v>
      </c>
      <c r="AK3" s="7" t="s">
        <v>28</v>
      </c>
      <c r="AL3" s="7" t="s">
        <v>27</v>
      </c>
      <c r="AM3" s="7" t="s">
        <v>24</v>
      </c>
      <c r="AN3" s="7" t="s">
        <v>25</v>
      </c>
      <c r="AO3" s="7" t="s">
        <v>26</v>
      </c>
      <c r="AP3" s="7" t="s">
        <v>27</v>
      </c>
      <c r="AQ3" s="7" t="s">
        <v>24</v>
      </c>
      <c r="AR3" s="7" t="s">
        <v>25</v>
      </c>
      <c r="AS3" s="7" t="s">
        <v>26</v>
      </c>
      <c r="AT3" s="7" t="s">
        <v>27</v>
      </c>
      <c r="AU3" s="7" t="s">
        <v>24</v>
      </c>
      <c r="AV3" s="7" t="s">
        <v>25</v>
      </c>
      <c r="AW3" s="7" t="s">
        <v>26</v>
      </c>
      <c r="AX3" s="7" t="s">
        <v>27</v>
      </c>
      <c r="AY3" s="7" t="s">
        <v>24</v>
      </c>
      <c r="AZ3" s="7" t="s">
        <v>25</v>
      </c>
      <c r="BA3" s="7" t="s">
        <v>26</v>
      </c>
      <c r="BB3" s="7" t="s">
        <v>27</v>
      </c>
      <c r="BC3" s="7" t="s">
        <v>24</v>
      </c>
      <c r="BD3" s="7" t="s">
        <v>25</v>
      </c>
      <c r="BE3" s="7" t="s">
        <v>26</v>
      </c>
      <c r="BF3" s="7" t="s">
        <v>27</v>
      </c>
      <c r="BG3" s="7" t="s">
        <v>24</v>
      </c>
      <c r="BH3" s="7" t="s">
        <v>25</v>
      </c>
      <c r="BI3" s="7" t="s">
        <v>26</v>
      </c>
      <c r="BJ3" s="7" t="s">
        <v>27</v>
      </c>
      <c r="BK3" s="7" t="s">
        <v>24</v>
      </c>
      <c r="BL3" s="7" t="s">
        <v>25</v>
      </c>
      <c r="BM3" s="7" t="s">
        <v>26</v>
      </c>
      <c r="BN3" s="7" t="s">
        <v>27</v>
      </c>
      <c r="BO3" s="7" t="s">
        <v>24</v>
      </c>
      <c r="BP3" s="7" t="s">
        <v>25</v>
      </c>
      <c r="BQ3" s="7" t="s">
        <v>26</v>
      </c>
      <c r="BR3" s="7" t="s">
        <v>27</v>
      </c>
    </row>
    <row r="4" spans="1:70" x14ac:dyDescent="0.2">
      <c r="A4" s="2" t="s">
        <v>29</v>
      </c>
      <c r="C4" s="2">
        <v>1995</v>
      </c>
      <c r="D4" s="2">
        <v>1995</v>
      </c>
      <c r="E4" s="2">
        <v>1995</v>
      </c>
      <c r="F4" s="2">
        <v>1995</v>
      </c>
      <c r="G4" s="2">
        <v>1996</v>
      </c>
      <c r="H4" s="2">
        <v>1996</v>
      </c>
      <c r="I4" s="2">
        <v>1996</v>
      </c>
      <c r="J4" s="2">
        <v>1996</v>
      </c>
      <c r="K4" s="2">
        <v>1997</v>
      </c>
      <c r="L4" s="2">
        <v>1997</v>
      </c>
      <c r="M4" s="2">
        <v>1997</v>
      </c>
      <c r="N4" s="2">
        <v>1997</v>
      </c>
      <c r="O4" s="2">
        <v>1998</v>
      </c>
      <c r="P4" s="2">
        <v>1998</v>
      </c>
      <c r="Q4" s="2">
        <v>1998</v>
      </c>
      <c r="R4" s="2">
        <v>1998</v>
      </c>
      <c r="S4" s="2">
        <v>1999</v>
      </c>
      <c r="T4" s="2">
        <v>1999</v>
      </c>
      <c r="U4" s="2">
        <v>1999</v>
      </c>
      <c r="V4" s="2">
        <v>1999</v>
      </c>
      <c r="W4" s="2">
        <v>2000</v>
      </c>
      <c r="X4" s="2">
        <v>2000</v>
      </c>
      <c r="Y4" s="2">
        <v>2000</v>
      </c>
      <c r="Z4" s="2">
        <v>2000</v>
      </c>
      <c r="AA4" s="2">
        <v>2001</v>
      </c>
      <c r="AB4" s="2">
        <v>2001</v>
      </c>
      <c r="AC4" s="2">
        <v>2001</v>
      </c>
      <c r="AD4" s="2">
        <v>2001</v>
      </c>
      <c r="AE4" s="2">
        <v>2002</v>
      </c>
      <c r="AF4" s="2">
        <v>2002</v>
      </c>
      <c r="AG4" s="2">
        <v>2002</v>
      </c>
      <c r="AH4" s="2">
        <v>2002</v>
      </c>
      <c r="AI4" s="2">
        <v>2003</v>
      </c>
      <c r="AJ4" s="2">
        <v>2003</v>
      </c>
      <c r="AK4" s="2">
        <v>2003</v>
      </c>
      <c r="AL4" s="2">
        <v>2003</v>
      </c>
      <c r="AM4" s="2">
        <v>2004</v>
      </c>
      <c r="AN4" s="2">
        <v>2004</v>
      </c>
      <c r="AO4" s="2">
        <v>2004</v>
      </c>
      <c r="AP4" s="2">
        <v>2004</v>
      </c>
      <c r="AQ4" s="2">
        <v>2005</v>
      </c>
      <c r="AR4" s="2">
        <v>2005</v>
      </c>
      <c r="AS4" s="2">
        <v>2005</v>
      </c>
      <c r="AT4" s="2">
        <v>2005</v>
      </c>
      <c r="AU4" s="2">
        <v>2006</v>
      </c>
      <c r="AV4" s="2">
        <v>2006</v>
      </c>
      <c r="AW4" s="2">
        <v>2006</v>
      </c>
      <c r="AX4" s="2">
        <v>2006</v>
      </c>
      <c r="AY4" s="2">
        <v>2007</v>
      </c>
      <c r="AZ4" s="2">
        <v>2007</v>
      </c>
      <c r="BA4" s="2">
        <v>2007</v>
      </c>
      <c r="BB4" s="2">
        <v>2007</v>
      </c>
      <c r="BC4" s="2">
        <v>2008</v>
      </c>
      <c r="BD4" s="2">
        <v>2008</v>
      </c>
      <c r="BE4" s="2">
        <v>2008</v>
      </c>
      <c r="BF4" s="2">
        <v>2008</v>
      </c>
      <c r="BG4" s="2">
        <v>2009</v>
      </c>
      <c r="BH4" s="2">
        <v>2009</v>
      </c>
      <c r="BI4" s="2">
        <v>2009</v>
      </c>
      <c r="BJ4" s="2">
        <v>2009</v>
      </c>
      <c r="BK4" s="2">
        <v>2010</v>
      </c>
      <c r="BL4" s="2">
        <v>2010</v>
      </c>
      <c r="BM4" s="2">
        <v>2010</v>
      </c>
      <c r="BN4" s="2">
        <v>2010</v>
      </c>
      <c r="BO4" s="2">
        <v>2011</v>
      </c>
      <c r="BP4" s="2">
        <v>2011</v>
      </c>
      <c r="BQ4" s="2">
        <v>2011</v>
      </c>
      <c r="BR4" s="2">
        <v>2011</v>
      </c>
    </row>
    <row r="6" spans="1:70" x14ac:dyDescent="0.2">
      <c r="A6" s="2" t="s">
        <v>30</v>
      </c>
      <c r="D6" s="2">
        <v>3958</v>
      </c>
      <c r="G6" s="2">
        <v>3637</v>
      </c>
      <c r="H6" s="2">
        <v>3395</v>
      </c>
      <c r="J6" s="2">
        <v>4034</v>
      </c>
      <c r="K6" s="2">
        <v>4151</v>
      </c>
      <c r="L6" s="2">
        <v>3940</v>
      </c>
      <c r="M6" s="2">
        <v>3095</v>
      </c>
      <c r="N6" s="2">
        <v>3923</v>
      </c>
      <c r="O6" s="2">
        <v>4285</v>
      </c>
      <c r="P6" s="2">
        <v>4338</v>
      </c>
      <c r="Q6" s="2">
        <v>3696</v>
      </c>
      <c r="R6" s="2">
        <v>4099</v>
      </c>
      <c r="S6" s="2">
        <v>4300</v>
      </c>
      <c r="T6" s="2">
        <f>15970-R6-S6-U6</f>
        <v>3845</v>
      </c>
      <c r="U6" s="2">
        <v>3726</v>
      </c>
      <c r="V6" s="2">
        <v>3932</v>
      </c>
      <c r="W6" s="2">
        <v>4028</v>
      </c>
      <c r="X6" s="2">
        <v>3607</v>
      </c>
      <c r="Y6" s="2">
        <v>3370</v>
      </c>
      <c r="Z6" s="2">
        <v>3873</v>
      </c>
      <c r="AA6" s="2">
        <v>4007</v>
      </c>
      <c r="AB6" s="2">
        <v>4333</v>
      </c>
      <c r="AC6" s="2">
        <v>4095</v>
      </c>
      <c r="AD6" s="2">
        <v>4341</v>
      </c>
      <c r="AE6" s="2">
        <v>4616</v>
      </c>
      <c r="AF6" s="2">
        <v>4463</v>
      </c>
      <c r="AG6" s="2">
        <v>3978</v>
      </c>
      <c r="AH6" s="2">
        <v>4003</v>
      </c>
      <c r="AI6" s="2">
        <v>4000</v>
      </c>
      <c r="AJ6" s="2">
        <f>8253-3912</f>
        <v>4341</v>
      </c>
      <c r="AK6" s="2">
        <v>3930</v>
      </c>
      <c r="AL6" s="2">
        <v>3729</v>
      </c>
      <c r="AM6" s="2">
        <v>3317</v>
      </c>
      <c r="AN6" s="2">
        <v>3538</v>
      </c>
      <c r="AO6" s="2">
        <v>3283</v>
      </c>
      <c r="AP6" s="2">
        <v>3524</v>
      </c>
      <c r="AQ6" s="2">
        <v>3577</v>
      </c>
      <c r="AR6" s="2">
        <v>3654</v>
      </c>
      <c r="AS6" s="2">
        <v>3334</v>
      </c>
      <c r="AT6" s="2">
        <v>3438</v>
      </c>
      <c r="AU6" s="2">
        <v>3248</v>
      </c>
      <c r="AV6" s="2">
        <v>3400</v>
      </c>
      <c r="AW6" s="2">
        <v>3506</v>
      </c>
      <c r="AX6" s="2">
        <v>3728</v>
      </c>
      <c r="AY6" s="2">
        <v>3608</v>
      </c>
      <c r="AZ6" s="2">
        <v>3628</v>
      </c>
      <c r="BA6" s="2">
        <v>3627</v>
      </c>
      <c r="BB6" s="2">
        <v>3774</v>
      </c>
      <c r="BC6" s="2">
        <v>3528</v>
      </c>
      <c r="BD6" s="2">
        <v>3869</v>
      </c>
      <c r="BE6" s="2">
        <v>3646</v>
      </c>
      <c r="BF6" s="2">
        <v>3063</v>
      </c>
      <c r="BG6" s="2">
        <v>3147</v>
      </c>
      <c r="BH6" s="2">
        <v>3529</v>
      </c>
      <c r="BI6" s="2">
        <v>3117</v>
      </c>
      <c r="BJ6" s="8">
        <v>2975</v>
      </c>
      <c r="BK6" s="8">
        <v>3257</v>
      </c>
      <c r="BL6" s="8">
        <v>3386</v>
      </c>
      <c r="BM6" s="8">
        <v>3092</v>
      </c>
      <c r="BN6" s="8">
        <v>3199</v>
      </c>
      <c r="BO6" s="8">
        <v>3398</v>
      </c>
    </row>
    <row r="7" spans="1:70" x14ac:dyDescent="0.2">
      <c r="A7" s="2" t="s">
        <v>31</v>
      </c>
      <c r="AK7" s="2">
        <v>201</v>
      </c>
      <c r="AL7" s="2">
        <v>344</v>
      </c>
      <c r="AM7" s="2">
        <v>269</v>
      </c>
      <c r="AN7" s="2">
        <v>252</v>
      </c>
      <c r="AO7" s="2">
        <v>213</v>
      </c>
      <c r="AP7" s="2">
        <v>312</v>
      </c>
      <c r="AQ7" s="2">
        <v>280</v>
      </c>
      <c r="AR7" s="2">
        <v>289</v>
      </c>
      <c r="AS7" s="2">
        <v>242</v>
      </c>
      <c r="AT7" s="2">
        <v>310</v>
      </c>
      <c r="AU7" s="2">
        <v>261</v>
      </c>
      <c r="AV7" s="2">
        <v>275</v>
      </c>
      <c r="AW7" s="2">
        <v>186</v>
      </c>
      <c r="AX7" s="2">
        <v>293</v>
      </c>
      <c r="AY7" s="2">
        <v>258</v>
      </c>
      <c r="AZ7" s="2">
        <v>283</v>
      </c>
      <c r="BA7" s="2">
        <v>199</v>
      </c>
      <c r="BB7" s="2">
        <v>262</v>
      </c>
      <c r="BC7" s="2">
        <v>261</v>
      </c>
      <c r="BD7" s="9">
        <v>256</v>
      </c>
      <c r="BE7" s="9">
        <v>203</v>
      </c>
      <c r="BF7" s="2">
        <v>267</v>
      </c>
      <c r="BG7" s="2">
        <v>230</v>
      </c>
      <c r="BH7" s="2">
        <v>224</v>
      </c>
      <c r="BI7" s="2">
        <v>175</v>
      </c>
      <c r="BJ7" s="2">
        <v>247</v>
      </c>
      <c r="BK7" s="2">
        <v>241</v>
      </c>
      <c r="BL7" s="2">
        <v>244</v>
      </c>
      <c r="BM7" s="2">
        <v>182</v>
      </c>
    </row>
    <row r="8" spans="1:70" x14ac:dyDescent="0.2">
      <c r="A8" s="2" t="s">
        <v>32</v>
      </c>
      <c r="D8" s="2">
        <v>103</v>
      </c>
      <c r="G8" s="2">
        <v>106</v>
      </c>
      <c r="H8" s="2">
        <v>102</v>
      </c>
      <c r="J8" s="2">
        <v>117</v>
      </c>
      <c r="K8" s="2">
        <v>99</v>
      </c>
      <c r="L8" s="2">
        <v>88</v>
      </c>
      <c r="M8" s="2">
        <v>71</v>
      </c>
      <c r="N8" s="2">
        <v>121</v>
      </c>
      <c r="O8" s="2">
        <v>115</v>
      </c>
      <c r="P8" s="2">
        <v>102</v>
      </c>
      <c r="Q8" s="2">
        <v>82</v>
      </c>
      <c r="R8" s="2">
        <v>87</v>
      </c>
      <c r="S8" s="2">
        <v>125</v>
      </c>
      <c r="T8" s="2">
        <f>453-R8-S8-U8</f>
        <v>134</v>
      </c>
      <c r="U8" s="2">
        <v>107</v>
      </c>
      <c r="V8" s="2">
        <v>118</v>
      </c>
      <c r="W8" s="2">
        <v>138</v>
      </c>
      <c r="X8" s="2">
        <v>113</v>
      </c>
      <c r="Y8" s="2">
        <v>102</v>
      </c>
      <c r="Z8" s="2">
        <v>122</v>
      </c>
      <c r="AA8" s="2">
        <v>116</v>
      </c>
      <c r="AB8" s="2">
        <v>115</v>
      </c>
      <c r="AC8" s="2">
        <v>92</v>
      </c>
      <c r="AD8" s="2">
        <v>114</v>
      </c>
      <c r="AE8" s="2">
        <v>133</v>
      </c>
      <c r="AF8" s="2">
        <v>121</v>
      </c>
      <c r="AG8" s="2">
        <v>93</v>
      </c>
      <c r="AH8" s="2">
        <v>131</v>
      </c>
      <c r="AI8" s="2">
        <v>131</v>
      </c>
      <c r="AJ8" s="2">
        <f>212-87</f>
        <v>125</v>
      </c>
    </row>
    <row r="9" spans="1:70" x14ac:dyDescent="0.2">
      <c r="A9" s="2" t="s">
        <v>33</v>
      </c>
      <c r="D9" s="2">
        <v>99</v>
      </c>
      <c r="G9" s="2">
        <v>114</v>
      </c>
      <c r="H9" s="2">
        <v>97</v>
      </c>
      <c r="J9" s="2">
        <v>148</v>
      </c>
      <c r="K9" s="2">
        <v>142</v>
      </c>
      <c r="L9" s="2">
        <v>128</v>
      </c>
      <c r="M9" s="2">
        <v>116</v>
      </c>
      <c r="N9" s="2">
        <v>151</v>
      </c>
      <c r="O9" s="2">
        <v>147</v>
      </c>
      <c r="P9" s="2">
        <v>147</v>
      </c>
      <c r="Q9" s="2">
        <v>101</v>
      </c>
      <c r="R9" s="2">
        <v>161</v>
      </c>
      <c r="S9" s="2">
        <v>169</v>
      </c>
      <c r="T9" s="2">
        <f>607-R9-S9-U9</f>
        <v>164</v>
      </c>
      <c r="U9" s="2">
        <v>113</v>
      </c>
      <c r="V9" s="2">
        <v>179</v>
      </c>
      <c r="W9" s="2">
        <v>168</v>
      </c>
      <c r="X9" s="2">
        <v>165</v>
      </c>
      <c r="Y9" s="2">
        <v>126</v>
      </c>
      <c r="Z9" s="2">
        <v>121</v>
      </c>
      <c r="AA9" s="2">
        <v>149</v>
      </c>
      <c r="AB9" s="2">
        <v>144</v>
      </c>
      <c r="AC9" s="2">
        <v>108</v>
      </c>
      <c r="AD9" s="2">
        <v>155</v>
      </c>
      <c r="AE9" s="2">
        <v>212</v>
      </c>
      <c r="AF9" s="2">
        <v>220</v>
      </c>
      <c r="AG9" s="2">
        <v>179</v>
      </c>
      <c r="AH9" s="2">
        <v>205</v>
      </c>
      <c r="AI9" s="2">
        <v>196</v>
      </c>
      <c r="AJ9" s="2">
        <f>351-163</f>
        <v>188</v>
      </c>
    </row>
    <row r="10" spans="1:70" x14ac:dyDescent="0.2">
      <c r="A10" s="2" t="s">
        <v>34</v>
      </c>
      <c r="D10" s="2">
        <v>55</v>
      </c>
      <c r="G10" s="2">
        <v>110</v>
      </c>
      <c r="H10" s="2">
        <v>80</v>
      </c>
      <c r="J10" s="2">
        <v>127</v>
      </c>
      <c r="K10" s="2">
        <v>50</v>
      </c>
      <c r="L10" s="2">
        <v>60</v>
      </c>
      <c r="M10" s="2">
        <v>93</v>
      </c>
      <c r="N10" s="2">
        <v>119</v>
      </c>
      <c r="O10" s="2">
        <v>84</v>
      </c>
      <c r="P10" s="2">
        <v>98</v>
      </c>
      <c r="Q10" s="2">
        <v>111</v>
      </c>
      <c r="R10" s="2">
        <v>139</v>
      </c>
      <c r="S10" s="2">
        <v>90</v>
      </c>
      <c r="T10" s="2">
        <f>485-R10-S10-U10</f>
        <v>165</v>
      </c>
      <c r="U10" s="2">
        <v>91</v>
      </c>
      <c r="V10" s="2">
        <v>152</v>
      </c>
      <c r="W10" s="2">
        <v>74</v>
      </c>
      <c r="X10" s="2">
        <v>74</v>
      </c>
      <c r="Y10" s="2">
        <v>67</v>
      </c>
      <c r="Z10" s="2">
        <v>127</v>
      </c>
      <c r="AA10" s="2">
        <v>64</v>
      </c>
      <c r="AB10" s="2">
        <v>62</v>
      </c>
      <c r="AC10" s="2">
        <v>79</v>
      </c>
      <c r="AD10" s="2">
        <v>112</v>
      </c>
      <c r="AE10" s="2">
        <v>107</v>
      </c>
      <c r="AF10" s="2">
        <v>70</v>
      </c>
      <c r="AG10" s="2">
        <v>52</v>
      </c>
      <c r="AH10" s="2">
        <v>121</v>
      </c>
      <c r="AI10" s="2">
        <v>116</v>
      </c>
      <c r="AJ10" s="2">
        <f>194-85</f>
        <v>109</v>
      </c>
      <c r="AK10" s="2">
        <v>78</v>
      </c>
      <c r="AL10" s="2">
        <v>109</v>
      </c>
      <c r="AM10" s="2">
        <v>98</v>
      </c>
      <c r="AN10" s="2">
        <v>81</v>
      </c>
      <c r="AO10" s="2">
        <v>72</v>
      </c>
      <c r="AP10" s="2">
        <v>133</v>
      </c>
      <c r="AQ10" s="2">
        <v>110</v>
      </c>
      <c r="AR10" s="2">
        <v>127</v>
      </c>
      <c r="AS10" s="2">
        <v>154</v>
      </c>
      <c r="AT10" s="2">
        <v>163</v>
      </c>
      <c r="AU10" s="2">
        <v>146</v>
      </c>
      <c r="AV10" s="2">
        <v>125</v>
      </c>
      <c r="AW10" s="2">
        <v>109</v>
      </c>
      <c r="AX10" s="2">
        <v>126</v>
      </c>
      <c r="AY10" s="2">
        <v>211</v>
      </c>
      <c r="AZ10" s="2">
        <v>235</v>
      </c>
      <c r="BA10" s="2">
        <v>182</v>
      </c>
      <c r="BB10" s="2">
        <v>229</v>
      </c>
      <c r="BC10" s="2">
        <v>294</v>
      </c>
      <c r="BD10" s="9">
        <v>281</v>
      </c>
      <c r="BE10" s="9">
        <v>167</v>
      </c>
      <c r="BF10" s="2">
        <v>307</v>
      </c>
      <c r="BG10" s="2">
        <v>322</v>
      </c>
      <c r="BH10" s="2">
        <v>350</v>
      </c>
      <c r="BI10" s="2">
        <v>351</v>
      </c>
      <c r="BJ10" s="2">
        <v>446</v>
      </c>
      <c r="BK10" s="2">
        <v>500</v>
      </c>
      <c r="BL10" s="2">
        <v>319</v>
      </c>
      <c r="BM10" s="2">
        <v>345</v>
      </c>
    </row>
    <row r="11" spans="1:70" x14ac:dyDescent="0.2">
      <c r="A11" s="2" t="s">
        <v>35</v>
      </c>
      <c r="AQ11" s="2">
        <v>54</v>
      </c>
      <c r="AR11" s="2">
        <v>44</v>
      </c>
      <c r="AS11" s="2">
        <v>63</v>
      </c>
      <c r="AT11" s="2">
        <v>113</v>
      </c>
      <c r="AU11" s="2">
        <v>88</v>
      </c>
      <c r="AV11" s="2">
        <v>71</v>
      </c>
      <c r="AW11" s="2">
        <v>75</v>
      </c>
      <c r="AX11" s="2">
        <v>156</v>
      </c>
      <c r="AY11" s="2">
        <v>107</v>
      </c>
      <c r="AZ11" s="2">
        <v>86</v>
      </c>
      <c r="BA11" s="2">
        <v>81</v>
      </c>
      <c r="BB11" s="2">
        <v>177</v>
      </c>
      <c r="BC11" s="2">
        <v>130</v>
      </c>
      <c r="BD11" s="9">
        <v>105</v>
      </c>
      <c r="BE11" s="9">
        <v>89</v>
      </c>
      <c r="BF11" s="2">
        <v>191</v>
      </c>
      <c r="BG11" s="2">
        <v>118</v>
      </c>
      <c r="BH11" s="2">
        <v>96</v>
      </c>
      <c r="BI11" s="2">
        <v>105</v>
      </c>
      <c r="BJ11" s="2">
        <v>200</v>
      </c>
      <c r="BK11" s="2">
        <v>141</v>
      </c>
      <c r="BL11" s="2">
        <v>123</v>
      </c>
      <c r="BM11" s="2">
        <v>116</v>
      </c>
    </row>
    <row r="12" spans="1:70" x14ac:dyDescent="0.2">
      <c r="A12" s="2" t="s">
        <v>36</v>
      </c>
      <c r="D12" s="2">
        <v>272</v>
      </c>
      <c r="G12" s="2">
        <v>300</v>
      </c>
      <c r="H12" s="2">
        <v>293</v>
      </c>
      <c r="J12" s="2">
        <v>400</v>
      </c>
      <c r="K12" s="2">
        <v>413</v>
      </c>
      <c r="L12" s="2">
        <v>393</v>
      </c>
      <c r="M12" s="2">
        <v>265</v>
      </c>
      <c r="N12" s="2">
        <v>476</v>
      </c>
      <c r="O12" s="2">
        <v>408</v>
      </c>
      <c r="P12" s="2">
        <v>417</v>
      </c>
      <c r="Q12" s="2">
        <v>344</v>
      </c>
      <c r="R12" s="2">
        <v>401</v>
      </c>
      <c r="S12" s="2">
        <v>401</v>
      </c>
      <c r="T12" s="2">
        <f>1620-R12-S12-U12</f>
        <v>421</v>
      </c>
      <c r="U12" s="2">
        <v>397</v>
      </c>
      <c r="V12" s="2">
        <v>455</v>
      </c>
      <c r="W12" s="2">
        <v>431</v>
      </c>
      <c r="X12" s="2">
        <v>408</v>
      </c>
      <c r="Y12" s="2">
        <v>398</v>
      </c>
      <c r="Z12" s="2">
        <v>419</v>
      </c>
      <c r="AA12" s="2">
        <v>423</v>
      </c>
      <c r="AB12" s="2">
        <v>454</v>
      </c>
      <c r="AC12" s="2">
        <v>399</v>
      </c>
      <c r="AD12" s="2">
        <v>459</v>
      </c>
      <c r="AE12" s="2">
        <v>415</v>
      </c>
      <c r="AF12" s="2">
        <f>852-AG12</f>
        <v>461</v>
      </c>
      <c r="AG12" s="2">
        <v>391</v>
      </c>
      <c r="AH12" s="2">
        <v>515</v>
      </c>
      <c r="AI12" s="2">
        <v>462</v>
      </c>
      <c r="AJ12" s="2">
        <f>815-363</f>
        <v>452</v>
      </c>
      <c r="AK12" s="2">
        <v>363</v>
      </c>
      <c r="AL12" s="2">
        <v>441</v>
      </c>
      <c r="AM12" s="2">
        <v>406</v>
      </c>
      <c r="AN12" s="2">
        <v>317</v>
      </c>
      <c r="AO12" s="2">
        <v>274</v>
      </c>
      <c r="AP12" s="2">
        <v>424</v>
      </c>
      <c r="AQ12" s="2">
        <v>456</v>
      </c>
      <c r="AR12" s="2">
        <v>426</v>
      </c>
      <c r="AS12" s="2">
        <v>413</v>
      </c>
      <c r="AT12" s="2">
        <v>418</v>
      </c>
      <c r="AU12" s="2">
        <v>343</v>
      </c>
      <c r="AV12" s="2">
        <v>365</v>
      </c>
      <c r="AW12" s="2">
        <v>352</v>
      </c>
      <c r="AX12" s="2">
        <v>417</v>
      </c>
      <c r="AY12" s="2">
        <v>369</v>
      </c>
      <c r="AZ12" s="2">
        <v>378</v>
      </c>
      <c r="BA12" s="2">
        <v>357</v>
      </c>
      <c r="BB12" s="2">
        <v>367</v>
      </c>
      <c r="BC12" s="2">
        <v>340</v>
      </c>
      <c r="BD12" s="9">
        <v>343</v>
      </c>
      <c r="BE12" s="9">
        <v>298</v>
      </c>
      <c r="BF12" s="2">
        <v>356</v>
      </c>
      <c r="BG12" s="2">
        <v>337</v>
      </c>
      <c r="BH12" s="2">
        <v>308</v>
      </c>
      <c r="BI12" s="2">
        <v>281</v>
      </c>
      <c r="BJ12" s="2">
        <v>354</v>
      </c>
      <c r="BK12" s="2">
        <v>343</v>
      </c>
      <c r="BL12" s="2">
        <v>327</v>
      </c>
      <c r="BM12" s="2">
        <v>286</v>
      </c>
    </row>
    <row r="13" spans="1:70" x14ac:dyDescent="0.2">
      <c r="A13" s="2" t="s">
        <v>37</v>
      </c>
      <c r="D13" s="2">
        <v>9231</v>
      </c>
      <c r="G13" s="2">
        <v>9509</v>
      </c>
      <c r="H13" s="2">
        <v>8530</v>
      </c>
      <c r="J13" s="2">
        <v>10838</v>
      </c>
      <c r="K13" s="2">
        <v>10682</v>
      </c>
      <c r="L13" s="2">
        <v>9102</v>
      </c>
      <c r="M13" s="2">
        <v>8704</v>
      </c>
      <c r="N13" s="2">
        <v>11895</v>
      </c>
      <c r="O13" s="2">
        <v>11896</v>
      </c>
      <c r="P13" s="2">
        <v>9731</v>
      </c>
      <c r="Q13" s="2">
        <v>9786</v>
      </c>
      <c r="R13" s="2">
        <v>11772</v>
      </c>
      <c r="S13" s="2">
        <v>11530</v>
      </c>
      <c r="T13" s="2">
        <f>43950-R13-S13-U13</f>
        <v>10088</v>
      </c>
      <c r="U13" s="2">
        <v>10560</v>
      </c>
      <c r="V13" s="2">
        <v>11864</v>
      </c>
      <c r="W13" s="2">
        <v>10753</v>
      </c>
      <c r="X13" s="2">
        <v>9809</v>
      </c>
      <c r="Y13" s="2">
        <v>10367</v>
      </c>
      <c r="Z13" s="2">
        <v>11826</v>
      </c>
      <c r="AA13" s="2">
        <v>11359</v>
      </c>
      <c r="AB13" s="2">
        <v>10660</v>
      </c>
      <c r="AC13" s="2">
        <v>10759</v>
      </c>
      <c r="AD13" s="2">
        <v>12322</v>
      </c>
      <c r="AE13" s="2">
        <v>12082</v>
      </c>
      <c r="AF13" s="2">
        <v>11278</v>
      </c>
      <c r="AG13" s="2">
        <v>10416</v>
      </c>
      <c r="AH13" s="2">
        <v>12120</v>
      </c>
      <c r="AI13" s="2">
        <v>11283</v>
      </c>
      <c r="AJ13" s="2">
        <f>20707-10396</f>
        <v>10311</v>
      </c>
      <c r="AK13" s="2">
        <v>10396</v>
      </c>
      <c r="AL13" s="2">
        <v>11909</v>
      </c>
      <c r="AM13" s="2">
        <v>11075</v>
      </c>
      <c r="AN13" s="2">
        <v>9235</v>
      </c>
      <c r="AO13" s="2">
        <v>9230</v>
      </c>
      <c r="AP13" s="2">
        <v>12422</v>
      </c>
      <c r="AQ13" s="2">
        <v>11829</v>
      </c>
      <c r="AR13" s="2">
        <v>11273</v>
      </c>
      <c r="AS13" s="2">
        <v>10968</v>
      </c>
      <c r="AT13" s="2">
        <v>12453</v>
      </c>
      <c r="AU13" s="2">
        <v>11929</v>
      </c>
      <c r="AV13" s="2">
        <v>11408</v>
      </c>
      <c r="AW13" s="2">
        <v>11785</v>
      </c>
      <c r="AX13" s="2">
        <v>12906</v>
      </c>
      <c r="AY13" s="2">
        <v>12207</v>
      </c>
      <c r="AZ13" s="2">
        <v>12138</v>
      </c>
      <c r="BA13" s="2">
        <v>12082</v>
      </c>
      <c r="BB13" s="2">
        <v>13175</v>
      </c>
      <c r="BC13" s="2">
        <v>12599</v>
      </c>
      <c r="BD13" s="2">
        <v>12005</v>
      </c>
      <c r="BE13" s="2">
        <v>10713</v>
      </c>
      <c r="BF13" s="2">
        <v>11868</v>
      </c>
      <c r="BG13" s="2">
        <v>11568</v>
      </c>
      <c r="BH13" s="2">
        <v>11611</v>
      </c>
      <c r="BI13" s="2">
        <v>9849</v>
      </c>
      <c r="BJ13" s="8">
        <v>13740</v>
      </c>
      <c r="BK13" s="8">
        <v>12987</v>
      </c>
      <c r="BL13" s="8">
        <v>10850</v>
      </c>
      <c r="BM13" s="8">
        <v>10555</v>
      </c>
      <c r="BN13" s="8">
        <v>12664</v>
      </c>
      <c r="BO13" s="8">
        <v>11680</v>
      </c>
    </row>
    <row r="14" spans="1:70" x14ac:dyDescent="0.2">
      <c r="A14" s="2" t="s">
        <v>38</v>
      </c>
      <c r="D14" s="2">
        <v>508</v>
      </c>
      <c r="G14" s="2">
        <v>590</v>
      </c>
      <c r="H14" s="2">
        <v>545</v>
      </c>
      <c r="J14" s="2">
        <v>700</v>
      </c>
      <c r="K14" s="2">
        <v>740</v>
      </c>
      <c r="L14" s="2">
        <v>745</v>
      </c>
      <c r="M14" s="2">
        <v>715</v>
      </c>
      <c r="N14" s="2">
        <v>780</v>
      </c>
      <c r="O14" s="2">
        <v>820</v>
      </c>
      <c r="P14" s="2">
        <v>795</v>
      </c>
      <c r="Q14" s="2">
        <v>780</v>
      </c>
      <c r="R14" s="2">
        <v>840</v>
      </c>
      <c r="S14" s="2">
        <v>860</v>
      </c>
      <c r="T14" s="2">
        <f>3410-R14-S14-U14</f>
        <v>839</v>
      </c>
      <c r="U14" s="2">
        <v>871</v>
      </c>
      <c r="V14" s="2">
        <v>970</v>
      </c>
      <c r="W14" s="2">
        <v>955</v>
      </c>
      <c r="X14" s="2">
        <v>882</v>
      </c>
      <c r="Y14" s="2">
        <v>911</v>
      </c>
      <c r="Z14" s="2">
        <v>1123</v>
      </c>
      <c r="AA14" s="2">
        <v>1064</v>
      </c>
      <c r="AB14" s="2">
        <v>983</v>
      </c>
      <c r="AC14" s="2">
        <v>995</v>
      </c>
      <c r="AD14" s="2">
        <v>1183</v>
      </c>
      <c r="AE14" s="2">
        <v>1160</v>
      </c>
      <c r="AF14" s="2">
        <v>1018</v>
      </c>
      <c r="AG14" s="2">
        <v>995</v>
      </c>
      <c r="AH14" s="2">
        <v>1200</v>
      </c>
      <c r="AI14" s="2">
        <v>1170</v>
      </c>
      <c r="AJ14" s="2">
        <f>1870-890</f>
        <v>980</v>
      </c>
      <c r="AK14" s="2">
        <v>890</v>
      </c>
      <c r="AL14" s="2">
        <v>1035</v>
      </c>
      <c r="AM14" s="2">
        <v>960</v>
      </c>
      <c r="AN14" s="2">
        <v>890</v>
      </c>
      <c r="AO14" s="2">
        <v>775</v>
      </c>
      <c r="AP14" s="2">
        <v>925</v>
      </c>
      <c r="AQ14" s="2">
        <v>850</v>
      </c>
      <c r="AR14" s="2">
        <v>925</v>
      </c>
      <c r="AS14" s="2">
        <v>740</v>
      </c>
      <c r="AT14" s="2">
        <v>955</v>
      </c>
      <c r="AU14" s="2">
        <v>815</v>
      </c>
      <c r="AV14" s="2">
        <v>885</v>
      </c>
      <c r="AW14" s="2">
        <v>845</v>
      </c>
      <c r="AX14" s="2">
        <v>980</v>
      </c>
      <c r="AY14" s="2">
        <v>900</v>
      </c>
      <c r="AZ14" s="2">
        <v>915</v>
      </c>
      <c r="BA14" s="2">
        <v>855</v>
      </c>
      <c r="BB14" s="2">
        <v>850</v>
      </c>
      <c r="BC14" s="2">
        <v>895</v>
      </c>
      <c r="BD14" s="9">
        <v>900</v>
      </c>
      <c r="BE14" s="9">
        <v>785</v>
      </c>
      <c r="BF14" s="2">
        <v>800</v>
      </c>
      <c r="BG14" s="2">
        <v>810</v>
      </c>
      <c r="BH14" s="2">
        <v>820</v>
      </c>
      <c r="BI14" s="2">
        <v>740</v>
      </c>
      <c r="BJ14" s="2">
        <v>865</v>
      </c>
      <c r="BK14" s="2">
        <v>820</v>
      </c>
      <c r="BL14" s="2">
        <v>868</v>
      </c>
      <c r="BM14" s="2">
        <v>727</v>
      </c>
    </row>
    <row r="15" spans="1:70" x14ac:dyDescent="0.2">
      <c r="A15" s="2" t="s">
        <v>39</v>
      </c>
      <c r="D15" s="2">
        <v>2124</v>
      </c>
      <c r="G15" s="2">
        <v>1621</v>
      </c>
      <c r="H15" s="2">
        <v>2100</v>
      </c>
      <c r="J15" s="2">
        <v>2868</v>
      </c>
      <c r="K15" s="2">
        <v>1215</v>
      </c>
      <c r="L15" s="2">
        <v>3114</v>
      </c>
      <c r="M15" s="2">
        <v>3846</v>
      </c>
      <c r="N15" s="2">
        <v>2293</v>
      </c>
      <c r="O15" s="2">
        <v>1168</v>
      </c>
      <c r="P15" s="2">
        <v>4055</v>
      </c>
      <c r="Q15" s="2">
        <v>5233</v>
      </c>
      <c r="R15" s="2">
        <v>4699</v>
      </c>
      <c r="S15" s="2">
        <v>1781</v>
      </c>
      <c r="T15" s="2">
        <f>15760-R15-S15-U15</f>
        <v>4047</v>
      </c>
      <c r="U15" s="2">
        <v>5233</v>
      </c>
      <c r="V15" s="2">
        <v>4265</v>
      </c>
      <c r="W15" s="2">
        <v>2654</v>
      </c>
      <c r="X15" s="2">
        <v>4966</v>
      </c>
      <c r="Y15" s="2">
        <v>5189</v>
      </c>
      <c r="Z15" s="2">
        <v>4223</v>
      </c>
      <c r="AA15" s="2">
        <v>2137</v>
      </c>
      <c r="AB15" s="2">
        <v>5369</v>
      </c>
      <c r="AC15" s="2">
        <v>5572</v>
      </c>
      <c r="AD15" s="2">
        <v>5196</v>
      </c>
      <c r="AE15" s="2">
        <v>3370</v>
      </c>
      <c r="AF15" s="2">
        <f>12293-AG15</f>
        <v>5686</v>
      </c>
      <c r="AG15" s="2">
        <v>6607</v>
      </c>
      <c r="AH15" s="2">
        <v>5728</v>
      </c>
      <c r="AI15" s="2">
        <v>4373</v>
      </c>
      <c r="AJ15" s="2">
        <f>13429-6962</f>
        <v>6467</v>
      </c>
      <c r="AK15" s="2">
        <v>6962</v>
      </c>
      <c r="AL15" s="2">
        <v>6518</v>
      </c>
      <c r="AM15" s="2">
        <v>4869</v>
      </c>
      <c r="AN15" s="2">
        <v>7116</v>
      </c>
      <c r="AO15" s="2">
        <v>6536</v>
      </c>
      <c r="AP15" s="2">
        <v>5708</v>
      </c>
      <c r="AQ15" s="2">
        <v>5711</v>
      </c>
      <c r="AR15" s="2">
        <v>7667</v>
      </c>
      <c r="AS15" s="2">
        <v>8227</v>
      </c>
      <c r="AT15" s="2">
        <v>7086</v>
      </c>
      <c r="AU15" s="2">
        <v>6581</v>
      </c>
      <c r="AV15" s="2">
        <v>9352</v>
      </c>
      <c r="AW15" s="2">
        <v>8869</v>
      </c>
      <c r="AX15" s="2">
        <v>7930</v>
      </c>
      <c r="AY15" s="2">
        <v>6598</v>
      </c>
      <c r="AZ15" s="2">
        <v>9673</v>
      </c>
      <c r="BA15" s="2">
        <v>9392</v>
      </c>
      <c r="BB15" s="2">
        <v>10606</v>
      </c>
      <c r="BC15" s="2">
        <v>6299</v>
      </c>
      <c r="BD15" s="2">
        <v>7999</v>
      </c>
      <c r="BE15" s="2">
        <v>9704</v>
      </c>
      <c r="BF15" s="2">
        <v>7707</v>
      </c>
      <c r="BG15" s="2">
        <v>6473</v>
      </c>
      <c r="BH15" s="2">
        <v>9773</v>
      </c>
      <c r="BI15" s="2">
        <v>7311</v>
      </c>
      <c r="BJ15" s="8">
        <v>6750</v>
      </c>
      <c r="BK15" s="8">
        <v>4742</v>
      </c>
      <c r="BL15" s="8">
        <v>11494</v>
      </c>
      <c r="BM15" s="8">
        <v>11141</v>
      </c>
      <c r="BN15" s="8">
        <v>9448</v>
      </c>
      <c r="BO15" s="8">
        <v>7157</v>
      </c>
    </row>
    <row r="16" spans="1:70" x14ac:dyDescent="0.2">
      <c r="A16" s="2" t="s">
        <v>40</v>
      </c>
      <c r="D16" s="2">
        <v>0</v>
      </c>
      <c r="G16" s="2">
        <v>0</v>
      </c>
      <c r="H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205</v>
      </c>
      <c r="V16" s="2">
        <v>180</v>
      </c>
      <c r="W16" s="2">
        <v>210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353</v>
      </c>
      <c r="AD16" s="2">
        <v>286</v>
      </c>
      <c r="AE16" s="2">
        <v>310</v>
      </c>
      <c r="AF16" s="2">
        <v>515</v>
      </c>
      <c r="AG16" s="2">
        <v>389</v>
      </c>
      <c r="AH16" s="2">
        <v>332</v>
      </c>
      <c r="AI16" s="2">
        <v>320</v>
      </c>
      <c r="AJ16" s="2">
        <f>1021-447</f>
        <v>574</v>
      </c>
      <c r="AK16" s="2">
        <v>447</v>
      </c>
      <c r="AL16" s="2">
        <v>365</v>
      </c>
      <c r="AM16" s="2">
        <v>390</v>
      </c>
      <c r="AN16" s="2">
        <v>527</v>
      </c>
      <c r="AO16" s="2">
        <v>440</v>
      </c>
      <c r="AP16" s="2">
        <v>408</v>
      </c>
      <c r="AQ16" s="2">
        <v>400</v>
      </c>
      <c r="AR16" s="2">
        <v>431</v>
      </c>
      <c r="AS16" s="2">
        <v>386</v>
      </c>
      <c r="AT16" s="2">
        <v>425</v>
      </c>
      <c r="AU16" s="2">
        <v>388</v>
      </c>
      <c r="AV16" s="2">
        <v>450</v>
      </c>
      <c r="AW16" s="2">
        <v>412</v>
      </c>
      <c r="AX16" s="2">
        <v>430</v>
      </c>
      <c r="AY16" s="2">
        <v>347</v>
      </c>
      <c r="AZ16" s="2">
        <v>482</v>
      </c>
      <c r="BA16" s="2">
        <v>431</v>
      </c>
      <c r="BB16" s="2">
        <v>340</v>
      </c>
      <c r="BC16" s="2">
        <v>325</v>
      </c>
      <c r="BD16" s="9">
        <v>339</v>
      </c>
      <c r="BE16" s="9">
        <v>261</v>
      </c>
      <c r="BF16" s="2">
        <v>297</v>
      </c>
      <c r="BG16" s="2">
        <v>297</v>
      </c>
      <c r="BH16" s="2">
        <v>407</v>
      </c>
      <c r="BI16" s="2">
        <v>399</v>
      </c>
      <c r="BJ16" s="2">
        <v>355</v>
      </c>
      <c r="BK16" s="2">
        <v>337</v>
      </c>
      <c r="BL16" s="2">
        <v>377</v>
      </c>
      <c r="BM16" s="2">
        <v>401</v>
      </c>
    </row>
    <row r="17" spans="1:67" x14ac:dyDescent="0.2">
      <c r="A17" s="2" t="s">
        <v>41</v>
      </c>
      <c r="D17" s="2">
        <v>6720</v>
      </c>
      <c r="G17" s="2">
        <v>3380</v>
      </c>
      <c r="H17" s="2">
        <v>6430</v>
      </c>
      <c r="J17" s="2">
        <v>3891</v>
      </c>
      <c r="K17" s="2">
        <v>3347</v>
      </c>
      <c r="L17" s="2">
        <v>7056</v>
      </c>
      <c r="M17" s="2">
        <v>5650</v>
      </c>
      <c r="N17" s="2">
        <v>2754</v>
      </c>
      <c r="O17" s="2">
        <v>3387</v>
      </c>
      <c r="P17" s="2">
        <v>7330</v>
      </c>
      <c r="Q17" s="2">
        <v>6445</v>
      </c>
      <c r="R17" s="2">
        <v>4681</v>
      </c>
      <c r="S17" s="2">
        <v>3350</v>
      </c>
      <c r="T17" s="2">
        <f>21620-R17-S17-U17</f>
        <v>7475</v>
      </c>
      <c r="U17" s="2">
        <v>6114</v>
      </c>
      <c r="V17" s="2">
        <v>4983</v>
      </c>
      <c r="W17" s="2">
        <v>3726</v>
      </c>
      <c r="X17" s="2">
        <v>6861</v>
      </c>
      <c r="Y17" s="2">
        <v>5514</v>
      </c>
      <c r="Z17" s="2">
        <v>5079</v>
      </c>
      <c r="AA17" s="2">
        <v>4208</v>
      </c>
      <c r="AB17" s="2">
        <v>6595</v>
      </c>
      <c r="AC17" s="2">
        <v>6454</v>
      </c>
      <c r="AD17" s="2">
        <v>5441</v>
      </c>
      <c r="AE17" s="2">
        <v>4456</v>
      </c>
      <c r="AF17" s="2">
        <v>7353</v>
      </c>
      <c r="AG17" s="2">
        <v>7442</v>
      </c>
      <c r="AH17" s="2">
        <v>6509</v>
      </c>
      <c r="AI17" s="2">
        <v>4669</v>
      </c>
      <c r="AJ17" s="2">
        <f>15990-8024</f>
        <v>7966</v>
      </c>
      <c r="AK17" s="2">
        <v>8224</v>
      </c>
      <c r="AL17" s="2">
        <v>6788</v>
      </c>
      <c r="AM17" s="2">
        <v>5585</v>
      </c>
      <c r="AN17" s="2">
        <v>8600</v>
      </c>
      <c r="AO17" s="2">
        <v>8325</v>
      </c>
      <c r="AP17" s="2">
        <v>6520</v>
      </c>
      <c r="AQ17" s="2">
        <v>6264</v>
      </c>
      <c r="AR17" s="2">
        <v>8804</v>
      </c>
      <c r="AS17" s="2">
        <v>7759</v>
      </c>
      <c r="AT17" s="2">
        <v>7039</v>
      </c>
      <c r="AU17" s="2">
        <v>5506</v>
      </c>
      <c r="AV17" s="2">
        <v>7826</v>
      </c>
      <c r="AW17" s="2">
        <v>7916</v>
      </c>
      <c r="AX17" s="2">
        <v>7084</v>
      </c>
      <c r="AY17" s="2">
        <v>6680</v>
      </c>
      <c r="AZ17" s="2">
        <v>8650</v>
      </c>
      <c r="BA17" s="2">
        <v>8695</v>
      </c>
      <c r="BB17" s="2">
        <v>7459</v>
      </c>
      <c r="BC17" s="2">
        <v>6493</v>
      </c>
      <c r="BD17" s="2">
        <v>9208</v>
      </c>
      <c r="BE17" s="2">
        <v>8957</v>
      </c>
      <c r="BF17" s="2">
        <v>7668</v>
      </c>
      <c r="BG17" s="2">
        <v>6466</v>
      </c>
      <c r="BH17" s="2">
        <v>9477</v>
      </c>
      <c r="BI17" s="2">
        <v>8258</v>
      </c>
      <c r="BJ17" s="8">
        <v>6225</v>
      </c>
      <c r="BK17" s="8">
        <v>7477</v>
      </c>
      <c r="BL17" s="8">
        <v>10200</v>
      </c>
      <c r="BM17" s="8">
        <v>9530</v>
      </c>
      <c r="BN17" s="8">
        <v>8050</v>
      </c>
      <c r="BO17" s="8">
        <v>7700</v>
      </c>
    </row>
    <row r="18" spans="1:67" x14ac:dyDescent="0.2">
      <c r="A18" s="2" t="s">
        <v>42</v>
      </c>
      <c r="D18" s="2">
        <v>135</v>
      </c>
      <c r="G18" s="2">
        <v>167</v>
      </c>
      <c r="H18" s="2">
        <v>146</v>
      </c>
      <c r="J18" s="2">
        <v>208</v>
      </c>
      <c r="K18" s="2">
        <v>128</v>
      </c>
      <c r="L18" s="2">
        <v>166</v>
      </c>
      <c r="M18" s="2">
        <v>203</v>
      </c>
      <c r="N18" s="2">
        <v>214</v>
      </c>
      <c r="O18" s="2">
        <v>126</v>
      </c>
      <c r="P18" s="2">
        <v>185</v>
      </c>
      <c r="Q18" s="2">
        <v>219</v>
      </c>
      <c r="R18" s="2">
        <v>209</v>
      </c>
      <c r="S18" s="2">
        <v>127</v>
      </c>
      <c r="T18" s="2">
        <f>760-R18-S18-U18</f>
        <v>241</v>
      </c>
      <c r="U18" s="2">
        <v>183</v>
      </c>
      <c r="V18" s="2">
        <v>191</v>
      </c>
      <c r="W18" s="2">
        <v>119</v>
      </c>
      <c r="X18" s="2">
        <v>147</v>
      </c>
      <c r="Y18" s="2">
        <v>180</v>
      </c>
      <c r="Z18" s="2">
        <v>192</v>
      </c>
      <c r="AA18" s="2">
        <v>120</v>
      </c>
      <c r="AB18" s="2">
        <v>149</v>
      </c>
      <c r="AC18" s="2">
        <v>245</v>
      </c>
      <c r="AD18" s="2">
        <v>309</v>
      </c>
      <c r="AE18" s="2">
        <v>224</v>
      </c>
      <c r="AF18" s="2">
        <f>538-AG18</f>
        <v>277</v>
      </c>
      <c r="AG18" s="2">
        <v>261</v>
      </c>
      <c r="AH18" s="2">
        <v>388</v>
      </c>
      <c r="AI18" s="2">
        <v>280</v>
      </c>
      <c r="AJ18" s="2">
        <f>702-336</f>
        <v>366</v>
      </c>
      <c r="AK18" s="2">
        <v>336</v>
      </c>
      <c r="AL18" s="2">
        <v>340</v>
      </c>
      <c r="AM18" s="2">
        <v>331</v>
      </c>
      <c r="AN18" s="2">
        <v>370</v>
      </c>
      <c r="AO18" s="2">
        <v>340</v>
      </c>
      <c r="AP18" s="2">
        <v>344</v>
      </c>
      <c r="AQ18" s="2">
        <v>425</v>
      </c>
      <c r="AR18" s="2">
        <v>309</v>
      </c>
      <c r="AS18" s="2">
        <v>267</v>
      </c>
      <c r="AT18" s="2">
        <v>220</v>
      </c>
      <c r="AU18" s="2">
        <v>360</v>
      </c>
      <c r="AV18" s="2">
        <v>376</v>
      </c>
      <c r="AW18" s="2">
        <v>352</v>
      </c>
      <c r="AX18" s="2">
        <v>371</v>
      </c>
      <c r="AY18" s="2">
        <v>315</v>
      </c>
      <c r="AZ18" s="2">
        <v>353</v>
      </c>
      <c r="BA18" s="2">
        <v>335</v>
      </c>
      <c r="BB18" s="2">
        <v>376</v>
      </c>
      <c r="BC18" s="2">
        <v>330</v>
      </c>
      <c r="BD18" s="9">
        <v>375</v>
      </c>
      <c r="BE18" s="9">
        <v>367</v>
      </c>
      <c r="BF18" s="2">
        <v>342</v>
      </c>
      <c r="BG18" s="2">
        <v>339</v>
      </c>
      <c r="BH18" s="2">
        <v>346</v>
      </c>
      <c r="BI18" s="2">
        <v>330</v>
      </c>
      <c r="BJ18" s="2">
        <v>330</v>
      </c>
      <c r="BK18" s="2">
        <v>338</v>
      </c>
      <c r="BL18" s="2">
        <v>441</v>
      </c>
      <c r="BM18" s="2">
        <v>411</v>
      </c>
    </row>
    <row r="19" spans="1:67" x14ac:dyDescent="0.2">
      <c r="A19" s="2" t="s">
        <v>43</v>
      </c>
      <c r="D19" s="2">
        <v>1835</v>
      </c>
      <c r="G19" s="2">
        <v>1860</v>
      </c>
      <c r="H19" s="2">
        <v>1577</v>
      </c>
      <c r="J19" s="2">
        <v>2080</v>
      </c>
      <c r="K19" s="2">
        <v>2070</v>
      </c>
      <c r="L19" s="2">
        <v>1823</v>
      </c>
      <c r="M19" s="2">
        <v>1797</v>
      </c>
      <c r="N19" s="2">
        <v>2840</v>
      </c>
      <c r="O19" s="2">
        <v>2835</v>
      </c>
      <c r="P19" s="2">
        <v>2150</v>
      </c>
      <c r="Q19" s="2">
        <v>2180</v>
      </c>
      <c r="R19" s="2">
        <v>2855</v>
      </c>
      <c r="S19" s="2">
        <v>2845</v>
      </c>
      <c r="T19" s="2">
        <f>10500-R19-S19-U19</f>
        <v>2185</v>
      </c>
      <c r="U19" s="2">
        <v>2615</v>
      </c>
      <c r="V19" s="2">
        <v>3610</v>
      </c>
      <c r="W19" s="2">
        <v>3940</v>
      </c>
      <c r="X19" s="2">
        <v>4006</v>
      </c>
      <c r="Y19" s="2">
        <v>4254</v>
      </c>
      <c r="Z19" s="2">
        <v>4720</v>
      </c>
      <c r="AA19" s="2">
        <v>4720</v>
      </c>
      <c r="AB19" s="2">
        <v>4840</v>
      </c>
      <c r="AC19" s="2">
        <v>4970</v>
      </c>
      <c r="AD19" s="2">
        <v>5470</v>
      </c>
      <c r="AE19" s="2">
        <v>5380</v>
      </c>
      <c r="AF19" s="2">
        <v>4640</v>
      </c>
      <c r="AG19" s="2">
        <v>5180</v>
      </c>
      <c r="AH19" s="2">
        <v>6570</v>
      </c>
      <c r="AI19" s="2">
        <v>6520</v>
      </c>
      <c r="AJ19" s="2">
        <f>12730-6480</f>
        <v>6250</v>
      </c>
      <c r="AK19" s="2">
        <v>6500</v>
      </c>
      <c r="AL19" s="2">
        <v>7110</v>
      </c>
      <c r="AM19" s="2">
        <v>6670</v>
      </c>
      <c r="AN19" s="2">
        <v>6380</v>
      </c>
      <c r="AO19" s="2">
        <v>6910</v>
      </c>
      <c r="AP19" s="2">
        <v>7910</v>
      </c>
      <c r="AQ19" s="2">
        <v>7630</v>
      </c>
      <c r="AR19" s="2">
        <v>7570</v>
      </c>
      <c r="AS19" s="2">
        <v>7700</v>
      </c>
      <c r="AT19" s="2">
        <v>8830</v>
      </c>
      <c r="AU19" s="2">
        <v>8370</v>
      </c>
      <c r="AV19" s="2">
        <v>8300</v>
      </c>
      <c r="AW19" s="2">
        <v>8330</v>
      </c>
      <c r="AX19" s="2">
        <v>9050</v>
      </c>
      <c r="AY19" s="2">
        <v>8730</v>
      </c>
      <c r="AZ19" s="2">
        <v>8610</v>
      </c>
      <c r="BA19" s="2">
        <v>8660</v>
      </c>
      <c r="BB19" s="2">
        <v>9400</v>
      </c>
      <c r="BC19" s="2">
        <v>9270</v>
      </c>
      <c r="BD19" s="2">
        <v>9400</v>
      </c>
      <c r="BE19" s="2">
        <v>9480</v>
      </c>
      <c r="BF19" s="2">
        <v>10200</v>
      </c>
      <c r="BG19" s="2">
        <v>10090</v>
      </c>
      <c r="BH19" s="2">
        <v>10230</v>
      </c>
      <c r="BI19" s="2">
        <v>10630</v>
      </c>
      <c r="BJ19" s="8">
        <v>11400</v>
      </c>
      <c r="BK19" s="8">
        <v>11600</v>
      </c>
      <c r="BL19" s="8">
        <v>12280</v>
      </c>
      <c r="BM19" s="8">
        <v>12120</v>
      </c>
      <c r="BN19" s="8">
        <v>13200</v>
      </c>
      <c r="BO19" s="8">
        <v>13500</v>
      </c>
    </row>
    <row r="20" spans="1:67" x14ac:dyDescent="0.2">
      <c r="A20" s="2" t="s">
        <v>44</v>
      </c>
      <c r="D20" s="2">
        <v>485</v>
      </c>
      <c r="G20" s="2">
        <v>1150</v>
      </c>
      <c r="H20" s="2">
        <v>900</v>
      </c>
      <c r="J20" s="2">
        <v>1370</v>
      </c>
      <c r="K20" s="2">
        <v>1036</v>
      </c>
      <c r="L20" s="2">
        <v>550</v>
      </c>
      <c r="M20" s="2">
        <v>270</v>
      </c>
      <c r="N20" s="2">
        <v>1666</v>
      </c>
      <c r="O20" s="2">
        <v>1770</v>
      </c>
      <c r="P20" s="2">
        <v>710</v>
      </c>
      <c r="Q20" s="2">
        <v>344</v>
      </c>
      <c r="R20" s="2">
        <v>1700</v>
      </c>
      <c r="S20" s="2">
        <v>1870</v>
      </c>
      <c r="T20" s="2">
        <f>5000-R20-S20-U20</f>
        <v>974</v>
      </c>
      <c r="U20" s="2">
        <v>456</v>
      </c>
      <c r="V20" s="2">
        <v>1540</v>
      </c>
      <c r="W20" s="2">
        <v>1605</v>
      </c>
      <c r="X20" s="2">
        <v>780</v>
      </c>
      <c r="Y20" s="2">
        <v>535</v>
      </c>
      <c r="Z20" s="2">
        <v>1660</v>
      </c>
      <c r="AA20" s="2">
        <v>1420</v>
      </c>
      <c r="AB20" s="2">
        <v>670</v>
      </c>
      <c r="AC20" s="2">
        <v>500</v>
      </c>
      <c r="AD20" s="2">
        <v>1820</v>
      </c>
      <c r="AE20" s="2">
        <v>1670</v>
      </c>
      <c r="AF20" s="2">
        <v>650</v>
      </c>
      <c r="AG20" s="2">
        <v>480</v>
      </c>
      <c r="AH20" s="2">
        <v>1320</v>
      </c>
      <c r="AI20" s="2">
        <v>1340</v>
      </c>
      <c r="AJ20" s="2">
        <f>1040-480</f>
        <v>560</v>
      </c>
      <c r="AK20" s="2">
        <v>480</v>
      </c>
      <c r="AL20" s="2">
        <v>2080</v>
      </c>
      <c r="AM20" s="2">
        <v>2290</v>
      </c>
      <c r="AN20" s="2">
        <v>1245</v>
      </c>
      <c r="AO20" s="2">
        <v>455</v>
      </c>
      <c r="AP20" s="2">
        <v>1510</v>
      </c>
      <c r="AQ20" s="2">
        <v>1720</v>
      </c>
      <c r="AR20" s="2">
        <v>880</v>
      </c>
      <c r="AS20" s="2">
        <v>590</v>
      </c>
      <c r="AT20" s="2">
        <v>2160</v>
      </c>
      <c r="AU20" s="2">
        <v>2640</v>
      </c>
      <c r="AV20" s="2">
        <v>1150</v>
      </c>
      <c r="AW20" s="2">
        <v>880</v>
      </c>
      <c r="AX20" s="2">
        <v>2210</v>
      </c>
      <c r="AY20" s="2">
        <v>2640</v>
      </c>
      <c r="AZ20" s="2">
        <v>1340</v>
      </c>
      <c r="BA20" s="2">
        <v>910</v>
      </c>
      <c r="BB20" s="2">
        <v>2510</v>
      </c>
      <c r="BC20" s="2">
        <v>3070</v>
      </c>
      <c r="BD20" s="2">
        <v>2170</v>
      </c>
      <c r="BE20" s="2">
        <v>1070</v>
      </c>
      <c r="BF20" s="2">
        <v>2510</v>
      </c>
      <c r="BG20" s="2">
        <v>2130</v>
      </c>
      <c r="BH20" s="2">
        <v>1440</v>
      </c>
      <c r="BI20" s="2">
        <v>1070</v>
      </c>
      <c r="BJ20" s="8">
        <v>2140</v>
      </c>
      <c r="BK20" s="8">
        <v>1840</v>
      </c>
      <c r="BL20" s="8">
        <v>1310</v>
      </c>
      <c r="BM20" s="8">
        <v>1510</v>
      </c>
      <c r="BN20" s="8">
        <v>2930</v>
      </c>
      <c r="BO20" s="8">
        <v>2700</v>
      </c>
    </row>
    <row r="21" spans="1:67" x14ac:dyDescent="0.2">
      <c r="A21" s="2" t="s">
        <v>45</v>
      </c>
      <c r="D21" s="2">
        <v>0</v>
      </c>
      <c r="G21" s="2">
        <v>0</v>
      </c>
      <c r="H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118</v>
      </c>
      <c r="V21" s="2">
        <v>120</v>
      </c>
      <c r="W21" s="2">
        <v>157</v>
      </c>
      <c r="X21" s="2">
        <v>85</v>
      </c>
      <c r="Y21" s="2">
        <v>193</v>
      </c>
      <c r="Z21" s="2">
        <v>165</v>
      </c>
      <c r="AA21" s="2">
        <v>129</v>
      </c>
      <c r="AB21" s="2">
        <v>63</v>
      </c>
      <c r="AC21" s="2">
        <v>260</v>
      </c>
      <c r="AD21" s="2">
        <v>165</v>
      </c>
      <c r="AE21" s="2">
        <v>100</v>
      </c>
      <c r="AF21" s="2">
        <f>377-AG21</f>
        <v>160</v>
      </c>
      <c r="AG21" s="2">
        <v>217</v>
      </c>
      <c r="AH21" s="2">
        <v>133</v>
      </c>
      <c r="AI21" s="2">
        <v>140</v>
      </c>
      <c r="AJ21" s="2">
        <f>375-175</f>
        <v>200</v>
      </c>
      <c r="AK21" s="2">
        <v>175</v>
      </c>
      <c r="AL21" s="2">
        <v>135</v>
      </c>
      <c r="AM21" s="2">
        <v>145</v>
      </c>
      <c r="AN21" s="2">
        <v>185</v>
      </c>
      <c r="AO21" s="2">
        <v>325</v>
      </c>
      <c r="AP21" s="2">
        <v>290</v>
      </c>
      <c r="AQ21" s="2">
        <v>85</v>
      </c>
      <c r="AR21" s="2">
        <v>280</v>
      </c>
      <c r="AS21" s="2">
        <v>420</v>
      </c>
      <c r="AT21" s="2">
        <v>263</v>
      </c>
      <c r="AU21" s="2">
        <v>258</v>
      </c>
      <c r="AV21" s="2">
        <v>296</v>
      </c>
      <c r="AW21" s="2">
        <v>290</v>
      </c>
      <c r="AX21" s="2">
        <v>280</v>
      </c>
      <c r="AY21" s="2">
        <v>273</v>
      </c>
      <c r="AZ21" s="2">
        <v>257</v>
      </c>
      <c r="BA21" s="2">
        <v>310</v>
      </c>
      <c r="BB21" s="2">
        <v>292</v>
      </c>
      <c r="BC21" s="2">
        <v>273</v>
      </c>
      <c r="BD21" s="9">
        <v>305</v>
      </c>
      <c r="BE21" s="9">
        <v>360</v>
      </c>
      <c r="BF21" s="2">
        <v>285</v>
      </c>
      <c r="BG21" s="2">
        <v>120</v>
      </c>
      <c r="BH21" s="2">
        <v>255</v>
      </c>
      <c r="BI21" s="2">
        <v>355</v>
      </c>
      <c r="BJ21" s="2">
        <v>295</v>
      </c>
      <c r="BK21" s="2">
        <v>125</v>
      </c>
      <c r="BL21" s="2">
        <v>345</v>
      </c>
      <c r="BM21" s="2">
        <v>355</v>
      </c>
    </row>
    <row r="22" spans="1:67" x14ac:dyDescent="0.2">
      <c r="A22" s="2" t="s">
        <v>46</v>
      </c>
      <c r="D22" s="2">
        <v>142</v>
      </c>
      <c r="G22" s="2">
        <v>105</v>
      </c>
      <c r="H22" s="2">
        <v>118</v>
      </c>
      <c r="J22" s="2">
        <v>105</v>
      </c>
      <c r="K22" s="2">
        <v>0</v>
      </c>
      <c r="L22" s="2">
        <v>0</v>
      </c>
      <c r="M22" s="2">
        <v>136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151</v>
      </c>
      <c r="V22" s="2">
        <v>126</v>
      </c>
      <c r="W22" s="2">
        <v>142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176</v>
      </c>
      <c r="AD22" s="2">
        <v>150</v>
      </c>
      <c r="AE22" s="2">
        <v>145</v>
      </c>
      <c r="AF22" s="2">
        <v>213</v>
      </c>
      <c r="AG22" s="2">
        <v>210</v>
      </c>
      <c r="AH22" s="2">
        <v>149</v>
      </c>
      <c r="AI22" s="2">
        <v>159</v>
      </c>
      <c r="AJ22" s="2">
        <f>253-163</f>
        <v>90</v>
      </c>
      <c r="AK22" s="2">
        <v>163</v>
      </c>
      <c r="AL22" s="2">
        <v>134</v>
      </c>
      <c r="AM22" s="2">
        <v>166</v>
      </c>
      <c r="AN22" s="2">
        <v>144</v>
      </c>
      <c r="AO22" s="2">
        <v>150</v>
      </c>
      <c r="AP22" s="2">
        <v>93</v>
      </c>
      <c r="AQ22" s="2">
        <v>190</v>
      </c>
      <c r="AR22" s="2">
        <v>100</v>
      </c>
      <c r="AS22" s="2">
        <v>137</v>
      </c>
      <c r="AT22" s="2">
        <v>85</v>
      </c>
    </row>
    <row r="23" spans="1:67" x14ac:dyDescent="0.2">
      <c r="A23" s="2" t="s">
        <v>47</v>
      </c>
      <c r="D23" s="2">
        <v>938</v>
      </c>
      <c r="G23" s="2">
        <v>890</v>
      </c>
      <c r="H23" s="2">
        <v>934</v>
      </c>
      <c r="J23" s="2">
        <v>1004</v>
      </c>
      <c r="K23" s="2">
        <v>878</v>
      </c>
      <c r="L23" s="2">
        <v>982</v>
      </c>
      <c r="M23" s="2">
        <v>908</v>
      </c>
      <c r="N23" s="2">
        <v>1012</v>
      </c>
      <c r="O23" s="2">
        <v>929</v>
      </c>
      <c r="P23" s="2">
        <v>988</v>
      </c>
      <c r="Q23" s="2">
        <v>829</v>
      </c>
      <c r="R23" s="2">
        <v>946</v>
      </c>
      <c r="S23" s="2">
        <v>986</v>
      </c>
      <c r="T23" s="2">
        <f>3830-R23-S23-U23</f>
        <v>983</v>
      </c>
      <c r="U23" s="2">
        <v>915</v>
      </c>
      <c r="V23" s="2">
        <v>1024</v>
      </c>
      <c r="W23" s="2">
        <v>902</v>
      </c>
      <c r="X23" s="2">
        <v>945</v>
      </c>
      <c r="Y23" s="2">
        <v>898</v>
      </c>
      <c r="Z23" s="2">
        <v>975</v>
      </c>
      <c r="AA23" s="2">
        <v>927</v>
      </c>
      <c r="AB23" s="2">
        <v>954</v>
      </c>
      <c r="AC23" s="2">
        <v>907</v>
      </c>
      <c r="AD23" s="2">
        <v>1025</v>
      </c>
      <c r="AE23" s="2">
        <v>931</v>
      </c>
      <c r="AF23" s="2">
        <f>2017-AG23</f>
        <v>1056</v>
      </c>
      <c r="AG23" s="2">
        <v>961</v>
      </c>
      <c r="AH23" s="2">
        <v>1076</v>
      </c>
      <c r="AI23" s="2">
        <v>1014</v>
      </c>
      <c r="AJ23" s="2">
        <f>1960-941</f>
        <v>1019</v>
      </c>
      <c r="AK23" s="2">
        <v>941</v>
      </c>
      <c r="AL23" s="2">
        <v>1036</v>
      </c>
      <c r="AM23" s="2">
        <v>900</v>
      </c>
      <c r="AN23" s="2">
        <v>875</v>
      </c>
      <c r="AO23" s="2">
        <v>725</v>
      </c>
      <c r="AP23" s="2">
        <v>919</v>
      </c>
      <c r="AQ23" s="2">
        <v>772</v>
      </c>
      <c r="AR23" s="2">
        <v>786</v>
      </c>
      <c r="AS23" s="2">
        <v>708</v>
      </c>
      <c r="AT23" s="2">
        <v>814</v>
      </c>
      <c r="AU23" s="2">
        <v>725</v>
      </c>
      <c r="AV23" s="2">
        <v>751</v>
      </c>
      <c r="AW23" s="2">
        <v>715</v>
      </c>
      <c r="AX23" s="2">
        <v>788</v>
      </c>
      <c r="AY23" s="2">
        <v>721</v>
      </c>
      <c r="AZ23" s="2">
        <v>770</v>
      </c>
      <c r="BA23" s="2">
        <v>754</v>
      </c>
      <c r="BB23" s="2">
        <v>799</v>
      </c>
      <c r="BC23" s="2">
        <v>658</v>
      </c>
      <c r="BD23" s="9">
        <v>755</v>
      </c>
      <c r="BE23" s="9">
        <v>742</v>
      </c>
      <c r="BF23" s="2">
        <v>682</v>
      </c>
      <c r="BG23" s="2">
        <v>585</v>
      </c>
      <c r="BH23" s="2">
        <v>650</v>
      </c>
      <c r="BI23" s="2">
        <v>581</v>
      </c>
      <c r="BJ23" s="2">
        <v>670</v>
      </c>
      <c r="BK23" s="2">
        <v>645</v>
      </c>
      <c r="BL23" s="2">
        <v>649</v>
      </c>
      <c r="BM23" s="2">
        <v>627</v>
      </c>
    </row>
    <row r="24" spans="1:67" x14ac:dyDescent="0.2">
      <c r="A24" s="2" t="s">
        <v>48</v>
      </c>
      <c r="D24" s="2">
        <v>270</v>
      </c>
      <c r="G24" s="2">
        <v>275</v>
      </c>
      <c r="H24" s="2">
        <v>299</v>
      </c>
      <c r="J24" s="2">
        <v>335</v>
      </c>
      <c r="K24" s="2">
        <v>347</v>
      </c>
      <c r="L24" s="2">
        <v>367</v>
      </c>
      <c r="M24" s="2">
        <v>306</v>
      </c>
      <c r="N24" s="2">
        <v>320</v>
      </c>
      <c r="O24" s="2">
        <v>272</v>
      </c>
      <c r="P24" s="2">
        <v>303</v>
      </c>
      <c r="Q24" s="2">
        <v>276</v>
      </c>
      <c r="R24" s="2">
        <v>287</v>
      </c>
      <c r="S24" s="2">
        <v>290</v>
      </c>
      <c r="T24" s="2">
        <f>1170-R24-S24-U24</f>
        <v>323</v>
      </c>
      <c r="U24" s="2">
        <v>270</v>
      </c>
      <c r="V24" s="2">
        <v>383</v>
      </c>
      <c r="W24" s="2">
        <v>336</v>
      </c>
      <c r="X24" s="2">
        <v>337</v>
      </c>
      <c r="Y24" s="2">
        <v>286</v>
      </c>
      <c r="Z24" s="2">
        <v>276</v>
      </c>
      <c r="AA24" s="2">
        <v>260</v>
      </c>
      <c r="AB24" s="2">
        <v>265</v>
      </c>
      <c r="AC24" s="2">
        <v>280</v>
      </c>
      <c r="AD24" s="2">
        <v>294</v>
      </c>
      <c r="AE24" s="2">
        <v>282</v>
      </c>
      <c r="AF24" s="2">
        <v>296</v>
      </c>
      <c r="AG24" s="2">
        <v>328</v>
      </c>
      <c r="AH24" s="2">
        <v>330</v>
      </c>
      <c r="AI24" s="2">
        <v>321</v>
      </c>
      <c r="AJ24" s="2">
        <f>560-284</f>
        <v>276</v>
      </c>
      <c r="AK24" s="2">
        <v>284</v>
      </c>
      <c r="AL24" s="2">
        <v>331</v>
      </c>
      <c r="AM24" s="2">
        <v>283</v>
      </c>
      <c r="AN24" s="2">
        <v>249</v>
      </c>
      <c r="AO24" s="2">
        <v>226</v>
      </c>
      <c r="AP24" s="2">
        <v>231</v>
      </c>
      <c r="AQ24" s="2">
        <v>244</v>
      </c>
      <c r="AR24" s="2">
        <v>251</v>
      </c>
      <c r="AS24" s="2">
        <v>249</v>
      </c>
      <c r="AT24" s="2">
        <v>205</v>
      </c>
      <c r="AU24" s="2">
        <v>205</v>
      </c>
      <c r="AV24" s="2">
        <v>238</v>
      </c>
      <c r="AW24" s="2">
        <v>257</v>
      </c>
      <c r="AX24" s="2">
        <v>247</v>
      </c>
      <c r="AY24" s="2">
        <v>250</v>
      </c>
      <c r="AZ24" s="2">
        <v>227</v>
      </c>
      <c r="BA24" s="2">
        <v>240</v>
      </c>
      <c r="BB24" s="2">
        <v>231</v>
      </c>
      <c r="BC24" s="2">
        <v>243</v>
      </c>
      <c r="BD24" s="9">
        <v>231</v>
      </c>
      <c r="BE24" s="9">
        <v>234</v>
      </c>
      <c r="BF24" s="2">
        <v>204</v>
      </c>
      <c r="BG24" s="2">
        <v>227</v>
      </c>
      <c r="BH24" s="2">
        <v>216</v>
      </c>
      <c r="BI24" s="2">
        <v>229</v>
      </c>
      <c r="BJ24" s="2">
        <v>238</v>
      </c>
      <c r="BK24" s="2">
        <v>235</v>
      </c>
      <c r="BL24" s="2">
        <v>212</v>
      </c>
      <c r="BM24" s="2">
        <v>224</v>
      </c>
    </row>
    <row r="25" spans="1:67" x14ac:dyDescent="0.2">
      <c r="A25" s="2" t="s">
        <v>49</v>
      </c>
      <c r="D25" s="2">
        <v>135</v>
      </c>
      <c r="G25" s="2">
        <v>90</v>
      </c>
      <c r="H25" s="2">
        <v>122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98</v>
      </c>
      <c r="V25" s="2">
        <v>90</v>
      </c>
      <c r="W25" s="2">
        <v>112</v>
      </c>
      <c r="X25" s="2">
        <v>106</v>
      </c>
      <c r="Y25" s="2">
        <v>122</v>
      </c>
      <c r="Z25" s="2">
        <v>75</v>
      </c>
      <c r="AA25" s="2">
        <v>88</v>
      </c>
      <c r="AB25" s="2">
        <v>125</v>
      </c>
      <c r="AC25" s="2">
        <v>172</v>
      </c>
      <c r="AD25" s="2">
        <v>134</v>
      </c>
      <c r="AE25" s="2">
        <v>142</v>
      </c>
      <c r="AF25" s="2">
        <v>156</v>
      </c>
      <c r="AG25" s="2">
        <v>168</v>
      </c>
      <c r="AH25" s="2">
        <v>147</v>
      </c>
      <c r="AI25" s="2">
        <v>133</v>
      </c>
      <c r="AJ25" s="2">
        <f>235-111</f>
        <v>124</v>
      </c>
      <c r="AK25" s="2">
        <v>111</v>
      </c>
      <c r="AL25" s="2">
        <v>132</v>
      </c>
      <c r="AM25" s="2">
        <v>129</v>
      </c>
    </row>
    <row r="26" spans="1:67" x14ac:dyDescent="0.2">
      <c r="A26" s="2" t="s">
        <v>50</v>
      </c>
      <c r="D26" s="2">
        <v>672</v>
      </c>
      <c r="G26" s="2">
        <v>675</v>
      </c>
      <c r="H26" s="2">
        <v>680</v>
      </c>
      <c r="J26" s="2">
        <v>710</v>
      </c>
      <c r="K26" s="2">
        <v>705</v>
      </c>
      <c r="L26" s="2">
        <v>555</v>
      </c>
      <c r="M26" s="2">
        <v>545</v>
      </c>
      <c r="N26" s="2">
        <v>533</v>
      </c>
      <c r="O26" s="2">
        <v>511</v>
      </c>
      <c r="P26" s="2">
        <v>646</v>
      </c>
      <c r="Q26" s="2">
        <v>522</v>
      </c>
      <c r="R26" s="2">
        <v>478</v>
      </c>
      <c r="S26" s="2">
        <v>542</v>
      </c>
      <c r="T26" s="2">
        <f>2430-R26-S26-U26</f>
        <v>873</v>
      </c>
      <c r="U26" s="2">
        <v>537</v>
      </c>
      <c r="V26" s="2">
        <v>550</v>
      </c>
      <c r="W26" s="2">
        <v>555</v>
      </c>
      <c r="X26" s="2">
        <v>580</v>
      </c>
      <c r="Y26" s="2">
        <v>575</v>
      </c>
      <c r="Z26" s="2">
        <v>575</v>
      </c>
      <c r="AA26" s="2">
        <v>560</v>
      </c>
      <c r="AB26" s="2">
        <v>590</v>
      </c>
      <c r="AC26" s="2">
        <v>515</v>
      </c>
      <c r="AD26" s="2">
        <v>645</v>
      </c>
      <c r="AE26" s="2">
        <v>580</v>
      </c>
      <c r="AF26" s="2">
        <v>605</v>
      </c>
      <c r="AG26" s="2">
        <v>560</v>
      </c>
      <c r="AH26" s="2">
        <v>580</v>
      </c>
      <c r="AI26" s="2">
        <v>542</v>
      </c>
      <c r="AJ26" s="2">
        <f>1158-571</f>
        <v>587</v>
      </c>
      <c r="AK26" s="2">
        <v>561</v>
      </c>
      <c r="AL26" s="2">
        <v>600</v>
      </c>
      <c r="AM26" s="2">
        <v>528</v>
      </c>
      <c r="AN26" s="2">
        <v>530</v>
      </c>
      <c r="AO26" s="2">
        <v>482</v>
      </c>
      <c r="AP26" s="2">
        <v>495</v>
      </c>
      <c r="AQ26" s="2">
        <v>550</v>
      </c>
      <c r="AR26" s="2">
        <v>587</v>
      </c>
      <c r="AS26" s="2">
        <v>478</v>
      </c>
      <c r="AT26" s="2">
        <v>545</v>
      </c>
      <c r="AU26" s="2">
        <v>550</v>
      </c>
      <c r="AV26" s="2">
        <v>590</v>
      </c>
      <c r="AW26" s="2">
        <v>625</v>
      </c>
      <c r="AX26" s="2">
        <v>585</v>
      </c>
      <c r="AY26" s="2">
        <v>550</v>
      </c>
      <c r="AZ26" s="2">
        <v>565</v>
      </c>
      <c r="BA26" s="2">
        <v>600</v>
      </c>
      <c r="BB26" s="2">
        <v>525</v>
      </c>
      <c r="BC26" s="2">
        <v>537</v>
      </c>
      <c r="BD26" s="9">
        <v>577</v>
      </c>
      <c r="BE26" s="9">
        <v>498</v>
      </c>
      <c r="BF26" s="2">
        <v>455</v>
      </c>
      <c r="BG26" s="2">
        <v>467</v>
      </c>
      <c r="BH26" s="2">
        <v>545</v>
      </c>
      <c r="BI26" s="2">
        <v>573</v>
      </c>
      <c r="BJ26" s="2">
        <v>525</v>
      </c>
      <c r="BK26" s="2">
        <v>505</v>
      </c>
      <c r="BL26" s="2">
        <v>555</v>
      </c>
      <c r="BM26" s="2">
        <v>535</v>
      </c>
    </row>
    <row r="27" spans="1:67" x14ac:dyDescent="0.2">
      <c r="A27" s="2" t="s">
        <v>51</v>
      </c>
      <c r="D27" s="2">
        <v>126</v>
      </c>
      <c r="G27" s="2">
        <v>134</v>
      </c>
      <c r="H27" s="2">
        <v>134</v>
      </c>
      <c r="J27" s="2">
        <v>157</v>
      </c>
      <c r="K27" s="2">
        <v>173</v>
      </c>
      <c r="L27" s="2">
        <v>174</v>
      </c>
      <c r="M27" s="2">
        <v>117</v>
      </c>
      <c r="N27" s="2">
        <v>196</v>
      </c>
      <c r="O27" s="2">
        <v>194</v>
      </c>
      <c r="P27" s="2">
        <v>176</v>
      </c>
      <c r="Q27" s="2">
        <v>168</v>
      </c>
      <c r="R27" s="2">
        <v>285</v>
      </c>
      <c r="S27" s="2">
        <v>210</v>
      </c>
      <c r="T27" s="2">
        <f>775-R27-S27-U27</f>
        <v>34</v>
      </c>
      <c r="U27" s="2">
        <v>246</v>
      </c>
      <c r="V27" s="2">
        <v>317</v>
      </c>
      <c r="W27" s="2">
        <v>268</v>
      </c>
      <c r="X27" s="2">
        <v>269</v>
      </c>
      <c r="Y27" s="2">
        <v>258</v>
      </c>
      <c r="Z27" s="2">
        <v>300</v>
      </c>
      <c r="AA27" s="2">
        <v>287</v>
      </c>
      <c r="AB27" s="2">
        <v>374</v>
      </c>
      <c r="AC27" s="2">
        <v>297</v>
      </c>
      <c r="AD27" s="2">
        <v>380</v>
      </c>
      <c r="AE27" s="2">
        <v>360</v>
      </c>
      <c r="AF27" s="2">
        <v>384</v>
      </c>
      <c r="AG27" s="2">
        <v>341</v>
      </c>
      <c r="AH27" s="2">
        <v>400</v>
      </c>
      <c r="AI27" s="2">
        <v>455</v>
      </c>
      <c r="AJ27" s="2">
        <f>845-390</f>
        <v>455</v>
      </c>
      <c r="AK27" s="2">
        <v>360</v>
      </c>
      <c r="AL27" s="2">
        <v>370</v>
      </c>
      <c r="AM27" s="2">
        <v>325</v>
      </c>
      <c r="AN27" s="2">
        <v>265</v>
      </c>
      <c r="AO27" s="2">
        <v>340</v>
      </c>
      <c r="AP27" s="2">
        <v>360</v>
      </c>
      <c r="AQ27" s="2">
        <v>265</v>
      </c>
      <c r="AR27" s="2">
        <v>312</v>
      </c>
      <c r="AS27" s="2">
        <v>343</v>
      </c>
      <c r="AT27" s="2">
        <v>385</v>
      </c>
      <c r="AU27" s="2">
        <v>260</v>
      </c>
      <c r="AV27" s="2">
        <v>255</v>
      </c>
      <c r="AW27" s="2">
        <v>300</v>
      </c>
      <c r="AX27" s="2">
        <v>385</v>
      </c>
      <c r="AY27" s="2">
        <v>305</v>
      </c>
      <c r="AZ27" s="2">
        <v>305</v>
      </c>
      <c r="BA27" s="2">
        <v>330</v>
      </c>
      <c r="BB27" s="2">
        <v>375</v>
      </c>
      <c r="BC27" s="2">
        <v>320</v>
      </c>
      <c r="BD27" s="9">
        <v>320</v>
      </c>
      <c r="BE27" s="9">
        <v>348</v>
      </c>
      <c r="BF27" s="2">
        <v>330</v>
      </c>
      <c r="BG27" s="2">
        <v>250</v>
      </c>
      <c r="BH27" s="2">
        <v>332</v>
      </c>
      <c r="BI27" s="2">
        <v>348</v>
      </c>
      <c r="BJ27" s="2">
        <v>350</v>
      </c>
      <c r="BK27" s="2">
        <v>240</v>
      </c>
      <c r="BL27" s="2">
        <v>353</v>
      </c>
      <c r="BM27" s="2">
        <v>357</v>
      </c>
    </row>
    <row r="28" spans="1:67" x14ac:dyDescent="0.2">
      <c r="A28" s="2" t="s">
        <v>52</v>
      </c>
      <c r="AK28" s="2">
        <v>165</v>
      </c>
      <c r="AL28" s="2">
        <v>155</v>
      </c>
      <c r="AM28" s="2">
        <v>163</v>
      </c>
      <c r="AN28" s="2">
        <v>177</v>
      </c>
      <c r="AO28" s="2">
        <v>140</v>
      </c>
      <c r="AP28" s="2">
        <v>225</v>
      </c>
      <c r="AQ28" s="2">
        <v>218</v>
      </c>
      <c r="AR28" s="2">
        <v>237</v>
      </c>
      <c r="AS28" s="2">
        <v>180</v>
      </c>
      <c r="AT28" s="2">
        <v>238</v>
      </c>
      <c r="AU28" s="2">
        <v>170</v>
      </c>
      <c r="AV28" s="2">
        <v>169</v>
      </c>
      <c r="AW28" s="2">
        <v>163</v>
      </c>
      <c r="AX28" s="2">
        <v>210</v>
      </c>
      <c r="AY28" s="2">
        <v>110</v>
      </c>
      <c r="AZ28" s="2">
        <v>247</v>
      </c>
      <c r="BA28" s="2">
        <v>300</v>
      </c>
      <c r="BB28" s="2">
        <v>158</v>
      </c>
      <c r="BC28" s="2">
        <v>72</v>
      </c>
      <c r="BD28" s="9">
        <v>278</v>
      </c>
      <c r="BE28" s="9">
        <v>266</v>
      </c>
      <c r="BF28" s="2">
        <v>178</v>
      </c>
      <c r="BG28" s="2">
        <v>13</v>
      </c>
      <c r="BH28" s="2">
        <v>77</v>
      </c>
      <c r="BI28" s="2">
        <v>160</v>
      </c>
      <c r="BJ28" s="2">
        <v>40</v>
      </c>
      <c r="BK28" s="2">
        <v>180</v>
      </c>
      <c r="BL28" s="2">
        <v>98</v>
      </c>
      <c r="BM28" s="2">
        <v>142</v>
      </c>
    </row>
    <row r="29" spans="1:67" x14ac:dyDescent="0.2">
      <c r="A29" s="2" t="s">
        <v>53</v>
      </c>
      <c r="D29" s="2">
        <f>714+55+39+28+61</f>
        <v>897</v>
      </c>
      <c r="G29" s="2">
        <f>636+43+29+46+28</f>
        <v>782</v>
      </c>
      <c r="H29" s="2">
        <f>752+47+28+43</f>
        <v>870</v>
      </c>
      <c r="J29" s="2">
        <v>854</v>
      </c>
      <c r="K29" s="2">
        <v>1046</v>
      </c>
      <c r="L29" s="2">
        <v>1215</v>
      </c>
      <c r="M29" s="2">
        <v>929</v>
      </c>
      <c r="N29" s="2">
        <v>1077</v>
      </c>
      <c r="O29" s="2">
        <v>1169</v>
      </c>
      <c r="P29" s="2">
        <v>1364</v>
      </c>
      <c r="Q29" s="2">
        <v>1192</v>
      </c>
      <c r="R29" s="2">
        <v>1163</v>
      </c>
      <c r="S29" s="2">
        <v>1227</v>
      </c>
      <c r="T29" s="2">
        <f>5088-R29-S29-U29</f>
        <v>1947</v>
      </c>
      <c r="U29" s="2">
        <v>751</v>
      </c>
      <c r="V29" s="2">
        <v>731</v>
      </c>
      <c r="W29" s="2">
        <v>727</v>
      </c>
      <c r="X29" s="2">
        <v>1242</v>
      </c>
      <c r="Y29" s="2">
        <v>1182</v>
      </c>
      <c r="Z29" s="2">
        <v>1264</v>
      </c>
      <c r="AA29" s="2">
        <v>1202</v>
      </c>
      <c r="AB29" s="2">
        <v>1577</v>
      </c>
      <c r="AC29" s="2">
        <v>1034</v>
      </c>
      <c r="AD29" s="2">
        <v>1173</v>
      </c>
      <c r="AE29" s="2">
        <v>1124</v>
      </c>
      <c r="AF29" s="2">
        <v>1232</v>
      </c>
      <c r="AG29" s="2">
        <v>1173</v>
      </c>
      <c r="AH29" s="2">
        <v>1214</v>
      </c>
      <c r="AI29" s="2">
        <v>1137</v>
      </c>
      <c r="AJ29" s="2">
        <f>2654-1333</f>
        <v>1321</v>
      </c>
      <c r="AK29" s="2">
        <f>1254-111</f>
        <v>1143</v>
      </c>
      <c r="AL29" s="2">
        <f>1228-132</f>
        <v>1096</v>
      </c>
      <c r="AM29" s="2">
        <f>1112-129</f>
        <v>983</v>
      </c>
      <c r="AN29" s="2">
        <v>1198</v>
      </c>
      <c r="AO29" s="2">
        <v>1376</v>
      </c>
      <c r="AP29" s="2">
        <f>1839-133-293-93</f>
        <v>1320</v>
      </c>
      <c r="AQ29" s="2">
        <v>1126</v>
      </c>
      <c r="AR29" s="2">
        <v>1282</v>
      </c>
      <c r="AS29" s="2">
        <v>1453</v>
      </c>
      <c r="AT29" s="2">
        <v>1319</v>
      </c>
      <c r="AU29" s="2">
        <v>1272</v>
      </c>
      <c r="AV29" s="2">
        <v>1459</v>
      </c>
      <c r="AW29" s="2">
        <v>1779</v>
      </c>
      <c r="AX29" s="2">
        <v>1595</v>
      </c>
      <c r="AY29" s="2">
        <v>1550</v>
      </c>
      <c r="AZ29" s="2">
        <v>1858</v>
      </c>
      <c r="BA29" s="2">
        <v>1918</v>
      </c>
      <c r="BB29" s="2">
        <v>1662</v>
      </c>
      <c r="BC29" s="2">
        <v>1412</v>
      </c>
      <c r="BD29" s="9">
        <v>1739</v>
      </c>
      <c r="BE29" s="9">
        <v>1985</v>
      </c>
      <c r="BF29" s="2">
        <v>1554</v>
      </c>
      <c r="BG29" s="2">
        <v>1438</v>
      </c>
      <c r="BH29" s="2">
        <v>1903</v>
      </c>
      <c r="BI29" s="2">
        <v>2009</v>
      </c>
      <c r="BJ29" s="2">
        <v>1691</v>
      </c>
      <c r="BK29" s="2">
        <v>1553</v>
      </c>
      <c r="BL29" s="2">
        <v>2170</v>
      </c>
      <c r="BM29" s="2">
        <v>2266</v>
      </c>
    </row>
    <row r="30" spans="1:67" x14ac:dyDescent="0.2">
      <c r="A30" s="2" t="s">
        <v>54</v>
      </c>
      <c r="D30" s="2">
        <f t="shared" ref="D30:BO30" si="0">SUM(D6:D29)</f>
        <v>28705</v>
      </c>
      <c r="E30" s="2">
        <f t="shared" si="0"/>
        <v>0</v>
      </c>
      <c r="F30" s="2">
        <f t="shared" si="0"/>
        <v>0</v>
      </c>
      <c r="G30" s="2">
        <f t="shared" si="0"/>
        <v>25495</v>
      </c>
      <c r="H30" s="2">
        <f t="shared" si="0"/>
        <v>27352</v>
      </c>
      <c r="I30" s="2">
        <f t="shared" si="0"/>
        <v>0</v>
      </c>
      <c r="J30" s="2">
        <f t="shared" si="0"/>
        <v>29946</v>
      </c>
      <c r="K30" s="2">
        <f t="shared" si="0"/>
        <v>27222</v>
      </c>
      <c r="L30" s="2">
        <f t="shared" si="0"/>
        <v>30458</v>
      </c>
      <c r="M30" s="2">
        <f t="shared" si="0"/>
        <v>27766</v>
      </c>
      <c r="N30" s="2">
        <f t="shared" si="0"/>
        <v>30370</v>
      </c>
      <c r="O30" s="2">
        <f t="shared" si="0"/>
        <v>30116</v>
      </c>
      <c r="P30" s="2">
        <f t="shared" si="0"/>
        <v>33535</v>
      </c>
      <c r="Q30" s="2">
        <f t="shared" si="0"/>
        <v>32308</v>
      </c>
      <c r="R30" s="2">
        <f t="shared" si="0"/>
        <v>34802</v>
      </c>
      <c r="S30" s="2">
        <f t="shared" si="0"/>
        <v>30703</v>
      </c>
      <c r="T30" s="2">
        <f t="shared" si="0"/>
        <v>34738</v>
      </c>
      <c r="U30" s="2">
        <f t="shared" si="0"/>
        <v>33757</v>
      </c>
      <c r="V30" s="2">
        <f t="shared" si="0"/>
        <v>35780</v>
      </c>
      <c r="W30" s="2">
        <f t="shared" si="0"/>
        <v>32000</v>
      </c>
      <c r="X30" s="2">
        <f t="shared" si="0"/>
        <v>35382</v>
      </c>
      <c r="Y30" s="2">
        <f t="shared" si="0"/>
        <v>34527</v>
      </c>
      <c r="Z30" s="2">
        <f t="shared" si="0"/>
        <v>37115</v>
      </c>
      <c r="AA30" s="2">
        <f t="shared" si="0"/>
        <v>33240</v>
      </c>
      <c r="AB30" s="2">
        <f t="shared" si="0"/>
        <v>38322</v>
      </c>
      <c r="AC30" s="2">
        <f t="shared" si="0"/>
        <v>38262</v>
      </c>
      <c r="AD30" s="2">
        <f t="shared" si="0"/>
        <v>41174</v>
      </c>
      <c r="AE30" s="2">
        <f t="shared" si="0"/>
        <v>37799</v>
      </c>
      <c r="AF30" s="2">
        <f t="shared" si="0"/>
        <v>40854</v>
      </c>
      <c r="AG30" s="2">
        <f t="shared" si="0"/>
        <v>40421</v>
      </c>
      <c r="AH30" s="2">
        <f t="shared" si="0"/>
        <v>43171</v>
      </c>
      <c r="AI30" s="2">
        <f t="shared" si="0"/>
        <v>38761</v>
      </c>
      <c r="AJ30" s="2">
        <f t="shared" si="0"/>
        <v>42761</v>
      </c>
      <c r="AK30" s="2">
        <f t="shared" si="0"/>
        <v>42710</v>
      </c>
      <c r="AL30" s="2">
        <f t="shared" si="0"/>
        <v>44757</v>
      </c>
      <c r="AM30" s="2">
        <f t="shared" si="0"/>
        <v>39882</v>
      </c>
      <c r="AN30" s="2">
        <f t="shared" si="0"/>
        <v>42174</v>
      </c>
      <c r="AO30" s="2">
        <f t="shared" si="0"/>
        <v>40617</v>
      </c>
      <c r="AP30" s="2">
        <f t="shared" si="0"/>
        <v>44073</v>
      </c>
      <c r="AQ30" s="2">
        <f t="shared" si="0"/>
        <v>42756</v>
      </c>
      <c r="AR30" s="2">
        <f t="shared" si="0"/>
        <v>46234</v>
      </c>
      <c r="AS30" s="2">
        <f t="shared" si="0"/>
        <v>44811</v>
      </c>
      <c r="AT30" s="2">
        <f t="shared" si="0"/>
        <v>47464</v>
      </c>
      <c r="AU30" s="2">
        <f t="shared" si="0"/>
        <v>44115</v>
      </c>
      <c r="AV30" s="2">
        <f t="shared" si="0"/>
        <v>47741</v>
      </c>
      <c r="AW30" s="2">
        <f t="shared" si="0"/>
        <v>47746</v>
      </c>
      <c r="AX30" s="2">
        <f t="shared" si="0"/>
        <v>49771</v>
      </c>
      <c r="AY30" s="2">
        <f t="shared" si="0"/>
        <v>46729</v>
      </c>
      <c r="AZ30" s="2">
        <f t="shared" si="0"/>
        <v>51000</v>
      </c>
      <c r="BA30" s="2">
        <f t="shared" si="0"/>
        <v>50258</v>
      </c>
      <c r="BB30" s="2">
        <f t="shared" si="0"/>
        <v>53567</v>
      </c>
      <c r="BC30" s="2">
        <f t="shared" si="0"/>
        <v>47349</v>
      </c>
      <c r="BD30" s="2">
        <f t="shared" si="0"/>
        <v>51455</v>
      </c>
      <c r="BE30" s="2">
        <f t="shared" si="0"/>
        <v>50173</v>
      </c>
      <c r="BF30" s="2">
        <f t="shared" si="0"/>
        <v>49264</v>
      </c>
      <c r="BG30" s="2">
        <f t="shared" si="0"/>
        <v>45427</v>
      </c>
      <c r="BH30" s="2">
        <f t="shared" si="0"/>
        <v>52589</v>
      </c>
      <c r="BI30" s="2">
        <f t="shared" si="0"/>
        <v>46871</v>
      </c>
      <c r="BJ30" s="2">
        <f t="shared" si="0"/>
        <v>49836</v>
      </c>
      <c r="BK30" s="2">
        <f t="shared" si="0"/>
        <v>48106</v>
      </c>
      <c r="BL30" s="2">
        <f t="shared" si="0"/>
        <v>56601</v>
      </c>
      <c r="BM30" s="2">
        <f t="shared" si="0"/>
        <v>54922</v>
      </c>
      <c r="BN30" s="2">
        <f t="shared" si="0"/>
        <v>49491</v>
      </c>
      <c r="BO30" s="2">
        <f t="shared" si="0"/>
        <v>46135</v>
      </c>
    </row>
    <row r="31" spans="1:67" x14ac:dyDescent="0.2">
      <c r="D31" s="2">
        <v>28705</v>
      </c>
      <c r="G31" s="2">
        <v>25494</v>
      </c>
      <c r="H31" s="2">
        <v>27353</v>
      </c>
      <c r="J31" s="2">
        <v>29946</v>
      </c>
      <c r="K31" s="2">
        <v>27222</v>
      </c>
      <c r="L31" s="2">
        <v>30461</v>
      </c>
      <c r="M31" s="2">
        <v>27765</v>
      </c>
      <c r="N31" s="2">
        <v>30369</v>
      </c>
      <c r="O31" s="2">
        <v>30117</v>
      </c>
      <c r="P31" s="2">
        <v>33537</v>
      </c>
      <c r="Q31" s="2">
        <v>32307</v>
      </c>
      <c r="R31" s="2">
        <v>34803</v>
      </c>
      <c r="S31" s="2">
        <v>30703</v>
      </c>
      <c r="T31" s="9">
        <f>133427-R31-S31-U31</f>
        <v>34164</v>
      </c>
      <c r="U31" s="2">
        <v>33757</v>
      </c>
      <c r="V31" s="2">
        <v>35781</v>
      </c>
      <c r="W31" s="2">
        <v>31999</v>
      </c>
      <c r="X31" s="2">
        <v>35381</v>
      </c>
      <c r="Y31" s="2">
        <v>34527</v>
      </c>
      <c r="Z31" s="2">
        <v>37116</v>
      </c>
      <c r="AA31" s="2">
        <v>33240</v>
      </c>
      <c r="AB31" s="2">
        <v>38321</v>
      </c>
      <c r="AC31" s="2">
        <v>38261</v>
      </c>
      <c r="AD31" s="2">
        <v>41174</v>
      </c>
      <c r="AE31" s="2">
        <v>37799</v>
      </c>
      <c r="AF31" s="2">
        <v>40854</v>
      </c>
      <c r="AG31" s="2">
        <v>40421</v>
      </c>
      <c r="AH31" s="2">
        <v>43170</v>
      </c>
      <c r="AI31" s="2">
        <v>38760</v>
      </c>
      <c r="AJ31" s="2">
        <f>85352-42594</f>
        <v>42758</v>
      </c>
      <c r="AK31" s="2">
        <v>42711</v>
      </c>
      <c r="AL31" s="2">
        <v>44758</v>
      </c>
      <c r="AM31" s="2">
        <v>39882</v>
      </c>
      <c r="AN31" s="2">
        <v>42173</v>
      </c>
      <c r="AO31" s="2">
        <v>40617</v>
      </c>
      <c r="AP31" s="2">
        <v>44076</v>
      </c>
      <c r="AQ31" s="2">
        <v>42757</v>
      </c>
      <c r="AR31" s="2">
        <v>46232</v>
      </c>
      <c r="AS31" s="2">
        <v>44911</v>
      </c>
      <c r="AT31" s="2">
        <v>47465</v>
      </c>
      <c r="AU31" s="2">
        <v>44116</v>
      </c>
      <c r="AV31" s="2">
        <v>47741</v>
      </c>
      <c r="AW31" s="2">
        <v>47745</v>
      </c>
      <c r="AX31" s="2">
        <v>49771</v>
      </c>
      <c r="AY31" s="2">
        <v>46727</v>
      </c>
      <c r="AZ31" s="2">
        <v>50989</v>
      </c>
      <c r="BA31" s="2">
        <v>50256</v>
      </c>
      <c r="BB31" s="2">
        <v>53566</v>
      </c>
      <c r="BC31" s="2">
        <v>47349</v>
      </c>
      <c r="BD31" s="2">
        <v>51339</v>
      </c>
      <c r="BE31" s="2">
        <v>50226</v>
      </c>
      <c r="BF31" s="2">
        <v>49282</v>
      </c>
      <c r="BG31" s="2">
        <v>45573</v>
      </c>
      <c r="BH31" s="2">
        <v>52589</v>
      </c>
      <c r="BI31" s="2">
        <v>46895</v>
      </c>
      <c r="BJ31" s="8">
        <v>50064</v>
      </c>
      <c r="BK31" s="8">
        <v>48264</v>
      </c>
      <c r="BL31" s="8">
        <v>56837</v>
      </c>
      <c r="BM31" s="8">
        <v>55485</v>
      </c>
      <c r="BN31" s="8">
        <v>56959</v>
      </c>
      <c r="BO31" s="8">
        <v>53257</v>
      </c>
    </row>
    <row r="33" spans="1:36" x14ac:dyDescent="0.2">
      <c r="A33" s="1" t="s">
        <v>55</v>
      </c>
      <c r="N33" s="2">
        <v>30420</v>
      </c>
      <c r="O33" s="2">
        <v>29880</v>
      </c>
      <c r="P33" s="2">
        <v>33970</v>
      </c>
      <c r="Q33" s="2">
        <v>32740</v>
      </c>
      <c r="R33" s="2">
        <v>34960</v>
      </c>
      <c r="S33" s="2">
        <v>30560</v>
      </c>
      <c r="T33" s="2">
        <v>35110</v>
      </c>
      <c r="U33" s="2">
        <v>33650</v>
      </c>
      <c r="V33" s="2">
        <v>35850</v>
      </c>
      <c r="W33" s="2">
        <v>31940</v>
      </c>
      <c r="X33" s="2">
        <v>35440</v>
      </c>
      <c r="Y33" s="2">
        <v>34680</v>
      </c>
      <c r="Z33" s="2">
        <v>37270</v>
      </c>
      <c r="AA33" s="2">
        <v>33470</v>
      </c>
      <c r="AB33" s="2">
        <v>38540</v>
      </c>
      <c r="AC33" s="2">
        <v>38260</v>
      </c>
      <c r="AD33" s="2">
        <v>41170</v>
      </c>
      <c r="AE33" s="2">
        <v>37782</v>
      </c>
      <c r="AF33" s="2">
        <v>40854</v>
      </c>
      <c r="AG33" s="2">
        <v>40438</v>
      </c>
      <c r="AH33" s="2">
        <v>43116</v>
      </c>
      <c r="AI33" s="2">
        <v>38929</v>
      </c>
      <c r="AJ33" s="2">
        <v>43134</v>
      </c>
    </row>
    <row r="35" spans="1:36" x14ac:dyDescent="0.2">
      <c r="A35" s="2" t="s">
        <v>56</v>
      </c>
    </row>
  </sheetData>
  <pageMargins left="0.75" right="0.75" top="1" bottom="1" header="0.5" footer="0.5"/>
  <pageSetup orientation="portrait" horizont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ABDD-C455-4D42-9758-D02E16B7908D}">
  <dimension ref="A1:BK31"/>
  <sheetViews>
    <sheetView workbookViewId="0">
      <pane xSplit="2" ySplit="4" topLeftCell="AY8" activePane="bottomRight" state="frozen"/>
      <selection pane="topRight"/>
      <selection pane="bottomLeft"/>
      <selection pane="bottomRight"/>
    </sheetView>
  </sheetViews>
  <sheetFormatPr defaultColWidth="8.7109375" defaultRowHeight="12.75" x14ac:dyDescent="0.2"/>
  <cols>
    <col min="1" max="16384" width="8.7109375" style="2"/>
  </cols>
  <sheetData>
    <row r="1" spans="1:63" x14ac:dyDescent="0.2">
      <c r="A1" s="1" t="s">
        <v>57</v>
      </c>
      <c r="AW1" s="4">
        <v>39717</v>
      </c>
      <c r="AX1" s="4">
        <v>39717</v>
      </c>
      <c r="BC1" s="5">
        <v>40599</v>
      </c>
      <c r="BD1" s="5">
        <v>40599</v>
      </c>
      <c r="BE1" s="5">
        <v>40599</v>
      </c>
      <c r="BF1" s="5">
        <v>40599</v>
      </c>
      <c r="BG1" s="5">
        <v>40599</v>
      </c>
      <c r="BH1" s="5">
        <v>40599</v>
      </c>
    </row>
    <row r="2" spans="1:63" x14ac:dyDescent="0.2">
      <c r="A2" s="1"/>
      <c r="AQ2" s="6">
        <v>39801</v>
      </c>
      <c r="AR2" s="6">
        <v>39801</v>
      </c>
      <c r="AS2" s="6">
        <v>39717</v>
      </c>
      <c r="AT2" s="6">
        <v>39717</v>
      </c>
      <c r="AU2" s="6">
        <v>40165</v>
      </c>
      <c r="AV2" s="6">
        <v>40165</v>
      </c>
      <c r="AY2" s="6">
        <v>40269</v>
      </c>
      <c r="AZ2" s="6">
        <v>40269</v>
      </c>
      <c r="BA2" s="6">
        <v>40269</v>
      </c>
      <c r="BB2" s="6">
        <v>40269</v>
      </c>
      <c r="BC2" s="6">
        <v>40298</v>
      </c>
      <c r="BD2" s="6">
        <v>40298</v>
      </c>
      <c r="BE2" s="6">
        <v>40298</v>
      </c>
      <c r="BF2" s="6">
        <v>40298</v>
      </c>
      <c r="BG2" s="6"/>
      <c r="BH2" s="6"/>
    </row>
    <row r="3" spans="1:63" x14ac:dyDescent="0.2">
      <c r="A3" s="2" t="s">
        <v>58</v>
      </c>
      <c r="C3" s="2" t="s">
        <v>27</v>
      </c>
      <c r="D3" s="2" t="s">
        <v>24</v>
      </c>
      <c r="E3" s="2" t="s">
        <v>25</v>
      </c>
      <c r="F3" s="2" t="s">
        <v>26</v>
      </c>
      <c r="G3" s="7" t="s">
        <v>27</v>
      </c>
      <c r="H3" s="7" t="s">
        <v>24</v>
      </c>
      <c r="I3" s="2" t="s">
        <v>25</v>
      </c>
      <c r="J3" s="7" t="s">
        <v>26</v>
      </c>
      <c r="K3" s="7" t="s">
        <v>27</v>
      </c>
      <c r="L3" s="2" t="s">
        <v>24</v>
      </c>
      <c r="M3" s="2" t="s">
        <v>25</v>
      </c>
      <c r="N3" s="7" t="s">
        <v>26</v>
      </c>
      <c r="O3" s="7" t="s">
        <v>27</v>
      </c>
      <c r="P3" s="7" t="s">
        <v>24</v>
      </c>
      <c r="Q3" s="7" t="s">
        <v>25</v>
      </c>
      <c r="R3" s="7" t="s">
        <v>26</v>
      </c>
      <c r="S3" s="7" t="s">
        <v>27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24</v>
      </c>
      <c r="AC3" s="7" t="s">
        <v>25</v>
      </c>
      <c r="AD3" s="7" t="s">
        <v>28</v>
      </c>
      <c r="AE3" s="7" t="s">
        <v>27</v>
      </c>
      <c r="AF3" s="7" t="s">
        <v>24</v>
      </c>
      <c r="AG3" s="7" t="s">
        <v>25</v>
      </c>
      <c r="AH3" s="7" t="s">
        <v>26</v>
      </c>
      <c r="AI3" s="7" t="s">
        <v>27</v>
      </c>
      <c r="AJ3" s="7" t="s">
        <v>24</v>
      </c>
      <c r="AK3" s="7" t="s">
        <v>25</v>
      </c>
      <c r="AL3" s="7" t="s">
        <v>26</v>
      </c>
      <c r="AM3" s="7" t="s">
        <v>27</v>
      </c>
      <c r="AN3" s="7" t="s">
        <v>24</v>
      </c>
      <c r="AO3" s="7" t="s">
        <v>25</v>
      </c>
      <c r="AP3" s="7" t="s">
        <v>26</v>
      </c>
      <c r="AQ3" s="7" t="s">
        <v>27</v>
      </c>
      <c r="AR3" s="7" t="s">
        <v>24</v>
      </c>
      <c r="AS3" s="7" t="s">
        <v>25</v>
      </c>
      <c r="AT3" s="7" t="s">
        <v>26</v>
      </c>
      <c r="AU3" s="7" t="s">
        <v>27</v>
      </c>
      <c r="AV3" s="7" t="s">
        <v>24</v>
      </c>
      <c r="AW3" s="7" t="s">
        <v>25</v>
      </c>
      <c r="AX3" s="7" t="s">
        <v>26</v>
      </c>
      <c r="AY3" s="7" t="s">
        <v>27</v>
      </c>
      <c r="AZ3" s="7" t="s">
        <v>24</v>
      </c>
      <c r="BA3" s="7" t="s">
        <v>25</v>
      </c>
      <c r="BB3" s="7" t="s">
        <v>26</v>
      </c>
      <c r="BC3" s="7" t="s">
        <v>27</v>
      </c>
      <c r="BD3" s="7" t="s">
        <v>24</v>
      </c>
      <c r="BE3" s="7" t="s">
        <v>25</v>
      </c>
      <c r="BF3" s="7" t="s">
        <v>26</v>
      </c>
      <c r="BG3" s="7" t="s">
        <v>27</v>
      </c>
      <c r="BH3" s="7" t="s">
        <v>24</v>
      </c>
      <c r="BI3" s="7" t="s">
        <v>25</v>
      </c>
      <c r="BJ3" s="7" t="s">
        <v>26</v>
      </c>
      <c r="BK3" s="7" t="s">
        <v>27</v>
      </c>
    </row>
    <row r="4" spans="1:63" x14ac:dyDescent="0.2">
      <c r="A4" s="2" t="s">
        <v>59</v>
      </c>
      <c r="C4" s="2">
        <v>1996</v>
      </c>
      <c r="D4" s="2">
        <v>1997</v>
      </c>
      <c r="E4" s="2">
        <v>1997</v>
      </c>
      <c r="F4" s="2">
        <v>1997</v>
      </c>
      <c r="G4" s="2">
        <v>1997</v>
      </c>
      <c r="H4" s="2">
        <v>1998</v>
      </c>
      <c r="I4" s="2">
        <v>1998</v>
      </c>
      <c r="J4" s="2">
        <v>1998</v>
      </c>
      <c r="K4" s="2">
        <v>1998</v>
      </c>
      <c r="L4" s="2">
        <v>1999</v>
      </c>
      <c r="M4" s="2">
        <v>1999</v>
      </c>
      <c r="N4" s="2">
        <v>1999</v>
      </c>
      <c r="O4" s="2">
        <v>1999</v>
      </c>
      <c r="P4" s="2">
        <v>2000</v>
      </c>
      <c r="Q4" s="2">
        <v>2000</v>
      </c>
      <c r="R4" s="2">
        <v>2000</v>
      </c>
      <c r="S4" s="2">
        <v>2000</v>
      </c>
      <c r="T4" s="2">
        <v>2001</v>
      </c>
      <c r="U4" s="2">
        <v>2001</v>
      </c>
      <c r="V4" s="2">
        <v>2001</v>
      </c>
      <c r="W4" s="2">
        <v>2001</v>
      </c>
      <c r="X4" s="2">
        <v>2002</v>
      </c>
      <c r="Y4" s="2">
        <v>2002</v>
      </c>
      <c r="Z4" s="2">
        <v>2002</v>
      </c>
      <c r="AA4" s="2">
        <v>2002</v>
      </c>
      <c r="AB4" s="2">
        <v>2003</v>
      </c>
      <c r="AC4" s="2">
        <v>2003</v>
      </c>
      <c r="AD4" s="2">
        <v>2003</v>
      </c>
      <c r="AE4" s="2">
        <v>2003</v>
      </c>
      <c r="AF4" s="2">
        <v>2004</v>
      </c>
      <c r="AG4" s="2">
        <v>2004</v>
      </c>
      <c r="AH4" s="2">
        <v>2004</v>
      </c>
      <c r="AI4" s="2">
        <v>2004</v>
      </c>
      <c r="AJ4" s="2">
        <v>2005</v>
      </c>
      <c r="AK4" s="2">
        <v>2005</v>
      </c>
      <c r="AL4" s="2">
        <v>2005</v>
      </c>
      <c r="AM4" s="2">
        <v>2005</v>
      </c>
      <c r="AN4" s="2">
        <v>2006</v>
      </c>
      <c r="AO4" s="2">
        <v>2006</v>
      </c>
      <c r="AP4" s="2">
        <v>2006</v>
      </c>
      <c r="AQ4" s="2">
        <v>2006</v>
      </c>
      <c r="AR4" s="2">
        <v>2007</v>
      </c>
      <c r="AS4" s="2">
        <v>2007</v>
      </c>
      <c r="AT4" s="2">
        <v>2007</v>
      </c>
      <c r="AU4" s="2">
        <v>2007</v>
      </c>
      <c r="AV4" s="2">
        <v>2008</v>
      </c>
      <c r="AW4" s="2">
        <v>2008</v>
      </c>
      <c r="AX4" s="2">
        <v>2008</v>
      </c>
      <c r="AY4" s="2">
        <v>2008</v>
      </c>
      <c r="AZ4" s="2">
        <v>2009</v>
      </c>
      <c r="BA4" s="2">
        <v>2009</v>
      </c>
      <c r="BB4" s="2">
        <v>2009</v>
      </c>
      <c r="BC4" s="2">
        <v>2009</v>
      </c>
      <c r="BD4" s="2">
        <v>2010</v>
      </c>
      <c r="BE4" s="2">
        <v>2010</v>
      </c>
      <c r="BF4" s="2">
        <v>2010</v>
      </c>
      <c r="BG4" s="2">
        <v>2010</v>
      </c>
      <c r="BH4" s="2">
        <v>2011</v>
      </c>
      <c r="BI4" s="2">
        <v>2011</v>
      </c>
      <c r="BJ4" s="2">
        <v>2011</v>
      </c>
      <c r="BK4" s="2">
        <v>2011</v>
      </c>
    </row>
    <row r="6" spans="1:63" x14ac:dyDescent="0.2">
      <c r="A6" s="2" t="s">
        <v>30</v>
      </c>
      <c r="C6" s="2">
        <v>1721</v>
      </c>
      <c r="D6" s="2">
        <v>1668</v>
      </c>
      <c r="E6" s="2">
        <v>1413</v>
      </c>
      <c r="F6" s="2">
        <v>964</v>
      </c>
      <c r="G6" s="2">
        <v>1680</v>
      </c>
      <c r="H6" s="2">
        <v>1572</v>
      </c>
      <c r="I6" s="2">
        <v>1311</v>
      </c>
      <c r="J6" s="2">
        <v>749</v>
      </c>
      <c r="K6" s="2">
        <v>1746</v>
      </c>
      <c r="L6" s="2">
        <v>1519</v>
      </c>
      <c r="N6" s="2">
        <v>817</v>
      </c>
      <c r="O6" s="2">
        <v>1387</v>
      </c>
      <c r="P6" s="2">
        <v>1336</v>
      </c>
      <c r="Q6" s="2">
        <v>1287</v>
      </c>
      <c r="R6" s="2">
        <v>1033</v>
      </c>
      <c r="S6" s="2">
        <v>1426</v>
      </c>
      <c r="T6" s="2">
        <v>1280</v>
      </c>
      <c r="U6" s="2">
        <v>1213</v>
      </c>
      <c r="V6" s="2">
        <v>937</v>
      </c>
      <c r="W6" s="2">
        <v>1209</v>
      </c>
      <c r="X6" s="2">
        <v>911</v>
      </c>
      <c r="Y6" s="2">
        <v>780</v>
      </c>
      <c r="Z6" s="2">
        <v>681</v>
      </c>
      <c r="AA6" s="2">
        <v>1175</v>
      </c>
      <c r="AB6" s="2">
        <v>943</v>
      </c>
      <c r="AC6" s="2">
        <f>1651-803</f>
        <v>848</v>
      </c>
      <c r="AD6" s="2">
        <v>913</v>
      </c>
      <c r="AE6" s="2">
        <v>1579</v>
      </c>
      <c r="AF6" s="2">
        <v>1333</v>
      </c>
      <c r="AG6" s="2">
        <v>1137</v>
      </c>
      <c r="AH6" s="2">
        <v>806</v>
      </c>
      <c r="AI6" s="2">
        <v>1338</v>
      </c>
      <c r="AJ6" s="2">
        <v>1132</v>
      </c>
      <c r="AK6" s="2">
        <v>943</v>
      </c>
      <c r="AL6" s="2">
        <v>691</v>
      </c>
      <c r="AM6" s="2">
        <v>1357</v>
      </c>
      <c r="AN6" s="2">
        <v>1435</v>
      </c>
      <c r="AO6" s="2">
        <v>1143</v>
      </c>
      <c r="AP6" s="2">
        <v>965</v>
      </c>
      <c r="AQ6" s="2">
        <v>1788</v>
      </c>
      <c r="AR6" s="2">
        <v>1538</v>
      </c>
      <c r="AS6" s="2">
        <v>1218</v>
      </c>
      <c r="AT6" s="2">
        <v>906</v>
      </c>
      <c r="AU6" s="2">
        <v>1343</v>
      </c>
      <c r="AV6" s="2">
        <v>1159</v>
      </c>
      <c r="AW6" s="10">
        <v>891</v>
      </c>
      <c r="AX6" s="10">
        <v>937</v>
      </c>
      <c r="AY6" s="2">
        <v>1798</v>
      </c>
      <c r="AZ6" s="2">
        <v>1619</v>
      </c>
      <c r="BA6" s="2">
        <v>1511</v>
      </c>
      <c r="BB6" s="2">
        <v>1218</v>
      </c>
      <c r="BC6" s="2">
        <v>1889</v>
      </c>
      <c r="BD6" s="2">
        <v>1620</v>
      </c>
      <c r="BE6" s="2">
        <v>1327</v>
      </c>
      <c r="BF6" s="2">
        <v>1114</v>
      </c>
    </row>
    <row r="7" spans="1:63" x14ac:dyDescent="0.2">
      <c r="A7" s="2" t="s">
        <v>31</v>
      </c>
      <c r="AD7" s="2">
        <v>333</v>
      </c>
      <c r="AE7" s="2">
        <v>562</v>
      </c>
      <c r="AF7" s="2">
        <v>445</v>
      </c>
      <c r="AG7" s="2">
        <v>386</v>
      </c>
      <c r="AH7" s="2">
        <v>356</v>
      </c>
      <c r="AI7" s="2">
        <v>594</v>
      </c>
      <c r="AW7" s="9"/>
      <c r="AX7" s="9"/>
    </row>
    <row r="8" spans="1:63" x14ac:dyDescent="0.2">
      <c r="A8" s="2" t="s">
        <v>32</v>
      </c>
      <c r="C8" s="2">
        <v>10</v>
      </c>
      <c r="D8" s="2">
        <v>9</v>
      </c>
      <c r="E8" s="2">
        <v>8</v>
      </c>
      <c r="F8" s="2">
        <v>6</v>
      </c>
      <c r="G8" s="2">
        <v>9</v>
      </c>
      <c r="H8" s="2">
        <v>7</v>
      </c>
      <c r="I8" s="2">
        <v>6</v>
      </c>
      <c r="J8" s="2">
        <v>5</v>
      </c>
      <c r="K8" s="2">
        <v>9</v>
      </c>
      <c r="L8" s="2">
        <v>7</v>
      </c>
      <c r="N8" s="2">
        <v>6</v>
      </c>
      <c r="O8" s="2">
        <v>8</v>
      </c>
      <c r="P8" s="2">
        <v>6</v>
      </c>
      <c r="Q8" s="2">
        <v>5</v>
      </c>
      <c r="R8" s="2">
        <v>6</v>
      </c>
      <c r="S8" s="2">
        <v>8</v>
      </c>
      <c r="T8" s="2">
        <v>3</v>
      </c>
      <c r="U8" s="2">
        <v>4</v>
      </c>
      <c r="V8" s="2">
        <v>4</v>
      </c>
      <c r="W8" s="2">
        <v>7</v>
      </c>
      <c r="X8" s="2">
        <v>4</v>
      </c>
      <c r="Y8" s="2">
        <f>8-Z8</f>
        <v>3</v>
      </c>
      <c r="Z8" s="2">
        <v>5</v>
      </c>
      <c r="AA8" s="2">
        <v>8</v>
      </c>
      <c r="AB8" s="2">
        <v>6</v>
      </c>
      <c r="AC8" s="2">
        <f>10-5</f>
        <v>5</v>
      </c>
      <c r="AW8" s="9"/>
      <c r="AX8" s="9"/>
    </row>
    <row r="9" spans="1:63" x14ac:dyDescent="0.2">
      <c r="A9" s="2" t="s">
        <v>33</v>
      </c>
      <c r="C9" s="2">
        <v>772</v>
      </c>
      <c r="D9" s="2">
        <v>714</v>
      </c>
      <c r="E9" s="2">
        <v>548</v>
      </c>
      <c r="F9" s="2">
        <v>449</v>
      </c>
      <c r="G9" s="2">
        <v>673</v>
      </c>
      <c r="H9" s="2">
        <v>600</v>
      </c>
      <c r="I9" s="2">
        <v>426</v>
      </c>
      <c r="J9" s="2">
        <v>434</v>
      </c>
      <c r="K9" s="2">
        <v>732</v>
      </c>
      <c r="L9" s="2">
        <v>622</v>
      </c>
      <c r="N9" s="2">
        <v>448</v>
      </c>
      <c r="O9" s="2">
        <v>681</v>
      </c>
      <c r="P9" s="2">
        <v>544</v>
      </c>
      <c r="Q9" s="2">
        <v>348</v>
      </c>
      <c r="R9" s="2">
        <v>401</v>
      </c>
      <c r="S9" s="2">
        <v>611</v>
      </c>
      <c r="T9" s="2">
        <v>426</v>
      </c>
      <c r="U9" s="2">
        <v>293</v>
      </c>
      <c r="V9" s="2">
        <v>355</v>
      </c>
      <c r="W9" s="2">
        <v>586</v>
      </c>
      <c r="X9" s="2">
        <v>427</v>
      </c>
      <c r="Y9" s="2">
        <v>338</v>
      </c>
      <c r="Z9" s="2">
        <v>369</v>
      </c>
      <c r="AA9" s="2">
        <v>607</v>
      </c>
      <c r="AB9" s="2">
        <v>420</v>
      </c>
      <c r="AC9" s="2">
        <f>762-422</f>
        <v>340</v>
      </c>
      <c r="AW9" s="9"/>
      <c r="AX9" s="9"/>
    </row>
    <row r="10" spans="1:63" x14ac:dyDescent="0.2">
      <c r="A10" s="2" t="s">
        <v>60</v>
      </c>
      <c r="AN10" s="2">
        <v>79</v>
      </c>
      <c r="AO10" s="2">
        <v>73</v>
      </c>
      <c r="AP10" s="2">
        <v>64</v>
      </c>
      <c r="AQ10" s="2">
        <v>92</v>
      </c>
      <c r="AR10" s="2">
        <v>78</v>
      </c>
      <c r="AS10" s="2">
        <v>101</v>
      </c>
      <c r="AT10" s="2">
        <v>94</v>
      </c>
      <c r="AU10" s="2">
        <v>71</v>
      </c>
      <c r="AV10" s="2">
        <v>60</v>
      </c>
      <c r="AW10" s="9">
        <v>64</v>
      </c>
      <c r="AX10" s="9">
        <v>68</v>
      </c>
      <c r="AY10" s="2">
        <v>121</v>
      </c>
      <c r="AZ10" s="2">
        <v>107</v>
      </c>
      <c r="BA10" s="2">
        <v>115</v>
      </c>
      <c r="BB10" s="2">
        <v>102</v>
      </c>
      <c r="BC10" s="2">
        <v>132</v>
      </c>
      <c r="BD10" s="2">
        <v>105</v>
      </c>
      <c r="BE10" s="2">
        <v>52</v>
      </c>
      <c r="BF10" s="2">
        <v>76</v>
      </c>
    </row>
    <row r="11" spans="1:63" x14ac:dyDescent="0.2">
      <c r="A11" s="2" t="s">
        <v>61</v>
      </c>
      <c r="AN11" s="2">
        <v>91</v>
      </c>
      <c r="AO11" s="2">
        <v>76</v>
      </c>
      <c r="AP11" s="2">
        <v>44</v>
      </c>
      <c r="AQ11" s="2">
        <v>91</v>
      </c>
      <c r="AR11" s="2">
        <v>92</v>
      </c>
      <c r="AS11" s="2">
        <v>79</v>
      </c>
      <c r="AT11" s="2">
        <v>42</v>
      </c>
      <c r="AU11" s="2">
        <v>77</v>
      </c>
      <c r="AV11" s="2">
        <v>72</v>
      </c>
      <c r="AW11" s="9">
        <v>63</v>
      </c>
      <c r="AX11" s="9">
        <v>41</v>
      </c>
      <c r="AY11" s="2">
        <v>77</v>
      </c>
      <c r="AZ11" s="2">
        <v>70</v>
      </c>
      <c r="BA11" s="2">
        <v>65</v>
      </c>
      <c r="BB11" s="2">
        <v>41</v>
      </c>
      <c r="BC11" s="2">
        <v>110</v>
      </c>
      <c r="BD11" s="2">
        <v>113</v>
      </c>
      <c r="BE11" s="2">
        <v>95</v>
      </c>
      <c r="BF11" s="2">
        <v>56</v>
      </c>
    </row>
    <row r="12" spans="1:63" x14ac:dyDescent="0.2">
      <c r="A12" s="2" t="s">
        <v>62</v>
      </c>
      <c r="AJ12" s="2">
        <v>145</v>
      </c>
      <c r="AK12" s="2">
        <v>89</v>
      </c>
      <c r="AL12" s="2">
        <v>77</v>
      </c>
      <c r="AM12" s="2">
        <v>165</v>
      </c>
      <c r="AW12" s="9"/>
      <c r="AX12" s="9"/>
    </row>
    <row r="13" spans="1:63" x14ac:dyDescent="0.2">
      <c r="A13" s="1" t="s">
        <v>63</v>
      </c>
      <c r="AJ13" s="2">
        <v>253</v>
      </c>
      <c r="AK13" s="2">
        <v>228</v>
      </c>
      <c r="AL13" s="2">
        <v>188</v>
      </c>
      <c r="AM13" s="2">
        <v>287</v>
      </c>
      <c r="AW13" s="9"/>
      <c r="AX13" s="9"/>
    </row>
    <row r="14" spans="1:63" x14ac:dyDescent="0.2">
      <c r="A14" s="2" t="s">
        <v>34</v>
      </c>
      <c r="C14" s="2">
        <v>1306</v>
      </c>
      <c r="D14" s="2">
        <v>807</v>
      </c>
      <c r="E14" s="2">
        <v>609</v>
      </c>
      <c r="F14" s="2">
        <v>491</v>
      </c>
      <c r="G14" s="2">
        <v>1451</v>
      </c>
      <c r="H14" s="2">
        <v>846</v>
      </c>
      <c r="I14" s="2">
        <v>546</v>
      </c>
      <c r="J14" s="2">
        <v>391</v>
      </c>
      <c r="K14" s="2">
        <v>1653</v>
      </c>
      <c r="L14" s="2">
        <v>1072</v>
      </c>
      <c r="N14" s="2">
        <v>388</v>
      </c>
      <c r="O14" s="2">
        <v>1860</v>
      </c>
      <c r="P14" s="2">
        <v>1577</v>
      </c>
      <c r="Q14" s="2">
        <v>1171</v>
      </c>
      <c r="R14" s="2">
        <v>785</v>
      </c>
      <c r="S14" s="2">
        <v>1951</v>
      </c>
      <c r="T14" s="2">
        <v>1788</v>
      </c>
      <c r="U14" s="2">
        <v>1146</v>
      </c>
      <c r="V14" s="2">
        <v>354</v>
      </c>
      <c r="W14" s="2">
        <v>999</v>
      </c>
      <c r="X14" s="2">
        <v>566</v>
      </c>
      <c r="Y14" s="2">
        <v>475</v>
      </c>
      <c r="Z14" s="2">
        <v>475</v>
      </c>
      <c r="AA14" s="2">
        <v>1131</v>
      </c>
      <c r="AB14" s="2">
        <v>890</v>
      </c>
      <c r="AC14" s="2">
        <f>1118-440</f>
        <v>678</v>
      </c>
      <c r="AD14" s="2">
        <v>442</v>
      </c>
      <c r="AE14" s="2">
        <v>1273</v>
      </c>
      <c r="AF14" s="2">
        <v>1089</v>
      </c>
      <c r="AG14" s="2">
        <v>958</v>
      </c>
      <c r="AH14" s="2">
        <v>748</v>
      </c>
      <c r="AI14" s="2">
        <v>1386</v>
      </c>
      <c r="AJ14" s="2">
        <v>1167</v>
      </c>
      <c r="AK14" s="2">
        <v>1109</v>
      </c>
      <c r="AL14" s="2">
        <v>882</v>
      </c>
      <c r="AM14" s="2">
        <v>1681</v>
      </c>
      <c r="AN14" s="2">
        <v>1415</v>
      </c>
      <c r="AO14" s="2">
        <v>1427</v>
      </c>
      <c r="AP14" s="2">
        <v>995</v>
      </c>
      <c r="AQ14" s="2">
        <v>1771</v>
      </c>
      <c r="AR14" s="2">
        <v>1590</v>
      </c>
      <c r="AS14" s="2">
        <v>1447</v>
      </c>
      <c r="AT14" s="2">
        <v>1109</v>
      </c>
      <c r="AU14" s="2">
        <v>1687</v>
      </c>
      <c r="AV14" s="2">
        <v>1329</v>
      </c>
      <c r="AW14" s="9">
        <v>1085</v>
      </c>
      <c r="AX14" s="9">
        <v>802</v>
      </c>
      <c r="AY14" s="2">
        <v>1961</v>
      </c>
      <c r="AZ14" s="2">
        <v>1723</v>
      </c>
      <c r="BA14" s="2">
        <v>1769</v>
      </c>
      <c r="BB14" s="2">
        <v>1279</v>
      </c>
      <c r="BC14" s="2">
        <v>2137</v>
      </c>
      <c r="BD14" s="2">
        <v>1590</v>
      </c>
      <c r="BE14" s="2">
        <v>1210</v>
      </c>
      <c r="BF14" s="2">
        <v>963</v>
      </c>
    </row>
    <row r="15" spans="1:63" x14ac:dyDescent="0.2">
      <c r="A15" s="2" t="s">
        <v>35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294</v>
      </c>
      <c r="W15" s="2">
        <v>736</v>
      </c>
      <c r="X15" s="2">
        <v>580</v>
      </c>
      <c r="Y15" s="2">
        <v>456</v>
      </c>
      <c r="Z15" s="2">
        <v>330</v>
      </c>
      <c r="AA15" s="2">
        <v>913</v>
      </c>
      <c r="AB15" s="2">
        <v>869</v>
      </c>
      <c r="AC15" s="2">
        <f>1252-444</f>
        <v>808</v>
      </c>
      <c r="AD15" s="2">
        <v>441</v>
      </c>
      <c r="AE15" s="2">
        <v>981</v>
      </c>
      <c r="AF15" s="2">
        <v>905</v>
      </c>
      <c r="AG15" s="2">
        <v>923</v>
      </c>
      <c r="AH15" s="2">
        <v>516</v>
      </c>
      <c r="AI15" s="2">
        <v>895</v>
      </c>
      <c r="AJ15" s="2">
        <v>832</v>
      </c>
      <c r="AK15" s="2">
        <v>773</v>
      </c>
      <c r="AL15" s="2">
        <v>453</v>
      </c>
      <c r="AM15" s="2">
        <v>1163</v>
      </c>
      <c r="AN15" s="2">
        <v>1268</v>
      </c>
      <c r="AO15" s="2">
        <v>1262</v>
      </c>
      <c r="AP15" s="2">
        <v>807</v>
      </c>
      <c r="AQ15" s="2">
        <v>1438</v>
      </c>
      <c r="AR15" s="2">
        <v>1405</v>
      </c>
      <c r="AS15" s="2">
        <v>1469</v>
      </c>
      <c r="AT15" s="2">
        <v>919</v>
      </c>
      <c r="AU15" s="2">
        <v>1540</v>
      </c>
      <c r="AV15" s="2">
        <v>1399</v>
      </c>
      <c r="AW15" s="9">
        <v>824</v>
      </c>
      <c r="AX15" s="9">
        <v>722</v>
      </c>
      <c r="AY15" s="2">
        <v>1614</v>
      </c>
      <c r="AZ15" s="2">
        <v>1700</v>
      </c>
      <c r="BA15" s="2">
        <v>1730</v>
      </c>
      <c r="BB15" s="2">
        <v>1203</v>
      </c>
      <c r="BC15" s="2">
        <v>2095</v>
      </c>
      <c r="BD15" s="2">
        <v>1864</v>
      </c>
      <c r="BE15" s="2">
        <v>1426</v>
      </c>
      <c r="BF15" s="2">
        <v>1080</v>
      </c>
    </row>
    <row r="16" spans="1:63" x14ac:dyDescent="0.2">
      <c r="A16" s="2" t="s">
        <v>64</v>
      </c>
      <c r="C16" s="2">
        <v>167</v>
      </c>
      <c r="D16" s="2">
        <v>174</v>
      </c>
      <c r="E16" s="2">
        <v>161</v>
      </c>
      <c r="F16" s="2">
        <v>129</v>
      </c>
      <c r="G16" s="2">
        <v>178</v>
      </c>
      <c r="H16" s="2">
        <v>113</v>
      </c>
      <c r="I16" s="2">
        <v>169</v>
      </c>
      <c r="J16" s="2">
        <v>180</v>
      </c>
      <c r="K16" s="2">
        <v>141</v>
      </c>
      <c r="L16" s="2">
        <v>81</v>
      </c>
      <c r="N16" s="2">
        <v>228</v>
      </c>
      <c r="O16" s="2">
        <v>211</v>
      </c>
      <c r="P16" s="2">
        <v>188</v>
      </c>
      <c r="Q16" s="2">
        <v>164</v>
      </c>
      <c r="R16" s="2">
        <v>196</v>
      </c>
      <c r="S16" s="2">
        <v>181</v>
      </c>
      <c r="T16" s="2">
        <v>197</v>
      </c>
      <c r="U16" s="2">
        <v>218</v>
      </c>
      <c r="V16" s="2">
        <v>190</v>
      </c>
      <c r="W16" s="2">
        <v>161</v>
      </c>
      <c r="X16" s="2">
        <v>184</v>
      </c>
      <c r="Y16" s="2">
        <v>213</v>
      </c>
      <c r="Z16" s="2">
        <v>228</v>
      </c>
      <c r="AA16" s="2">
        <v>206</v>
      </c>
      <c r="AB16" s="2">
        <v>188</v>
      </c>
      <c r="AC16" s="2">
        <f>435-210</f>
        <v>225</v>
      </c>
      <c r="AD16" s="2">
        <v>225</v>
      </c>
      <c r="AE16" s="2">
        <v>149</v>
      </c>
      <c r="AF16" s="2">
        <v>112</v>
      </c>
      <c r="AG16" s="2">
        <v>196</v>
      </c>
      <c r="AH16" s="2">
        <v>190</v>
      </c>
      <c r="AI16" s="2">
        <v>141</v>
      </c>
      <c r="AJ16" s="2">
        <v>114</v>
      </c>
      <c r="AK16" s="2">
        <v>188</v>
      </c>
      <c r="AL16" s="2">
        <v>183</v>
      </c>
      <c r="AM16" s="2">
        <v>137</v>
      </c>
      <c r="AN16" s="2">
        <v>108</v>
      </c>
      <c r="AO16" s="2">
        <v>156</v>
      </c>
      <c r="AP16" s="2">
        <v>144</v>
      </c>
      <c r="AQ16" s="2">
        <v>120</v>
      </c>
      <c r="AR16" s="2">
        <v>96</v>
      </c>
      <c r="AS16" s="2">
        <v>100</v>
      </c>
      <c r="AT16" s="2">
        <v>76</v>
      </c>
      <c r="AU16" s="2">
        <v>65</v>
      </c>
      <c r="AV16" s="2">
        <v>59</v>
      </c>
      <c r="AW16" s="9">
        <v>256</v>
      </c>
      <c r="AX16" s="9">
        <v>215</v>
      </c>
      <c r="AY16" s="2">
        <v>150</v>
      </c>
      <c r="AZ16" s="2">
        <v>120</v>
      </c>
      <c r="BA16" s="2">
        <v>249</v>
      </c>
      <c r="BB16" s="2">
        <v>239</v>
      </c>
      <c r="BC16" s="2">
        <v>179</v>
      </c>
      <c r="BD16" s="2">
        <v>143</v>
      </c>
      <c r="BE16" s="2">
        <v>173</v>
      </c>
      <c r="BF16" s="2">
        <v>170</v>
      </c>
    </row>
    <row r="17" spans="1:60" x14ac:dyDescent="0.2">
      <c r="A17" s="2" t="s">
        <v>37</v>
      </c>
      <c r="C17" s="2">
        <v>270</v>
      </c>
      <c r="D17" s="2">
        <v>243</v>
      </c>
      <c r="E17" s="2">
        <v>184</v>
      </c>
      <c r="F17" s="2">
        <v>208</v>
      </c>
      <c r="G17" s="2">
        <v>407</v>
      </c>
      <c r="H17" s="2">
        <v>345</v>
      </c>
      <c r="I17" s="2">
        <v>140</v>
      </c>
      <c r="J17" s="2">
        <v>38</v>
      </c>
      <c r="K17" s="2">
        <v>466</v>
      </c>
      <c r="L17" s="2">
        <v>420</v>
      </c>
      <c r="N17" s="2">
        <v>204</v>
      </c>
      <c r="O17" s="2">
        <v>400</v>
      </c>
      <c r="P17" s="2">
        <v>323</v>
      </c>
      <c r="Q17" s="2">
        <v>218</v>
      </c>
      <c r="R17" s="2">
        <v>162</v>
      </c>
      <c r="S17" s="2">
        <v>344</v>
      </c>
      <c r="T17" s="2">
        <v>296</v>
      </c>
      <c r="U17" s="2">
        <v>154</v>
      </c>
      <c r="V17" s="2">
        <v>128</v>
      </c>
      <c r="W17" s="2">
        <v>302</v>
      </c>
      <c r="X17" s="2">
        <v>253</v>
      </c>
      <c r="Y17" s="2">
        <v>144</v>
      </c>
      <c r="Z17" s="2">
        <v>23</v>
      </c>
      <c r="AA17" s="2">
        <v>136</v>
      </c>
      <c r="AB17" s="2">
        <v>83</v>
      </c>
      <c r="AC17" s="2">
        <f>128-84</f>
        <v>44</v>
      </c>
      <c r="AD17" s="2">
        <v>84</v>
      </c>
      <c r="AE17" s="2">
        <v>227</v>
      </c>
      <c r="AF17" s="2">
        <v>171</v>
      </c>
      <c r="AG17" s="2">
        <v>122</v>
      </c>
      <c r="AH17" s="2">
        <v>89</v>
      </c>
      <c r="AI17" s="2">
        <v>93</v>
      </c>
      <c r="AJ17" s="2">
        <v>110</v>
      </c>
      <c r="AK17" s="2">
        <v>40</v>
      </c>
      <c r="AL17" s="2">
        <v>32</v>
      </c>
      <c r="AM17" s="2">
        <v>178</v>
      </c>
      <c r="AN17" s="2">
        <v>166</v>
      </c>
      <c r="AO17" s="2">
        <v>124</v>
      </c>
      <c r="AP17" s="2">
        <v>129</v>
      </c>
      <c r="AQ17" s="2">
        <v>223</v>
      </c>
      <c r="AR17" s="2">
        <v>181</v>
      </c>
      <c r="AS17" s="2">
        <v>136</v>
      </c>
      <c r="AT17" s="2">
        <v>108</v>
      </c>
      <c r="AU17" s="2">
        <v>201</v>
      </c>
      <c r="AV17" s="2">
        <v>207</v>
      </c>
      <c r="AW17" s="9">
        <v>161</v>
      </c>
      <c r="AX17" s="9">
        <v>103</v>
      </c>
      <c r="AY17" s="2">
        <v>186</v>
      </c>
      <c r="AZ17" s="2">
        <v>176</v>
      </c>
      <c r="BA17" s="2">
        <v>175</v>
      </c>
      <c r="BB17" s="2">
        <v>161</v>
      </c>
      <c r="BC17" s="2">
        <v>210</v>
      </c>
      <c r="BD17" s="2">
        <v>202</v>
      </c>
      <c r="BE17" s="2">
        <v>146</v>
      </c>
      <c r="BF17" s="2">
        <v>132</v>
      </c>
    </row>
    <row r="18" spans="1:60" x14ac:dyDescent="0.2">
      <c r="A18" s="2" t="s">
        <v>38</v>
      </c>
      <c r="AD18" s="2">
        <v>34</v>
      </c>
      <c r="AE18" s="2">
        <v>25</v>
      </c>
      <c r="AF18" s="2">
        <v>7</v>
      </c>
      <c r="AG18" s="2">
        <v>4</v>
      </c>
      <c r="AH18" s="2">
        <v>2</v>
      </c>
      <c r="AI18" s="2">
        <v>3</v>
      </c>
      <c r="AJ18" s="7">
        <v>1</v>
      </c>
      <c r="AK18" s="7">
        <v>3</v>
      </c>
      <c r="AL18" s="7">
        <v>2</v>
      </c>
      <c r="AW18" s="9"/>
      <c r="AX18" s="9"/>
    </row>
    <row r="19" spans="1:60" x14ac:dyDescent="0.2">
      <c r="A19" s="2" t="s">
        <v>39</v>
      </c>
      <c r="C19" s="2">
        <v>1042</v>
      </c>
      <c r="D19" s="2">
        <v>1341</v>
      </c>
      <c r="E19" s="2">
        <v>1681</v>
      </c>
      <c r="F19" s="2">
        <v>1337</v>
      </c>
      <c r="G19" s="2">
        <v>1095</v>
      </c>
      <c r="H19" s="2">
        <v>1274</v>
      </c>
      <c r="I19" s="2">
        <v>1613</v>
      </c>
      <c r="J19" s="2">
        <v>1323</v>
      </c>
      <c r="K19" s="2">
        <v>747</v>
      </c>
      <c r="L19" s="2">
        <v>1420</v>
      </c>
      <c r="N19" s="2">
        <v>1578</v>
      </c>
      <c r="O19" s="2">
        <v>1012</v>
      </c>
      <c r="P19" s="2">
        <v>1580</v>
      </c>
      <c r="Q19" s="2">
        <v>1425</v>
      </c>
      <c r="R19" s="2">
        <v>1135</v>
      </c>
      <c r="S19" s="2">
        <v>1009</v>
      </c>
      <c r="T19" s="2">
        <v>967</v>
      </c>
      <c r="U19" s="2">
        <v>770</v>
      </c>
      <c r="V19" s="2">
        <v>750</v>
      </c>
      <c r="W19" s="2">
        <v>646</v>
      </c>
      <c r="X19" s="2">
        <v>751</v>
      </c>
      <c r="Y19" s="2">
        <f>1693-Z19</f>
        <v>1031</v>
      </c>
      <c r="Z19" s="2">
        <v>662</v>
      </c>
      <c r="AA19" s="2">
        <v>538</v>
      </c>
      <c r="AB19" s="2">
        <v>1192</v>
      </c>
      <c r="AC19" s="2">
        <f>1488-641</f>
        <v>847</v>
      </c>
      <c r="AD19" s="2">
        <v>641</v>
      </c>
      <c r="AE19" s="2">
        <v>606</v>
      </c>
      <c r="AF19" s="2">
        <v>860</v>
      </c>
      <c r="AG19" s="2">
        <v>683</v>
      </c>
      <c r="AH19" s="2">
        <v>695</v>
      </c>
      <c r="AI19" s="2">
        <v>620</v>
      </c>
      <c r="AJ19" s="2">
        <v>1001</v>
      </c>
      <c r="AK19" s="2">
        <v>985</v>
      </c>
      <c r="AL19" s="2">
        <v>927</v>
      </c>
      <c r="AM19" s="2">
        <v>651</v>
      </c>
      <c r="AN19" s="2">
        <v>1170</v>
      </c>
      <c r="AO19" s="2">
        <v>1146</v>
      </c>
      <c r="AP19" s="2">
        <v>881</v>
      </c>
      <c r="AQ19" s="2">
        <v>558</v>
      </c>
      <c r="AR19" s="2">
        <v>1081</v>
      </c>
      <c r="AS19" s="2">
        <v>859</v>
      </c>
      <c r="AT19" s="2">
        <v>772</v>
      </c>
      <c r="AU19" s="2">
        <v>348</v>
      </c>
      <c r="AV19" s="2">
        <v>1014</v>
      </c>
      <c r="AW19" s="9">
        <v>1328</v>
      </c>
      <c r="AX19" s="9">
        <v>1176</v>
      </c>
      <c r="AY19" s="2">
        <v>747</v>
      </c>
      <c r="AZ19" s="2">
        <v>1038</v>
      </c>
      <c r="BA19" s="2">
        <v>994</v>
      </c>
      <c r="BB19" s="2">
        <v>841</v>
      </c>
      <c r="BC19" s="2">
        <v>590</v>
      </c>
      <c r="BD19" s="2">
        <v>679</v>
      </c>
      <c r="BE19" s="2">
        <v>670</v>
      </c>
      <c r="BF19" s="2">
        <v>561</v>
      </c>
    </row>
    <row r="20" spans="1:60" x14ac:dyDescent="0.2">
      <c r="A20" s="2" t="s">
        <v>41</v>
      </c>
      <c r="AD20" s="2">
        <v>15</v>
      </c>
      <c r="AE20" s="2">
        <v>19</v>
      </c>
      <c r="AF20" s="2">
        <v>13</v>
      </c>
      <c r="AG20" s="2">
        <v>20</v>
      </c>
      <c r="AH20" s="2">
        <v>21</v>
      </c>
      <c r="AI20" s="2">
        <v>24</v>
      </c>
      <c r="AJ20" s="7">
        <v>15</v>
      </c>
      <c r="AK20" s="7">
        <v>17</v>
      </c>
      <c r="AL20" s="7">
        <v>18</v>
      </c>
      <c r="AM20" s="11"/>
      <c r="AW20" s="9"/>
      <c r="AX20" s="9"/>
    </row>
    <row r="21" spans="1:60" x14ac:dyDescent="0.2">
      <c r="A21" s="2" t="s">
        <v>65</v>
      </c>
      <c r="AJ21" s="11">
        <v>75</v>
      </c>
      <c r="AK21" s="11">
        <v>104</v>
      </c>
      <c r="AL21" s="11">
        <v>95</v>
      </c>
      <c r="AM21" s="11">
        <v>77</v>
      </c>
      <c r="AN21" s="11">
        <v>73</v>
      </c>
      <c r="AO21" s="11">
        <v>100</v>
      </c>
      <c r="AP21" s="11">
        <v>94</v>
      </c>
      <c r="AQ21" s="11">
        <v>77</v>
      </c>
      <c r="AR21" s="11">
        <v>72</v>
      </c>
      <c r="AS21" s="11">
        <v>99</v>
      </c>
      <c r="AT21" s="11">
        <v>93</v>
      </c>
      <c r="AU21" s="11">
        <v>77</v>
      </c>
      <c r="AV21" s="11">
        <v>72</v>
      </c>
      <c r="AW21" s="9">
        <v>99</v>
      </c>
      <c r="AX21" s="9">
        <v>93</v>
      </c>
      <c r="AY21" s="2">
        <v>77</v>
      </c>
      <c r="AZ21" s="2">
        <v>72</v>
      </c>
      <c r="BA21" s="2">
        <v>99</v>
      </c>
      <c r="BB21" s="2">
        <v>93</v>
      </c>
      <c r="BC21" s="2">
        <v>77</v>
      </c>
      <c r="BD21" s="2">
        <v>72</v>
      </c>
      <c r="BE21" s="2">
        <v>99</v>
      </c>
      <c r="BF21" s="2">
        <v>93</v>
      </c>
    </row>
    <row r="22" spans="1:60" x14ac:dyDescent="0.2">
      <c r="A22" s="2" t="s">
        <v>43</v>
      </c>
      <c r="C22" s="2">
        <v>306</v>
      </c>
      <c r="D22" s="2">
        <v>301</v>
      </c>
      <c r="E22" s="2">
        <v>292</v>
      </c>
      <c r="F22" s="2">
        <v>272</v>
      </c>
      <c r="G22" s="2">
        <v>122</v>
      </c>
      <c r="H22" s="2">
        <v>120</v>
      </c>
      <c r="I22" s="2">
        <v>252</v>
      </c>
      <c r="J22" s="2">
        <v>137</v>
      </c>
      <c r="K22" s="2">
        <v>166</v>
      </c>
      <c r="L22" s="2">
        <v>158</v>
      </c>
      <c r="N22" s="2">
        <v>169</v>
      </c>
      <c r="O22" s="2">
        <v>213</v>
      </c>
      <c r="P22" s="2">
        <v>207</v>
      </c>
      <c r="Q22" s="2">
        <v>200</v>
      </c>
      <c r="R22" s="2">
        <v>193</v>
      </c>
      <c r="S22" s="2">
        <v>245</v>
      </c>
      <c r="T22" s="2">
        <v>244</v>
      </c>
      <c r="U22" s="2">
        <v>236</v>
      </c>
      <c r="V22" s="2">
        <v>205</v>
      </c>
      <c r="W22" s="2">
        <v>228</v>
      </c>
      <c r="X22" s="2">
        <v>224</v>
      </c>
      <c r="Y22" s="2">
        <v>217</v>
      </c>
      <c r="Z22" s="2">
        <v>203</v>
      </c>
      <c r="AA22" s="2">
        <v>233</v>
      </c>
      <c r="AB22" s="2">
        <v>225</v>
      </c>
      <c r="AC22" s="2">
        <f>427-206</f>
        <v>221</v>
      </c>
      <c r="AD22" s="2">
        <v>212</v>
      </c>
      <c r="AE22" s="2">
        <v>210</v>
      </c>
      <c r="AF22" s="2">
        <v>211</v>
      </c>
      <c r="AG22" s="2">
        <v>210</v>
      </c>
      <c r="AH22" s="2">
        <v>199</v>
      </c>
      <c r="AI22" s="2">
        <v>194</v>
      </c>
      <c r="AJ22" s="2">
        <v>187</v>
      </c>
      <c r="AK22" s="2">
        <v>169</v>
      </c>
      <c r="AL22" s="2">
        <v>173</v>
      </c>
      <c r="AM22" s="2">
        <v>216</v>
      </c>
      <c r="AN22" s="2">
        <v>213</v>
      </c>
      <c r="AO22" s="2">
        <v>193</v>
      </c>
      <c r="AP22" s="2">
        <v>187</v>
      </c>
      <c r="AQ22" s="2">
        <v>228</v>
      </c>
      <c r="AR22" s="11">
        <v>227</v>
      </c>
      <c r="AS22" s="11">
        <v>208</v>
      </c>
      <c r="AT22" s="11">
        <v>197</v>
      </c>
      <c r="AU22" s="11">
        <v>210</v>
      </c>
      <c r="AV22" s="11">
        <v>209</v>
      </c>
      <c r="AW22" s="9">
        <v>192</v>
      </c>
      <c r="AX22" s="9">
        <v>187</v>
      </c>
      <c r="AY22" s="2">
        <v>219</v>
      </c>
      <c r="AZ22" s="2">
        <v>218</v>
      </c>
      <c r="BA22" s="2">
        <v>201</v>
      </c>
      <c r="BB22" s="2">
        <v>192</v>
      </c>
      <c r="BC22" s="2">
        <v>219</v>
      </c>
      <c r="BD22" s="2">
        <v>218</v>
      </c>
      <c r="BE22" s="2">
        <v>201</v>
      </c>
      <c r="BF22" s="2">
        <v>192</v>
      </c>
    </row>
    <row r="23" spans="1:60" x14ac:dyDescent="0.2">
      <c r="A23" s="2" t="s">
        <v>44</v>
      </c>
      <c r="C23" s="2">
        <v>311</v>
      </c>
      <c r="D23" s="2">
        <v>354</v>
      </c>
      <c r="E23" s="2">
        <v>315</v>
      </c>
      <c r="F23" s="2">
        <v>214</v>
      </c>
      <c r="G23" s="2">
        <v>294</v>
      </c>
      <c r="H23" s="2">
        <v>304</v>
      </c>
      <c r="I23" s="2">
        <v>307</v>
      </c>
      <c r="J23" s="2">
        <v>196</v>
      </c>
      <c r="K23" s="2">
        <v>270</v>
      </c>
      <c r="L23" s="2">
        <v>342</v>
      </c>
      <c r="N23" s="2">
        <v>189</v>
      </c>
      <c r="O23" s="2">
        <v>275</v>
      </c>
      <c r="P23" s="2">
        <v>225</v>
      </c>
      <c r="Q23" s="2">
        <v>168</v>
      </c>
      <c r="R23" s="2">
        <v>122</v>
      </c>
      <c r="S23" s="2">
        <v>255</v>
      </c>
      <c r="T23" s="2">
        <v>185</v>
      </c>
      <c r="U23" s="2">
        <v>165</v>
      </c>
      <c r="V23" s="2">
        <v>106</v>
      </c>
      <c r="W23" s="2">
        <v>250</v>
      </c>
      <c r="X23" s="2">
        <v>215</v>
      </c>
      <c r="Y23" s="2">
        <v>175</v>
      </c>
      <c r="Z23" s="2">
        <v>65</v>
      </c>
      <c r="AA23" s="2">
        <v>270</v>
      </c>
      <c r="AB23" s="2">
        <v>250</v>
      </c>
      <c r="AC23" s="2">
        <f>450-183</f>
        <v>267</v>
      </c>
      <c r="AD23" s="2">
        <v>185</v>
      </c>
      <c r="AE23" s="2">
        <v>260</v>
      </c>
      <c r="AF23" s="2">
        <v>250</v>
      </c>
      <c r="AG23" s="2">
        <v>326</v>
      </c>
      <c r="AH23" s="2">
        <v>236</v>
      </c>
      <c r="AI23" s="2">
        <v>313</v>
      </c>
      <c r="AJ23" s="2">
        <v>333</v>
      </c>
      <c r="AK23" s="2">
        <v>358</v>
      </c>
      <c r="AL23" s="2">
        <v>206</v>
      </c>
      <c r="AM23" s="2">
        <v>313</v>
      </c>
      <c r="AN23" s="2">
        <v>330</v>
      </c>
      <c r="AO23" s="2">
        <v>481</v>
      </c>
      <c r="AP23" s="2">
        <v>276</v>
      </c>
      <c r="AQ23" s="2">
        <v>313</v>
      </c>
      <c r="AR23" s="11">
        <v>359</v>
      </c>
      <c r="AS23" s="11">
        <v>444</v>
      </c>
      <c r="AT23" s="11">
        <v>255</v>
      </c>
      <c r="AU23" s="11">
        <v>323</v>
      </c>
      <c r="AV23" s="2">
        <v>339</v>
      </c>
      <c r="AW23" s="10">
        <v>427</v>
      </c>
      <c r="AX23" s="10">
        <v>245</v>
      </c>
      <c r="AY23" s="2">
        <v>260</v>
      </c>
      <c r="AZ23" s="2">
        <v>230</v>
      </c>
      <c r="BA23" s="2">
        <v>378</v>
      </c>
      <c r="BB23" s="2">
        <v>212</v>
      </c>
      <c r="BC23" s="2">
        <v>224</v>
      </c>
      <c r="BD23" s="2">
        <v>235</v>
      </c>
      <c r="BE23" s="2">
        <v>302</v>
      </c>
      <c r="BF23" s="2">
        <v>169</v>
      </c>
    </row>
    <row r="24" spans="1:60" x14ac:dyDescent="0.2">
      <c r="A24" s="2" t="s">
        <v>66</v>
      </c>
      <c r="C24" s="2">
        <v>49</v>
      </c>
      <c r="D24" s="2">
        <v>41</v>
      </c>
      <c r="E24" s="2">
        <v>41</v>
      </c>
      <c r="F24" s="2">
        <v>53</v>
      </c>
      <c r="G24" s="2">
        <v>36</v>
      </c>
      <c r="H24" s="2">
        <v>35</v>
      </c>
      <c r="I24" s="2">
        <v>47</v>
      </c>
      <c r="J24" s="2">
        <v>45</v>
      </c>
      <c r="K24" s="2">
        <v>40</v>
      </c>
      <c r="L24" s="2">
        <v>39</v>
      </c>
      <c r="N24" s="2">
        <v>59</v>
      </c>
      <c r="O24" s="2">
        <v>53</v>
      </c>
      <c r="P24" s="2">
        <v>42</v>
      </c>
      <c r="Q24" s="2">
        <v>34</v>
      </c>
      <c r="R24" s="2">
        <v>47</v>
      </c>
      <c r="S24" s="2">
        <v>40</v>
      </c>
      <c r="T24" s="2">
        <v>34</v>
      </c>
      <c r="U24" s="2">
        <v>39</v>
      </c>
      <c r="V24" s="2">
        <v>18</v>
      </c>
      <c r="W24" s="2">
        <v>18</v>
      </c>
      <c r="X24" s="2">
        <v>17</v>
      </c>
      <c r="Y24" s="2">
        <v>30</v>
      </c>
      <c r="Z24" s="2">
        <v>27</v>
      </c>
      <c r="AA24" s="2">
        <v>26</v>
      </c>
      <c r="AB24" s="2">
        <v>56</v>
      </c>
      <c r="AC24" s="2">
        <f>83-46</f>
        <v>37</v>
      </c>
      <c r="AD24" s="2">
        <v>82</v>
      </c>
      <c r="AE24" s="2">
        <v>102</v>
      </c>
      <c r="AF24" s="2">
        <v>115</v>
      </c>
      <c r="AG24" s="2">
        <v>104</v>
      </c>
      <c r="AH24" s="2">
        <v>103</v>
      </c>
      <c r="AI24" s="2">
        <v>64</v>
      </c>
      <c r="AJ24" s="2">
        <v>64</v>
      </c>
      <c r="AK24" s="2">
        <v>100</v>
      </c>
      <c r="AL24" s="2">
        <v>94</v>
      </c>
      <c r="AM24" s="2">
        <v>57</v>
      </c>
      <c r="AN24" s="2">
        <v>77</v>
      </c>
      <c r="AO24" s="2">
        <v>105</v>
      </c>
      <c r="AP24" s="2">
        <v>144</v>
      </c>
      <c r="AQ24" s="2">
        <v>192</v>
      </c>
      <c r="AR24" s="11">
        <v>129</v>
      </c>
      <c r="AS24" s="11">
        <v>120</v>
      </c>
      <c r="AT24" s="11">
        <v>109</v>
      </c>
      <c r="AU24" s="11">
        <v>97</v>
      </c>
      <c r="AV24" s="11">
        <v>84</v>
      </c>
      <c r="AW24" s="9">
        <v>143</v>
      </c>
      <c r="AX24" s="9">
        <v>145</v>
      </c>
      <c r="AY24" s="2">
        <v>173</v>
      </c>
      <c r="AZ24" s="2">
        <v>120</v>
      </c>
      <c r="BA24" s="2">
        <v>190</v>
      </c>
      <c r="BB24" s="2">
        <v>167</v>
      </c>
      <c r="BC24" s="2">
        <v>154</v>
      </c>
      <c r="BD24" s="2">
        <v>59</v>
      </c>
      <c r="BE24" s="2">
        <v>190</v>
      </c>
      <c r="BF24" s="2">
        <v>157</v>
      </c>
    </row>
    <row r="25" spans="1:60" x14ac:dyDescent="0.2">
      <c r="A25" s="2" t="s">
        <v>52</v>
      </c>
      <c r="C25" s="2">
        <v>308</v>
      </c>
      <c r="D25" s="2">
        <v>329</v>
      </c>
      <c r="E25" s="2">
        <v>260</v>
      </c>
      <c r="F25" s="2">
        <v>190</v>
      </c>
      <c r="G25" s="2">
        <v>310</v>
      </c>
      <c r="H25" s="2">
        <v>345</v>
      </c>
      <c r="I25" s="2">
        <v>286</v>
      </c>
      <c r="J25" s="2">
        <v>250</v>
      </c>
      <c r="K25" s="2">
        <v>330</v>
      </c>
      <c r="L25" s="2">
        <v>399</v>
      </c>
      <c r="N25" s="2">
        <v>245</v>
      </c>
      <c r="O25" s="2">
        <v>350</v>
      </c>
      <c r="P25" s="2">
        <v>367</v>
      </c>
      <c r="Q25" s="2">
        <v>290</v>
      </c>
      <c r="R25" s="2">
        <v>202</v>
      </c>
      <c r="S25" s="2">
        <v>340</v>
      </c>
      <c r="T25" s="2">
        <v>306</v>
      </c>
      <c r="U25" s="2">
        <v>186</v>
      </c>
      <c r="V25" s="2">
        <v>160</v>
      </c>
      <c r="W25" s="2">
        <v>245</v>
      </c>
      <c r="X25" s="2">
        <v>168</v>
      </c>
      <c r="Y25" s="2">
        <v>133</v>
      </c>
      <c r="Z25" s="2">
        <v>181</v>
      </c>
      <c r="AA25" s="2">
        <v>315</v>
      </c>
      <c r="AB25" s="2">
        <v>245</v>
      </c>
      <c r="AC25" s="2">
        <f>375-192</f>
        <v>183</v>
      </c>
      <c r="AD25" s="2">
        <v>192</v>
      </c>
      <c r="AE25" s="2">
        <v>300</v>
      </c>
      <c r="AF25" s="2">
        <v>375</v>
      </c>
      <c r="AG25" s="2">
        <v>296</v>
      </c>
      <c r="AH25" s="2">
        <v>214</v>
      </c>
      <c r="AI25" s="2">
        <v>295</v>
      </c>
      <c r="AJ25" s="2">
        <v>315</v>
      </c>
      <c r="AK25" s="2">
        <v>272</v>
      </c>
      <c r="AL25" s="2">
        <v>218</v>
      </c>
      <c r="AM25" s="2">
        <v>298</v>
      </c>
      <c r="AN25" s="2">
        <v>323</v>
      </c>
      <c r="AO25" s="2">
        <v>285</v>
      </c>
      <c r="AP25" s="2">
        <v>194</v>
      </c>
      <c r="AQ25" s="2">
        <v>367</v>
      </c>
      <c r="AR25" s="11">
        <v>358</v>
      </c>
      <c r="AS25" s="11">
        <v>286</v>
      </c>
      <c r="AT25" s="11">
        <v>199</v>
      </c>
      <c r="AU25" s="11">
        <v>405</v>
      </c>
      <c r="AV25" s="11">
        <v>332</v>
      </c>
      <c r="AW25" s="9">
        <v>201</v>
      </c>
      <c r="AX25" s="9">
        <v>207</v>
      </c>
      <c r="AY25" s="2">
        <v>435</v>
      </c>
      <c r="AZ25" s="2">
        <v>343</v>
      </c>
      <c r="BA25" s="2">
        <v>181</v>
      </c>
      <c r="BB25" s="2">
        <v>226</v>
      </c>
      <c r="BC25" s="2">
        <v>445</v>
      </c>
      <c r="BD25" s="2">
        <v>300</v>
      </c>
      <c r="BE25" s="2">
        <v>229</v>
      </c>
      <c r="BF25" s="2">
        <v>227</v>
      </c>
    </row>
    <row r="26" spans="1:60" x14ac:dyDescent="0.2">
      <c r="A26" s="2" t="s">
        <v>67</v>
      </c>
      <c r="C26" s="2">
        <v>12</v>
      </c>
      <c r="D26" s="2">
        <v>29</v>
      </c>
      <c r="E26" s="2">
        <v>37</v>
      </c>
      <c r="F26" s="2">
        <v>44</v>
      </c>
      <c r="G26" s="2">
        <v>35</v>
      </c>
      <c r="H26" s="2">
        <v>35</v>
      </c>
      <c r="I26" s="2">
        <v>32</v>
      </c>
      <c r="J26" s="2">
        <v>27</v>
      </c>
      <c r="K26" s="2">
        <v>17</v>
      </c>
      <c r="L26" s="2">
        <v>33</v>
      </c>
      <c r="N26" s="2">
        <v>42</v>
      </c>
      <c r="O26" s="2">
        <v>41</v>
      </c>
      <c r="P26" s="2">
        <v>36</v>
      </c>
      <c r="Q26" s="2">
        <v>37</v>
      </c>
      <c r="R26" s="2">
        <v>36</v>
      </c>
      <c r="S26" s="2">
        <v>39</v>
      </c>
      <c r="T26" s="2">
        <v>27</v>
      </c>
      <c r="U26" s="2">
        <v>23</v>
      </c>
      <c r="V26" s="2">
        <v>18</v>
      </c>
      <c r="W26" s="2">
        <v>19</v>
      </c>
      <c r="X26" s="2">
        <v>17</v>
      </c>
      <c r="Y26" s="2">
        <v>22</v>
      </c>
      <c r="Z26" s="2">
        <v>15</v>
      </c>
      <c r="AA26" s="2">
        <v>11</v>
      </c>
      <c r="AB26" s="2">
        <v>10</v>
      </c>
      <c r="AC26" s="2">
        <f>17-4</f>
        <v>13</v>
      </c>
      <c r="AD26" s="2">
        <v>4</v>
      </c>
      <c r="AE26" s="2">
        <v>1</v>
      </c>
      <c r="AF26" s="2">
        <v>12</v>
      </c>
      <c r="AG26" s="2">
        <v>19</v>
      </c>
      <c r="AH26" s="2">
        <v>12</v>
      </c>
      <c r="AI26" s="2">
        <v>9</v>
      </c>
      <c r="AJ26" s="7">
        <v>14</v>
      </c>
      <c r="AK26" s="7">
        <v>20</v>
      </c>
      <c r="AL26" s="7">
        <v>14</v>
      </c>
      <c r="AV26" s="11"/>
      <c r="AW26" s="9"/>
      <c r="AX26" s="9"/>
    </row>
    <row r="27" spans="1:60" x14ac:dyDescent="0.2">
      <c r="A27" s="2" t="s">
        <v>53</v>
      </c>
      <c r="C27" s="2">
        <f>222+28</f>
        <v>250</v>
      </c>
      <c r="D27" s="2">
        <v>238</v>
      </c>
      <c r="E27" s="2">
        <v>259</v>
      </c>
      <c r="F27" s="2">
        <f>37+223</f>
        <v>260</v>
      </c>
      <c r="G27" s="2">
        <v>228</v>
      </c>
      <c r="H27" s="2">
        <v>210</v>
      </c>
      <c r="I27" s="2">
        <v>244</v>
      </c>
      <c r="J27" s="2">
        <v>222</v>
      </c>
      <c r="K27" s="2">
        <v>227</v>
      </c>
      <c r="L27" s="2">
        <v>220</v>
      </c>
      <c r="N27" s="2">
        <v>287</v>
      </c>
      <c r="O27" s="2">
        <v>265</v>
      </c>
      <c r="P27" s="2">
        <v>224</v>
      </c>
      <c r="Q27" s="2">
        <v>219</v>
      </c>
      <c r="R27" s="2">
        <v>252</v>
      </c>
      <c r="S27" s="2">
        <v>288</v>
      </c>
      <c r="T27" s="2">
        <v>225</v>
      </c>
      <c r="U27" s="2">
        <v>241</v>
      </c>
      <c r="V27" s="2">
        <v>305</v>
      </c>
      <c r="W27" s="2">
        <v>434</v>
      </c>
      <c r="X27" s="2">
        <v>342</v>
      </c>
      <c r="Y27" s="2">
        <v>368</v>
      </c>
      <c r="Z27" s="2">
        <v>323</v>
      </c>
      <c r="AA27" s="2">
        <v>514</v>
      </c>
      <c r="AB27" s="2">
        <v>422</v>
      </c>
      <c r="AC27" s="2">
        <f>820-357</f>
        <v>463</v>
      </c>
      <c r="AD27" s="2">
        <v>309</v>
      </c>
      <c r="AE27" s="2">
        <v>509</v>
      </c>
      <c r="AF27" s="2">
        <v>449</v>
      </c>
      <c r="AG27" s="2">
        <v>410</v>
      </c>
      <c r="AH27" s="2">
        <v>344</v>
      </c>
      <c r="AI27" s="2">
        <v>496</v>
      </c>
      <c r="AJ27" s="2">
        <f>533-1-15-14</f>
        <v>503</v>
      </c>
      <c r="AK27" s="2">
        <f>454-3-17-20</f>
        <v>414</v>
      </c>
      <c r="AL27" s="2">
        <f>360-2-18-14</f>
        <v>326</v>
      </c>
      <c r="AM27" s="2">
        <v>594</v>
      </c>
      <c r="AN27" s="2">
        <v>373</v>
      </c>
      <c r="AO27" s="2">
        <v>351</v>
      </c>
      <c r="AP27" s="2">
        <v>326</v>
      </c>
      <c r="AQ27" s="2">
        <v>480</v>
      </c>
      <c r="AR27" s="2">
        <v>440</v>
      </c>
      <c r="AS27" s="2">
        <v>379</v>
      </c>
      <c r="AT27" s="2">
        <v>345</v>
      </c>
      <c r="AU27" s="2">
        <v>525</v>
      </c>
      <c r="AV27" s="11">
        <v>396</v>
      </c>
      <c r="AW27" s="9">
        <v>364</v>
      </c>
      <c r="AX27" s="9">
        <v>363</v>
      </c>
      <c r="AY27" s="2">
        <v>599</v>
      </c>
      <c r="AZ27" s="2">
        <v>537</v>
      </c>
      <c r="BA27" s="2">
        <v>522</v>
      </c>
      <c r="BB27" s="2">
        <v>463</v>
      </c>
      <c r="BC27" s="2">
        <v>573</v>
      </c>
      <c r="BD27" s="2">
        <v>463</v>
      </c>
      <c r="BE27" s="2">
        <v>408</v>
      </c>
      <c r="BF27" s="2">
        <v>387</v>
      </c>
    </row>
    <row r="28" spans="1:60" x14ac:dyDescent="0.2">
      <c r="A28" s="2" t="s">
        <v>54</v>
      </c>
      <c r="C28" s="2">
        <f t="shared" ref="C28:BF28" si="0">SUM(C6:C27)</f>
        <v>6524</v>
      </c>
      <c r="D28" s="2">
        <f t="shared" si="0"/>
        <v>6248</v>
      </c>
      <c r="E28" s="2">
        <f t="shared" si="0"/>
        <v>5808</v>
      </c>
      <c r="F28" s="2">
        <f t="shared" si="0"/>
        <v>4617</v>
      </c>
      <c r="G28" s="2">
        <f t="shared" si="0"/>
        <v>6518</v>
      </c>
      <c r="H28" s="2">
        <f t="shared" si="0"/>
        <v>5806</v>
      </c>
      <c r="I28" s="2">
        <f t="shared" si="0"/>
        <v>5379</v>
      </c>
      <c r="J28" s="2">
        <f t="shared" si="0"/>
        <v>3997</v>
      </c>
      <c r="K28" s="2">
        <f t="shared" si="0"/>
        <v>6544</v>
      </c>
      <c r="L28" s="2">
        <f t="shared" si="0"/>
        <v>6332</v>
      </c>
      <c r="M28" s="2">
        <f t="shared" si="0"/>
        <v>0</v>
      </c>
      <c r="N28" s="2">
        <f t="shared" si="0"/>
        <v>4660</v>
      </c>
      <c r="O28" s="2">
        <f t="shared" si="0"/>
        <v>6756</v>
      </c>
      <c r="P28" s="2">
        <f t="shared" si="0"/>
        <v>6655</v>
      </c>
      <c r="Q28" s="2">
        <f t="shared" si="0"/>
        <v>5566</v>
      </c>
      <c r="R28" s="2">
        <f t="shared" si="0"/>
        <v>4570</v>
      </c>
      <c r="S28" s="2">
        <f t="shared" si="0"/>
        <v>6737</v>
      </c>
      <c r="T28" s="2">
        <f t="shared" si="0"/>
        <v>5978</v>
      </c>
      <c r="U28" s="2">
        <f t="shared" si="0"/>
        <v>4688</v>
      </c>
      <c r="V28" s="2">
        <f t="shared" si="0"/>
        <v>3824</v>
      </c>
      <c r="W28" s="2">
        <f t="shared" si="0"/>
        <v>5840</v>
      </c>
      <c r="X28" s="2">
        <f t="shared" si="0"/>
        <v>4659</v>
      </c>
      <c r="Y28" s="2">
        <f t="shared" si="0"/>
        <v>4385</v>
      </c>
      <c r="Z28" s="2">
        <f t="shared" si="0"/>
        <v>3587</v>
      </c>
      <c r="AA28" s="2">
        <f t="shared" si="0"/>
        <v>6083</v>
      </c>
      <c r="AB28" s="2">
        <f t="shared" si="0"/>
        <v>5799</v>
      </c>
      <c r="AC28" s="2">
        <f t="shared" si="0"/>
        <v>4979</v>
      </c>
      <c r="AD28" s="2">
        <f t="shared" si="0"/>
        <v>4112</v>
      </c>
      <c r="AE28" s="2">
        <f t="shared" si="0"/>
        <v>6803</v>
      </c>
      <c r="AF28" s="2">
        <f t="shared" si="0"/>
        <v>6347</v>
      </c>
      <c r="AG28" s="2">
        <f t="shared" si="0"/>
        <v>5794</v>
      </c>
      <c r="AH28" s="2">
        <f t="shared" si="0"/>
        <v>4531</v>
      </c>
      <c r="AI28" s="2">
        <f t="shared" si="0"/>
        <v>6465</v>
      </c>
      <c r="AJ28" s="2">
        <f t="shared" si="0"/>
        <v>6261</v>
      </c>
      <c r="AK28" s="2">
        <f t="shared" si="0"/>
        <v>5812</v>
      </c>
      <c r="AL28" s="2">
        <f t="shared" si="0"/>
        <v>4579</v>
      </c>
      <c r="AM28" s="2">
        <f t="shared" si="0"/>
        <v>7174</v>
      </c>
      <c r="AN28" s="2">
        <f t="shared" si="0"/>
        <v>7121</v>
      </c>
      <c r="AO28" s="2">
        <f t="shared" si="0"/>
        <v>6922</v>
      </c>
      <c r="AP28" s="2">
        <f t="shared" si="0"/>
        <v>5250</v>
      </c>
      <c r="AQ28" s="2">
        <f t="shared" si="0"/>
        <v>7738</v>
      </c>
      <c r="AR28" s="2">
        <f t="shared" si="0"/>
        <v>7646</v>
      </c>
      <c r="AS28" s="2">
        <f t="shared" si="0"/>
        <v>6945</v>
      </c>
      <c r="AT28" s="2">
        <f t="shared" si="0"/>
        <v>5224</v>
      </c>
      <c r="AU28" s="2">
        <f t="shared" si="0"/>
        <v>6969</v>
      </c>
      <c r="AV28" s="2">
        <f t="shared" si="0"/>
        <v>6731</v>
      </c>
      <c r="AW28" s="9">
        <f t="shared" si="0"/>
        <v>6098</v>
      </c>
      <c r="AX28" s="9">
        <f t="shared" si="0"/>
        <v>5304</v>
      </c>
      <c r="AY28" s="2">
        <f t="shared" si="0"/>
        <v>8417</v>
      </c>
      <c r="AZ28" s="2">
        <f t="shared" si="0"/>
        <v>8073</v>
      </c>
      <c r="BA28" s="2">
        <f t="shared" si="0"/>
        <v>8179</v>
      </c>
      <c r="BB28" s="2">
        <f t="shared" si="0"/>
        <v>6437</v>
      </c>
      <c r="BC28" s="2">
        <f t="shared" si="0"/>
        <v>9034</v>
      </c>
      <c r="BD28" s="2">
        <f t="shared" si="0"/>
        <v>7663</v>
      </c>
      <c r="BE28" s="2">
        <f t="shared" si="0"/>
        <v>6528</v>
      </c>
      <c r="BF28" s="2">
        <f t="shared" si="0"/>
        <v>5377</v>
      </c>
    </row>
    <row r="29" spans="1:60" x14ac:dyDescent="0.2">
      <c r="C29" s="2">
        <v>6525</v>
      </c>
      <c r="D29" s="2">
        <v>6248</v>
      </c>
      <c r="E29" s="2">
        <v>5808</v>
      </c>
      <c r="F29" s="2">
        <v>4619</v>
      </c>
      <c r="G29" s="2">
        <v>6517</v>
      </c>
      <c r="H29" s="2">
        <v>5807</v>
      </c>
      <c r="I29" s="2">
        <v>5379</v>
      </c>
      <c r="J29" s="2">
        <v>3996</v>
      </c>
      <c r="K29" s="2">
        <v>6544</v>
      </c>
      <c r="L29" s="2">
        <v>6331</v>
      </c>
      <c r="N29" s="2">
        <v>4660</v>
      </c>
      <c r="O29" s="2">
        <v>6756</v>
      </c>
      <c r="P29" s="2">
        <v>6655</v>
      </c>
      <c r="Q29" s="2">
        <v>5565</v>
      </c>
      <c r="R29" s="2">
        <v>4571</v>
      </c>
      <c r="S29" s="2">
        <v>6737</v>
      </c>
      <c r="T29" s="2">
        <v>5977</v>
      </c>
      <c r="U29" s="2">
        <v>4689</v>
      </c>
      <c r="V29" s="2">
        <v>3824</v>
      </c>
      <c r="W29" s="2">
        <v>5838</v>
      </c>
      <c r="X29" s="2">
        <v>4659</v>
      </c>
      <c r="Y29" s="2">
        <v>4385</v>
      </c>
      <c r="Z29" s="2">
        <v>3588</v>
      </c>
      <c r="AA29" s="2">
        <v>6083</v>
      </c>
      <c r="AB29" s="2">
        <v>5798</v>
      </c>
      <c r="AC29" s="2">
        <f>9015-4036</f>
        <v>4979</v>
      </c>
      <c r="AD29" s="2">
        <v>4112</v>
      </c>
      <c r="AE29" s="2">
        <v>6803</v>
      </c>
      <c r="AF29" s="2">
        <v>6347</v>
      </c>
      <c r="AG29" s="2">
        <v>5795</v>
      </c>
      <c r="AH29" s="2">
        <v>4531</v>
      </c>
      <c r="AI29" s="2">
        <v>6463</v>
      </c>
      <c r="AJ29" s="2">
        <v>6262</v>
      </c>
      <c r="AK29" s="2">
        <v>5812</v>
      </c>
      <c r="AL29" s="2">
        <v>4577</v>
      </c>
      <c r="AM29" s="2">
        <v>7174</v>
      </c>
      <c r="AN29" s="2">
        <v>7119</v>
      </c>
      <c r="AO29" s="2">
        <v>6921</v>
      </c>
      <c r="AP29" s="2">
        <v>5249</v>
      </c>
      <c r="AQ29" s="2">
        <v>7736</v>
      </c>
      <c r="AR29" s="2">
        <v>7645</v>
      </c>
      <c r="AS29" s="2">
        <v>6945</v>
      </c>
      <c r="AT29" s="2">
        <v>5223</v>
      </c>
      <c r="AU29" s="2">
        <v>6968</v>
      </c>
      <c r="AV29" s="2">
        <v>6731</v>
      </c>
      <c r="AW29" s="9">
        <v>6100</v>
      </c>
      <c r="AX29" s="9">
        <v>5305</v>
      </c>
      <c r="AY29" s="2">
        <v>8416</v>
      </c>
      <c r="AZ29" s="2">
        <v>8073</v>
      </c>
      <c r="BA29" s="2">
        <v>8180</v>
      </c>
      <c r="BB29" s="2">
        <v>6436</v>
      </c>
      <c r="BC29" s="8">
        <v>8980</v>
      </c>
      <c r="BD29" s="8">
        <v>808</v>
      </c>
      <c r="BE29" s="8">
        <v>7352</v>
      </c>
      <c r="BF29" s="8">
        <v>5901</v>
      </c>
      <c r="BG29" s="8">
        <v>8763</v>
      </c>
      <c r="BH29" s="8">
        <v>4620</v>
      </c>
    </row>
    <row r="31" spans="1:60" x14ac:dyDescent="0.2">
      <c r="A31" s="2" t="s">
        <v>56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591D-76FC-476E-A502-B0F8C531280D}">
  <dimension ref="A1:CM28"/>
  <sheetViews>
    <sheetView workbookViewId="0">
      <pane xSplit="2" ySplit="4" topLeftCell="BR5" activePane="bottomRight" state="frozen"/>
      <selection pane="topRight"/>
      <selection pane="bottomLeft"/>
      <selection pane="bottomRight"/>
    </sheetView>
  </sheetViews>
  <sheetFormatPr defaultColWidth="8.7109375" defaultRowHeight="12.75" x14ac:dyDescent="0.2"/>
  <cols>
    <col min="1" max="58" width="8.7109375" style="2"/>
    <col min="59" max="59" width="9.140625" style="2" bestFit="1" customWidth="1"/>
    <col min="60" max="16384" width="8.7109375" style="2"/>
  </cols>
  <sheetData>
    <row r="1" spans="1:91" x14ac:dyDescent="0.2">
      <c r="A1" s="1" t="s">
        <v>68</v>
      </c>
      <c r="AW1" s="4">
        <v>39720</v>
      </c>
      <c r="AX1" s="4">
        <v>39720</v>
      </c>
      <c r="BC1" s="5">
        <v>40599</v>
      </c>
      <c r="BD1" s="5">
        <v>40599</v>
      </c>
      <c r="BE1" s="5">
        <v>40599</v>
      </c>
      <c r="BF1" s="5">
        <v>40599</v>
      </c>
      <c r="BG1" s="6">
        <v>40998</v>
      </c>
      <c r="BH1" s="6">
        <v>40998</v>
      </c>
      <c r="BI1" s="6">
        <v>40998</v>
      </c>
      <c r="BJ1" s="6">
        <v>40998</v>
      </c>
    </row>
    <row r="2" spans="1:91" x14ac:dyDescent="0.2">
      <c r="A2" s="1"/>
      <c r="AQ2" s="6">
        <v>39801</v>
      </c>
      <c r="AR2" s="6">
        <v>39801</v>
      </c>
      <c r="AS2" s="6">
        <v>39717</v>
      </c>
      <c r="AT2" s="6">
        <v>39717</v>
      </c>
      <c r="AU2" s="6">
        <v>40165</v>
      </c>
      <c r="AV2" s="6">
        <v>40165</v>
      </c>
      <c r="AW2" s="6">
        <v>40137</v>
      </c>
      <c r="AX2" s="6">
        <v>40137</v>
      </c>
      <c r="AY2" s="6">
        <v>40298</v>
      </c>
      <c r="AZ2" s="6">
        <v>40298</v>
      </c>
      <c r="BA2" s="6">
        <v>40298</v>
      </c>
      <c r="BB2" s="6">
        <v>40298</v>
      </c>
      <c r="BC2" s="6">
        <v>40298</v>
      </c>
      <c r="BD2" s="6">
        <v>40298</v>
      </c>
      <c r="BE2" s="6">
        <v>40298</v>
      </c>
      <c r="BF2" s="6">
        <v>40298</v>
      </c>
      <c r="BG2" s="5">
        <v>40599</v>
      </c>
      <c r="BH2" s="5">
        <v>40599</v>
      </c>
    </row>
    <row r="3" spans="1:91" x14ac:dyDescent="0.2">
      <c r="A3" s="12" t="s">
        <v>69</v>
      </c>
      <c r="C3" s="2" t="s">
        <v>27</v>
      </c>
      <c r="D3" s="2" t="s">
        <v>24</v>
      </c>
      <c r="E3" s="2" t="s">
        <v>25</v>
      </c>
      <c r="F3" s="2" t="s">
        <v>26</v>
      </c>
      <c r="G3" s="7" t="s">
        <v>27</v>
      </c>
      <c r="H3" s="7" t="s">
        <v>24</v>
      </c>
      <c r="I3" s="2" t="s">
        <v>25</v>
      </c>
      <c r="J3" s="7" t="s">
        <v>26</v>
      </c>
      <c r="K3" s="7" t="s">
        <v>27</v>
      </c>
      <c r="L3" s="2" t="s">
        <v>24</v>
      </c>
      <c r="M3" s="2" t="s">
        <v>25</v>
      </c>
      <c r="N3" s="7" t="s">
        <v>26</v>
      </c>
      <c r="O3" s="7" t="s">
        <v>27</v>
      </c>
      <c r="P3" s="7" t="s">
        <v>24</v>
      </c>
      <c r="Q3" s="7" t="s">
        <v>25</v>
      </c>
      <c r="R3" s="7" t="s">
        <v>26</v>
      </c>
      <c r="S3" s="7" t="s">
        <v>27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24</v>
      </c>
      <c r="AC3" s="7" t="s">
        <v>25</v>
      </c>
      <c r="AD3" s="7" t="s">
        <v>28</v>
      </c>
      <c r="AE3" s="7" t="s">
        <v>27</v>
      </c>
      <c r="AF3" s="7" t="s">
        <v>24</v>
      </c>
      <c r="AG3" s="7" t="s">
        <v>25</v>
      </c>
      <c r="AH3" s="7" t="s">
        <v>26</v>
      </c>
      <c r="AI3" s="7" t="s">
        <v>27</v>
      </c>
      <c r="AJ3" s="7" t="s">
        <v>24</v>
      </c>
      <c r="AK3" s="7" t="s">
        <v>25</v>
      </c>
      <c r="AL3" s="7" t="s">
        <v>26</v>
      </c>
      <c r="AM3" s="7" t="s">
        <v>27</v>
      </c>
      <c r="AN3" s="7" t="s">
        <v>24</v>
      </c>
      <c r="AO3" s="7" t="s">
        <v>25</v>
      </c>
      <c r="AP3" s="7" t="s">
        <v>26</v>
      </c>
      <c r="AQ3" s="7" t="s">
        <v>27</v>
      </c>
      <c r="AR3" s="7" t="s">
        <v>24</v>
      </c>
      <c r="AS3" s="7" t="s">
        <v>25</v>
      </c>
      <c r="AT3" s="7" t="s">
        <v>26</v>
      </c>
      <c r="AU3" s="7" t="s">
        <v>27</v>
      </c>
      <c r="AV3" s="7" t="s">
        <v>24</v>
      </c>
      <c r="AW3" s="7" t="s">
        <v>25</v>
      </c>
      <c r="AX3" s="7" t="s">
        <v>26</v>
      </c>
      <c r="AY3" s="7" t="s">
        <v>27</v>
      </c>
      <c r="AZ3" s="7" t="s">
        <v>24</v>
      </c>
      <c r="BA3" s="7" t="s">
        <v>25</v>
      </c>
      <c r="BB3" s="7" t="s">
        <v>26</v>
      </c>
      <c r="BC3" s="7" t="s">
        <v>27</v>
      </c>
      <c r="BD3" s="7" t="s">
        <v>24</v>
      </c>
      <c r="BE3" s="7" t="s">
        <v>25</v>
      </c>
      <c r="BF3" s="7" t="s">
        <v>26</v>
      </c>
      <c r="BG3" s="7" t="s">
        <v>27</v>
      </c>
      <c r="BH3" s="7" t="s">
        <v>24</v>
      </c>
      <c r="BI3" s="7" t="s">
        <v>25</v>
      </c>
      <c r="BJ3" s="7" t="s">
        <v>26</v>
      </c>
      <c r="BK3" s="7" t="s">
        <v>27</v>
      </c>
      <c r="BL3" s="7" t="s">
        <v>24</v>
      </c>
      <c r="BM3" s="7" t="s">
        <v>25</v>
      </c>
      <c r="BN3" s="7" t="s">
        <v>26</v>
      </c>
      <c r="BO3" s="7" t="s">
        <v>27</v>
      </c>
      <c r="BP3" s="7" t="s">
        <v>24</v>
      </c>
      <c r="BQ3" s="7" t="s">
        <v>25</v>
      </c>
      <c r="BR3" s="7" t="s">
        <v>26</v>
      </c>
      <c r="BS3" s="7" t="s">
        <v>27</v>
      </c>
      <c r="BT3" s="7" t="s">
        <v>24</v>
      </c>
      <c r="BU3" s="7" t="s">
        <v>25</v>
      </c>
      <c r="BV3" s="7" t="s">
        <v>26</v>
      </c>
      <c r="BW3" s="7" t="s">
        <v>27</v>
      </c>
      <c r="BX3" s="7" t="s">
        <v>24</v>
      </c>
      <c r="BY3" s="7" t="s">
        <v>25</v>
      </c>
      <c r="BZ3" s="7" t="s">
        <v>26</v>
      </c>
      <c r="CA3" s="7" t="s">
        <v>27</v>
      </c>
      <c r="CB3" s="7" t="s">
        <v>24</v>
      </c>
      <c r="CC3" s="7" t="s">
        <v>25</v>
      </c>
      <c r="CD3" s="7" t="s">
        <v>26</v>
      </c>
      <c r="CE3" s="7" t="s">
        <v>27</v>
      </c>
      <c r="CF3" s="7" t="s">
        <v>24</v>
      </c>
      <c r="CG3" s="7" t="s">
        <v>25</v>
      </c>
      <c r="CH3" s="7" t="s">
        <v>26</v>
      </c>
      <c r="CI3" s="7" t="s">
        <v>27</v>
      </c>
      <c r="CJ3" s="7" t="s">
        <v>24</v>
      </c>
      <c r="CK3" s="7" t="s">
        <v>25</v>
      </c>
      <c r="CL3" s="7" t="s">
        <v>26</v>
      </c>
      <c r="CM3" s="7" t="s">
        <v>27</v>
      </c>
    </row>
    <row r="4" spans="1:91" x14ac:dyDescent="0.2">
      <c r="A4" s="2" t="s">
        <v>29</v>
      </c>
      <c r="C4" s="2">
        <v>1996</v>
      </c>
      <c r="D4" s="2">
        <v>1997</v>
      </c>
      <c r="E4" s="2">
        <v>1997</v>
      </c>
      <c r="F4" s="2">
        <v>1997</v>
      </c>
      <c r="G4" s="2">
        <v>1997</v>
      </c>
      <c r="H4" s="2">
        <v>1998</v>
      </c>
      <c r="I4" s="2">
        <v>1998</v>
      </c>
      <c r="J4" s="2">
        <v>1998</v>
      </c>
      <c r="K4" s="2">
        <v>1998</v>
      </c>
      <c r="L4" s="2">
        <v>1999</v>
      </c>
      <c r="M4" s="2">
        <v>1999</v>
      </c>
      <c r="N4" s="2">
        <v>1999</v>
      </c>
      <c r="O4" s="2">
        <v>1999</v>
      </c>
      <c r="P4" s="2">
        <v>2000</v>
      </c>
      <c r="Q4" s="2">
        <v>2000</v>
      </c>
      <c r="R4" s="2">
        <v>2000</v>
      </c>
      <c r="S4" s="2">
        <v>2000</v>
      </c>
      <c r="T4" s="2">
        <v>2001</v>
      </c>
      <c r="U4" s="2">
        <v>2001</v>
      </c>
      <c r="V4" s="2">
        <v>2001</v>
      </c>
      <c r="W4" s="2">
        <v>2001</v>
      </c>
      <c r="X4" s="2">
        <v>2002</v>
      </c>
      <c r="Y4" s="2">
        <v>2002</v>
      </c>
      <c r="Z4" s="2">
        <v>2002</v>
      </c>
      <c r="AA4" s="2">
        <v>2002</v>
      </c>
      <c r="AB4" s="2">
        <v>2003</v>
      </c>
      <c r="AC4" s="2">
        <v>2003</v>
      </c>
      <c r="AD4" s="2">
        <v>2003</v>
      </c>
      <c r="AE4" s="2">
        <v>2003</v>
      </c>
      <c r="AF4" s="2">
        <v>2004</v>
      </c>
      <c r="AG4" s="2">
        <v>2004</v>
      </c>
      <c r="AH4" s="2">
        <v>2004</v>
      </c>
      <c r="AI4" s="2">
        <v>2004</v>
      </c>
      <c r="AJ4" s="2">
        <v>2005</v>
      </c>
      <c r="AK4" s="2">
        <v>2005</v>
      </c>
      <c r="AL4" s="2">
        <v>2005</v>
      </c>
      <c r="AM4" s="2">
        <v>2005</v>
      </c>
      <c r="AN4" s="2">
        <v>2006</v>
      </c>
      <c r="AO4" s="2">
        <v>2006</v>
      </c>
      <c r="AP4" s="2">
        <v>2006</v>
      </c>
      <c r="AQ4" s="2">
        <v>2006</v>
      </c>
      <c r="AR4" s="2">
        <v>2007</v>
      </c>
      <c r="AS4" s="2">
        <v>2007</v>
      </c>
      <c r="AT4" s="2">
        <v>2007</v>
      </c>
      <c r="AU4" s="2">
        <v>2007</v>
      </c>
      <c r="AV4" s="2">
        <v>2008</v>
      </c>
      <c r="AW4" s="2">
        <v>2008</v>
      </c>
      <c r="AX4" s="2">
        <v>2008</v>
      </c>
      <c r="AY4" s="2">
        <v>2008</v>
      </c>
      <c r="AZ4" s="2">
        <v>2009</v>
      </c>
      <c r="BA4" s="2">
        <v>2009</v>
      </c>
      <c r="BB4" s="2">
        <v>2009</v>
      </c>
      <c r="BC4" s="2">
        <v>2009</v>
      </c>
      <c r="BD4" s="2">
        <v>2010</v>
      </c>
      <c r="BE4" s="2">
        <v>2010</v>
      </c>
      <c r="BF4" s="2">
        <v>2010</v>
      </c>
      <c r="BG4" s="2">
        <v>2010</v>
      </c>
      <c r="BH4" s="2">
        <v>2011</v>
      </c>
      <c r="BI4" s="2">
        <v>2011</v>
      </c>
      <c r="BJ4" s="2">
        <v>2011</v>
      </c>
      <c r="BK4" s="2">
        <v>2011</v>
      </c>
      <c r="BL4" s="2">
        <v>2012</v>
      </c>
      <c r="BM4" s="2">
        <v>2012</v>
      </c>
      <c r="BN4" s="2">
        <v>2012</v>
      </c>
      <c r="BO4" s="2">
        <v>2012</v>
      </c>
      <c r="BP4" s="2">
        <v>2013</v>
      </c>
      <c r="BQ4" s="2">
        <v>2013</v>
      </c>
      <c r="BR4" s="2">
        <v>2013</v>
      </c>
      <c r="BS4" s="2">
        <v>2013</v>
      </c>
      <c r="BT4" s="2">
        <v>2014</v>
      </c>
      <c r="BU4" s="2">
        <v>2014</v>
      </c>
      <c r="BV4" s="2">
        <v>2014</v>
      </c>
      <c r="BW4" s="2">
        <v>2014</v>
      </c>
      <c r="BX4" s="2">
        <v>2015</v>
      </c>
      <c r="BY4" s="2">
        <v>2015</v>
      </c>
      <c r="BZ4" s="2">
        <v>2015</v>
      </c>
      <c r="CA4" s="2">
        <v>2015</v>
      </c>
      <c r="CB4" s="2">
        <v>2016</v>
      </c>
      <c r="CC4" s="2">
        <v>2016</v>
      </c>
      <c r="CD4" s="2">
        <v>2016</v>
      </c>
      <c r="CE4" s="2">
        <v>2016</v>
      </c>
      <c r="CF4" s="2">
        <v>2017</v>
      </c>
      <c r="CG4" s="2">
        <v>2017</v>
      </c>
      <c r="CH4" s="2">
        <v>2017</v>
      </c>
      <c r="CI4" s="2">
        <v>2017</v>
      </c>
      <c r="CJ4" s="2">
        <v>2018</v>
      </c>
      <c r="CK4" s="2">
        <v>2018</v>
      </c>
      <c r="CL4" s="2">
        <v>2018</v>
      </c>
      <c r="CM4" s="2">
        <v>2018</v>
      </c>
    </row>
    <row r="6" spans="1:91" x14ac:dyDescent="0.2">
      <c r="A6" s="2" t="s">
        <v>30</v>
      </c>
      <c r="C6" s="2">
        <v>1612</v>
      </c>
      <c r="D6" s="2">
        <v>1595</v>
      </c>
      <c r="E6" s="2">
        <v>1745</v>
      </c>
      <c r="F6" s="2">
        <v>2151</v>
      </c>
      <c r="G6" s="2">
        <v>2127</v>
      </c>
      <c r="H6" s="2">
        <v>2029</v>
      </c>
      <c r="I6" s="2">
        <v>1444</v>
      </c>
      <c r="J6" s="2">
        <v>2529</v>
      </c>
      <c r="K6" s="2">
        <v>2074</v>
      </c>
      <c r="L6" s="2">
        <v>2116</v>
      </c>
      <c r="N6" s="2">
        <v>2512</v>
      </c>
      <c r="O6" s="2">
        <v>2366</v>
      </c>
      <c r="P6" s="2">
        <v>2457</v>
      </c>
      <c r="Q6" s="2">
        <v>2066</v>
      </c>
      <c r="R6" s="2">
        <v>2245</v>
      </c>
      <c r="S6" s="2">
        <v>2275</v>
      </c>
      <c r="T6" s="2">
        <v>2239</v>
      </c>
      <c r="U6" s="2">
        <v>1933</v>
      </c>
      <c r="V6" s="2">
        <v>2075</v>
      </c>
      <c r="W6" s="2">
        <v>2207</v>
      </c>
      <c r="X6" s="2">
        <v>2186</v>
      </c>
      <c r="Y6" s="2">
        <v>2041</v>
      </c>
      <c r="Z6" s="2">
        <v>2355</v>
      </c>
      <c r="AA6" s="2">
        <v>2323</v>
      </c>
      <c r="AB6" s="2">
        <v>2275</v>
      </c>
      <c r="AC6" s="2">
        <f>3993-2182</f>
        <v>1811</v>
      </c>
      <c r="AD6" s="2">
        <v>2609</v>
      </c>
      <c r="AE6" s="2">
        <v>2823</v>
      </c>
      <c r="AF6" s="2">
        <v>2623</v>
      </c>
      <c r="AG6" s="2">
        <v>2345</v>
      </c>
      <c r="AH6" s="2">
        <v>3014</v>
      </c>
      <c r="AI6" s="2">
        <v>3441</v>
      </c>
      <c r="AJ6" s="2">
        <v>3398</v>
      </c>
      <c r="AK6" s="2">
        <v>3237</v>
      </c>
      <c r="AL6" s="2">
        <v>3313</v>
      </c>
      <c r="AM6" s="2">
        <v>3844</v>
      </c>
      <c r="AN6" s="2">
        <v>3806</v>
      </c>
      <c r="AO6" s="2">
        <v>3669</v>
      </c>
      <c r="AP6" s="2">
        <v>3678</v>
      </c>
      <c r="AQ6" s="2">
        <v>4243</v>
      </c>
      <c r="AR6" s="2">
        <v>3993</v>
      </c>
      <c r="AS6" s="11">
        <v>3784</v>
      </c>
      <c r="AT6" s="11">
        <v>4248</v>
      </c>
      <c r="AU6" s="2">
        <v>5080</v>
      </c>
      <c r="AV6" s="2">
        <v>4787</v>
      </c>
      <c r="AW6" s="13">
        <v>4350</v>
      </c>
      <c r="AX6" s="13">
        <v>4899</v>
      </c>
      <c r="AY6" s="2">
        <v>5631</v>
      </c>
      <c r="AZ6" s="11">
        <v>5140</v>
      </c>
      <c r="BA6" s="11">
        <v>4720</v>
      </c>
      <c r="BB6" s="11">
        <v>5202</v>
      </c>
      <c r="BC6" s="8">
        <v>6258</v>
      </c>
      <c r="BD6" s="8">
        <v>6030</v>
      </c>
      <c r="BE6" s="14">
        <v>5406</v>
      </c>
      <c r="BF6" s="14">
        <v>5572</v>
      </c>
      <c r="BG6" s="11">
        <v>5954</v>
      </c>
      <c r="BH6" s="11">
        <v>5731</v>
      </c>
      <c r="BI6" s="2">
        <v>5088</v>
      </c>
      <c r="BJ6" s="2">
        <v>5496</v>
      </c>
      <c r="BK6" s="2">
        <v>5627</v>
      </c>
    </row>
    <row r="7" spans="1:91" x14ac:dyDescent="0.2">
      <c r="A7" s="2" t="s">
        <v>31</v>
      </c>
      <c r="AD7" s="2">
        <v>25</v>
      </c>
      <c r="AE7" s="2">
        <v>30</v>
      </c>
      <c r="AF7" s="2">
        <v>19</v>
      </c>
      <c r="AG7" s="2">
        <v>16</v>
      </c>
      <c r="AH7" s="2">
        <v>58</v>
      </c>
      <c r="AI7" s="2">
        <v>52</v>
      </c>
      <c r="AJ7" s="2">
        <v>26</v>
      </c>
      <c r="AK7" s="2">
        <v>33</v>
      </c>
      <c r="AL7" s="2">
        <v>59</v>
      </c>
      <c r="AM7" s="2">
        <v>59</v>
      </c>
    </row>
    <row r="8" spans="1:91" x14ac:dyDescent="0.2">
      <c r="A8" s="2" t="s">
        <v>32</v>
      </c>
      <c r="C8" s="2">
        <v>14</v>
      </c>
      <c r="D8" s="2">
        <v>10</v>
      </c>
      <c r="E8" s="2">
        <v>2</v>
      </c>
      <c r="F8" s="2">
        <v>17</v>
      </c>
      <c r="G8" s="2">
        <v>13</v>
      </c>
      <c r="H8" s="2">
        <v>19</v>
      </c>
      <c r="I8" s="2">
        <v>7</v>
      </c>
      <c r="J8" s="2">
        <v>17</v>
      </c>
      <c r="K8" s="2">
        <v>14</v>
      </c>
      <c r="L8" s="2">
        <v>18</v>
      </c>
      <c r="N8" s="2">
        <v>16</v>
      </c>
      <c r="O8" s="2">
        <v>11</v>
      </c>
      <c r="P8" s="2">
        <v>11</v>
      </c>
      <c r="Q8" s="2">
        <v>6</v>
      </c>
      <c r="R8" s="2">
        <v>19</v>
      </c>
      <c r="S8" s="2">
        <v>15</v>
      </c>
      <c r="T8" s="2">
        <v>15</v>
      </c>
      <c r="U8" s="2">
        <v>8</v>
      </c>
      <c r="V8" s="2">
        <v>19</v>
      </c>
      <c r="W8" s="2">
        <v>15</v>
      </c>
      <c r="X8" s="2">
        <v>13</v>
      </c>
      <c r="Y8" s="2">
        <v>10</v>
      </c>
      <c r="Z8" s="2">
        <v>19</v>
      </c>
      <c r="AA8" s="2">
        <v>20</v>
      </c>
      <c r="AB8" s="2">
        <v>17</v>
      </c>
      <c r="AC8" s="2">
        <f>36-19</f>
        <v>17</v>
      </c>
    </row>
    <row r="9" spans="1:91" x14ac:dyDescent="0.2">
      <c r="A9" s="2" t="s">
        <v>33</v>
      </c>
      <c r="C9" s="2">
        <v>406</v>
      </c>
      <c r="D9" s="2">
        <v>375</v>
      </c>
      <c r="E9" s="2">
        <v>328</v>
      </c>
      <c r="F9" s="2">
        <v>335</v>
      </c>
      <c r="G9" s="2">
        <v>442</v>
      </c>
      <c r="H9" s="2">
        <v>321</v>
      </c>
      <c r="I9" s="2">
        <v>295</v>
      </c>
      <c r="J9" s="2">
        <v>390</v>
      </c>
      <c r="K9" s="2">
        <v>479</v>
      </c>
      <c r="L9" s="2">
        <v>415</v>
      </c>
      <c r="N9" s="2">
        <v>433</v>
      </c>
      <c r="O9" s="2">
        <v>495</v>
      </c>
      <c r="P9" s="2">
        <v>424</v>
      </c>
      <c r="Q9" s="2">
        <v>235</v>
      </c>
      <c r="R9" s="2">
        <v>432</v>
      </c>
      <c r="S9" s="2">
        <v>465</v>
      </c>
      <c r="T9" s="2">
        <v>403</v>
      </c>
      <c r="U9" s="2">
        <v>318</v>
      </c>
      <c r="V9" s="2">
        <v>425</v>
      </c>
      <c r="W9" s="2">
        <v>486</v>
      </c>
      <c r="X9" s="2">
        <v>440</v>
      </c>
      <c r="Y9" s="2">
        <v>338</v>
      </c>
      <c r="Z9" s="2">
        <v>444</v>
      </c>
      <c r="AA9" s="2">
        <v>476</v>
      </c>
      <c r="AB9" s="2">
        <v>436</v>
      </c>
      <c r="AC9" s="2">
        <f>715-381</f>
        <v>334</v>
      </c>
    </row>
    <row r="10" spans="1:91" x14ac:dyDescent="0.2">
      <c r="A10" s="2" t="s">
        <v>34</v>
      </c>
      <c r="C10" s="2">
        <v>73</v>
      </c>
      <c r="D10" s="2">
        <v>54</v>
      </c>
      <c r="E10" s="2">
        <v>44</v>
      </c>
      <c r="F10" s="2">
        <v>32</v>
      </c>
      <c r="G10" s="2">
        <v>38</v>
      </c>
      <c r="H10" s="2">
        <v>24</v>
      </c>
      <c r="I10" s="2">
        <v>30</v>
      </c>
      <c r="J10" s="2">
        <v>24</v>
      </c>
      <c r="K10" s="2">
        <v>34</v>
      </c>
      <c r="L10" s="2">
        <v>39</v>
      </c>
      <c r="N10" s="2">
        <v>55</v>
      </c>
      <c r="O10" s="2">
        <v>81</v>
      </c>
      <c r="P10" s="2">
        <v>51</v>
      </c>
      <c r="Q10" s="2">
        <v>51</v>
      </c>
      <c r="R10" s="2">
        <v>73</v>
      </c>
      <c r="S10" s="2">
        <v>101</v>
      </c>
      <c r="T10" s="2">
        <v>78</v>
      </c>
      <c r="U10" s="2">
        <v>65</v>
      </c>
      <c r="V10" s="2">
        <v>16</v>
      </c>
      <c r="W10" s="2">
        <v>23</v>
      </c>
      <c r="X10" s="2">
        <v>10</v>
      </c>
      <c r="Y10" s="2">
        <v>9</v>
      </c>
      <c r="Z10" s="2">
        <v>14</v>
      </c>
      <c r="AA10" s="2">
        <v>31</v>
      </c>
      <c r="AB10" s="2">
        <v>23</v>
      </c>
      <c r="AC10" s="2">
        <f>30-14</f>
        <v>16</v>
      </c>
      <c r="AD10" s="2">
        <v>17</v>
      </c>
      <c r="AE10" s="2">
        <v>43</v>
      </c>
      <c r="AF10" s="2">
        <v>35</v>
      </c>
      <c r="AG10" s="2">
        <v>29</v>
      </c>
      <c r="AH10" s="2">
        <v>25</v>
      </c>
      <c r="AI10" s="2">
        <v>50</v>
      </c>
      <c r="AJ10" s="2">
        <v>55</v>
      </c>
      <c r="AK10" s="2">
        <v>44</v>
      </c>
      <c r="AL10" s="2">
        <v>40</v>
      </c>
      <c r="AM10" s="2">
        <v>54</v>
      </c>
      <c r="AN10" s="2">
        <v>63</v>
      </c>
      <c r="AO10" s="2">
        <v>76</v>
      </c>
      <c r="AP10" s="2">
        <v>62</v>
      </c>
      <c r="AQ10" s="2">
        <v>124</v>
      </c>
      <c r="AR10" s="2">
        <v>119</v>
      </c>
      <c r="AS10" s="2">
        <v>110</v>
      </c>
      <c r="AT10" s="2">
        <v>92</v>
      </c>
      <c r="AU10" s="2">
        <v>167</v>
      </c>
      <c r="AV10" s="2">
        <v>99</v>
      </c>
      <c r="AW10" s="9">
        <v>121</v>
      </c>
      <c r="AX10" s="9">
        <v>98</v>
      </c>
      <c r="AY10" s="2">
        <v>194</v>
      </c>
      <c r="AZ10" s="2">
        <v>140</v>
      </c>
      <c r="BA10" s="2">
        <v>171</v>
      </c>
      <c r="BB10" s="2">
        <v>104</v>
      </c>
      <c r="BC10" s="2">
        <v>187</v>
      </c>
      <c r="BD10" s="2">
        <v>138</v>
      </c>
      <c r="BE10" s="2">
        <v>104</v>
      </c>
      <c r="BF10" s="2">
        <v>113</v>
      </c>
    </row>
    <row r="11" spans="1:91" x14ac:dyDescent="0.2">
      <c r="A11" s="2" t="s">
        <v>35</v>
      </c>
      <c r="C11" s="2">
        <v>0</v>
      </c>
      <c r="D11" s="2">
        <v>0</v>
      </c>
      <c r="E11" s="2">
        <v>684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29</v>
      </c>
      <c r="W11" s="2">
        <v>19</v>
      </c>
      <c r="X11" s="2">
        <v>7</v>
      </c>
      <c r="Y11" s="2">
        <v>5</v>
      </c>
      <c r="Z11" s="2">
        <v>29</v>
      </c>
      <c r="AA11" s="2">
        <v>17</v>
      </c>
      <c r="AB11" s="2">
        <v>9</v>
      </c>
      <c r="AC11" s="2">
        <f>23-16</f>
        <v>7</v>
      </c>
      <c r="AD11" s="2">
        <v>12</v>
      </c>
      <c r="AE11" s="2">
        <v>6</v>
      </c>
      <c r="AF11" s="2">
        <v>0</v>
      </c>
      <c r="AG11" s="2">
        <v>0</v>
      </c>
      <c r="AH11" s="2">
        <v>13</v>
      </c>
      <c r="AI11" s="7">
        <v>16</v>
      </c>
      <c r="AJ11" s="7">
        <v>16</v>
      </c>
      <c r="AK11" s="7">
        <v>13</v>
      </c>
      <c r="AL11" s="7">
        <v>23</v>
      </c>
    </row>
    <row r="12" spans="1:91" x14ac:dyDescent="0.2">
      <c r="A12" s="2" t="s">
        <v>36</v>
      </c>
      <c r="C12" s="2">
        <v>666</v>
      </c>
      <c r="D12" s="2">
        <v>649</v>
      </c>
      <c r="E12" s="2">
        <v>0</v>
      </c>
      <c r="F12" s="2">
        <v>730</v>
      </c>
      <c r="G12" s="2">
        <v>799</v>
      </c>
      <c r="H12" s="2">
        <v>869</v>
      </c>
      <c r="I12" s="2">
        <v>805</v>
      </c>
      <c r="J12" s="2">
        <v>769</v>
      </c>
      <c r="K12" s="2">
        <v>933</v>
      </c>
      <c r="L12" s="2">
        <v>900</v>
      </c>
      <c r="N12" s="2">
        <v>636</v>
      </c>
      <c r="O12" s="2">
        <v>806</v>
      </c>
      <c r="P12" s="2">
        <v>807</v>
      </c>
      <c r="Q12" s="2">
        <v>713</v>
      </c>
      <c r="R12" s="2">
        <v>725</v>
      </c>
      <c r="S12" s="2">
        <v>865</v>
      </c>
      <c r="T12" s="2">
        <v>814</v>
      </c>
      <c r="U12" s="2">
        <v>607</v>
      </c>
      <c r="V12" s="2">
        <v>627</v>
      </c>
      <c r="W12" s="2">
        <v>653</v>
      </c>
      <c r="X12" s="2">
        <v>580</v>
      </c>
      <c r="Y12" s="2">
        <v>491</v>
      </c>
      <c r="Z12" s="2">
        <v>559</v>
      </c>
      <c r="AA12" s="2">
        <v>505</v>
      </c>
      <c r="AB12" s="2">
        <v>524</v>
      </c>
      <c r="AC12" s="2">
        <f>1297-729</f>
        <v>568</v>
      </c>
      <c r="AD12" s="2">
        <v>729</v>
      </c>
      <c r="AE12" s="2">
        <v>852</v>
      </c>
      <c r="AF12" s="2">
        <v>893</v>
      </c>
      <c r="AG12" s="2">
        <v>830</v>
      </c>
      <c r="AH12" s="2">
        <v>790</v>
      </c>
      <c r="AI12" s="2">
        <v>847</v>
      </c>
      <c r="AJ12" s="2">
        <v>769</v>
      </c>
      <c r="AK12" s="2">
        <v>673</v>
      </c>
      <c r="AL12" s="2">
        <v>759</v>
      </c>
      <c r="AM12" s="2">
        <v>887</v>
      </c>
      <c r="AN12" s="2">
        <v>873</v>
      </c>
      <c r="AO12" s="2">
        <v>847</v>
      </c>
      <c r="AP12" s="2">
        <v>883</v>
      </c>
      <c r="AQ12" s="2">
        <v>982</v>
      </c>
      <c r="AR12" s="2">
        <v>845</v>
      </c>
      <c r="AS12" s="2">
        <v>884</v>
      </c>
      <c r="AT12" s="2">
        <v>955</v>
      </c>
      <c r="AU12" s="2">
        <v>1088</v>
      </c>
      <c r="AV12" s="2">
        <v>1069</v>
      </c>
      <c r="AW12" s="2">
        <v>995</v>
      </c>
      <c r="AX12" s="2">
        <v>1003</v>
      </c>
      <c r="AY12" s="2">
        <v>1151</v>
      </c>
      <c r="AZ12" s="2">
        <v>1092</v>
      </c>
      <c r="BA12" s="2">
        <v>1003</v>
      </c>
      <c r="BB12" s="2">
        <v>1037</v>
      </c>
      <c r="BC12" s="8">
        <v>1038</v>
      </c>
      <c r="BD12" s="8">
        <v>1265</v>
      </c>
      <c r="BE12" s="8">
        <v>1321</v>
      </c>
      <c r="BF12" s="8">
        <v>1441</v>
      </c>
      <c r="BG12" s="11">
        <v>1657</v>
      </c>
      <c r="BH12" s="11">
        <v>1579</v>
      </c>
      <c r="BI12" s="11">
        <v>1579</v>
      </c>
      <c r="BJ12" s="11">
        <v>1588</v>
      </c>
    </row>
    <row r="13" spans="1:91" x14ac:dyDescent="0.2">
      <c r="A13" s="2" t="s">
        <v>37</v>
      </c>
      <c r="C13" s="2">
        <v>123</v>
      </c>
      <c r="D13" s="2">
        <v>84</v>
      </c>
      <c r="E13" s="2">
        <v>57</v>
      </c>
      <c r="F13" s="2">
        <v>126</v>
      </c>
      <c r="G13" s="2">
        <v>184</v>
      </c>
      <c r="H13" s="2">
        <v>157</v>
      </c>
      <c r="I13" s="2">
        <v>102</v>
      </c>
      <c r="J13" s="2">
        <v>218</v>
      </c>
      <c r="K13" s="2">
        <v>220</v>
      </c>
      <c r="L13" s="2">
        <v>170</v>
      </c>
      <c r="N13" s="2">
        <v>199</v>
      </c>
      <c r="O13" s="2">
        <v>197</v>
      </c>
      <c r="P13" s="2">
        <v>201</v>
      </c>
      <c r="Q13" s="2">
        <v>173</v>
      </c>
      <c r="R13" s="2">
        <v>215</v>
      </c>
      <c r="S13" s="2">
        <v>200</v>
      </c>
      <c r="T13" s="2">
        <v>207</v>
      </c>
      <c r="U13" s="2">
        <v>218</v>
      </c>
      <c r="V13" s="2">
        <v>182</v>
      </c>
      <c r="W13" s="2">
        <v>189</v>
      </c>
      <c r="X13" s="2">
        <v>222</v>
      </c>
      <c r="Y13" s="2">
        <v>170</v>
      </c>
      <c r="Z13" s="2">
        <v>141</v>
      </c>
      <c r="AA13" s="2">
        <v>171</v>
      </c>
      <c r="AB13" s="2">
        <v>183</v>
      </c>
      <c r="AC13" s="2">
        <f>290-188</f>
        <v>102</v>
      </c>
      <c r="AD13" s="2">
        <v>178</v>
      </c>
      <c r="AE13" s="2">
        <v>176</v>
      </c>
      <c r="AF13" s="2">
        <v>138</v>
      </c>
      <c r="AG13" s="2">
        <v>111</v>
      </c>
      <c r="AH13" s="2">
        <v>201</v>
      </c>
      <c r="AI13" s="2">
        <v>186</v>
      </c>
      <c r="AJ13" s="2">
        <v>203</v>
      </c>
      <c r="AK13" s="2">
        <v>219</v>
      </c>
      <c r="AL13" s="2">
        <v>202</v>
      </c>
      <c r="AM13" s="2">
        <v>208</v>
      </c>
      <c r="AN13" s="2">
        <v>311</v>
      </c>
      <c r="AO13" s="2">
        <v>301</v>
      </c>
      <c r="AP13" s="2">
        <v>229</v>
      </c>
      <c r="AQ13" s="2">
        <v>241</v>
      </c>
      <c r="AR13" s="2">
        <v>265</v>
      </c>
      <c r="AS13" s="2">
        <v>227</v>
      </c>
      <c r="AT13" s="2">
        <v>249</v>
      </c>
      <c r="AU13" s="2">
        <v>247</v>
      </c>
      <c r="AV13" s="2">
        <v>257</v>
      </c>
      <c r="AW13" s="9">
        <v>217</v>
      </c>
      <c r="AX13" s="9">
        <v>276</v>
      </c>
      <c r="AY13" s="2">
        <v>293</v>
      </c>
      <c r="AZ13" s="2">
        <v>368</v>
      </c>
      <c r="BA13" s="2">
        <v>267</v>
      </c>
      <c r="BB13" s="2">
        <v>275</v>
      </c>
      <c r="BC13" s="2">
        <v>283</v>
      </c>
      <c r="BD13" s="2">
        <v>325</v>
      </c>
      <c r="BE13" s="2">
        <v>267</v>
      </c>
      <c r="BF13" s="2">
        <v>285</v>
      </c>
      <c r="BG13" s="2">
        <v>385</v>
      </c>
      <c r="BH13" s="2">
        <v>365</v>
      </c>
      <c r="BI13" s="2">
        <v>219</v>
      </c>
      <c r="BJ13" s="2">
        <v>302</v>
      </c>
      <c r="BK13" s="2">
        <v>339</v>
      </c>
      <c r="BL13" s="2">
        <v>313</v>
      </c>
      <c r="BM13" s="2">
        <v>229</v>
      </c>
      <c r="BN13" s="2">
        <v>288</v>
      </c>
      <c r="BO13" s="2">
        <v>391</v>
      </c>
      <c r="BP13" s="2">
        <v>368</v>
      </c>
      <c r="BQ13" s="2">
        <v>273</v>
      </c>
      <c r="BR13" s="2">
        <v>380</v>
      </c>
      <c r="BS13" s="2">
        <v>445</v>
      </c>
      <c r="BT13" s="2">
        <v>461</v>
      </c>
      <c r="BU13" s="2">
        <v>429</v>
      </c>
      <c r="BV13" s="2">
        <v>425</v>
      </c>
      <c r="BW13" s="2">
        <v>478</v>
      </c>
      <c r="BX13" s="2">
        <v>480</v>
      </c>
      <c r="BY13" s="2">
        <v>346</v>
      </c>
      <c r="BZ13" s="2">
        <v>444</v>
      </c>
      <c r="CA13" s="2">
        <v>418</v>
      </c>
      <c r="CB13" s="2">
        <v>480</v>
      </c>
    </row>
    <row r="14" spans="1:91" x14ac:dyDescent="0.2">
      <c r="A14" s="2" t="s">
        <v>38</v>
      </c>
      <c r="C14" s="2">
        <v>140</v>
      </c>
      <c r="D14" s="2">
        <v>132</v>
      </c>
      <c r="E14" s="2">
        <v>111</v>
      </c>
      <c r="F14" s="2">
        <v>134</v>
      </c>
      <c r="G14" s="2">
        <v>210</v>
      </c>
      <c r="H14" s="2">
        <v>173</v>
      </c>
      <c r="I14" s="2">
        <v>170</v>
      </c>
      <c r="J14" s="2">
        <v>144</v>
      </c>
      <c r="K14" s="2">
        <v>230</v>
      </c>
      <c r="L14" s="2">
        <v>195</v>
      </c>
      <c r="N14" s="2">
        <v>140</v>
      </c>
      <c r="O14" s="2">
        <v>245</v>
      </c>
      <c r="P14" s="2">
        <v>248</v>
      </c>
      <c r="Q14" s="2">
        <v>203</v>
      </c>
      <c r="R14" s="2">
        <v>229</v>
      </c>
      <c r="S14" s="2">
        <v>290</v>
      </c>
      <c r="T14" s="2">
        <v>260</v>
      </c>
      <c r="U14" s="2">
        <v>185</v>
      </c>
      <c r="V14" s="2">
        <v>157</v>
      </c>
      <c r="W14" s="2">
        <v>270</v>
      </c>
      <c r="X14" s="2">
        <v>215</v>
      </c>
      <c r="Y14" s="2">
        <v>140</v>
      </c>
      <c r="Z14" s="2">
        <v>215</v>
      </c>
      <c r="AA14" s="2">
        <v>260</v>
      </c>
      <c r="AB14" s="2">
        <v>188</v>
      </c>
      <c r="AC14" s="2">
        <f>287-192</f>
        <v>95</v>
      </c>
      <c r="AD14" s="2">
        <v>197</v>
      </c>
      <c r="AE14" s="2">
        <v>325</v>
      </c>
      <c r="AF14" s="2">
        <v>307</v>
      </c>
      <c r="AG14" s="2">
        <v>270</v>
      </c>
      <c r="AH14" s="2">
        <v>223</v>
      </c>
      <c r="AI14" s="2">
        <v>370</v>
      </c>
      <c r="AJ14" s="2">
        <v>320</v>
      </c>
      <c r="AK14" s="2">
        <v>183</v>
      </c>
      <c r="AL14" s="2">
        <v>277</v>
      </c>
      <c r="AM14" s="2">
        <v>390</v>
      </c>
      <c r="AN14" s="2">
        <v>290</v>
      </c>
      <c r="AO14" s="2">
        <v>313</v>
      </c>
      <c r="AP14" s="2">
        <v>297</v>
      </c>
      <c r="AQ14" s="2">
        <v>320</v>
      </c>
      <c r="AR14" s="2">
        <v>215</v>
      </c>
      <c r="AS14" s="2">
        <v>315</v>
      </c>
      <c r="AT14" s="2">
        <v>360</v>
      </c>
      <c r="AU14" s="2">
        <v>334</v>
      </c>
      <c r="AV14" s="2">
        <v>313</v>
      </c>
      <c r="AW14" s="9">
        <v>342</v>
      </c>
      <c r="AX14" s="9">
        <v>352</v>
      </c>
      <c r="AY14" s="2">
        <v>368</v>
      </c>
      <c r="AZ14" s="2">
        <v>315</v>
      </c>
      <c r="BA14" s="2">
        <v>277</v>
      </c>
      <c r="BB14" s="2">
        <v>310</v>
      </c>
      <c r="BC14" s="2">
        <v>395</v>
      </c>
      <c r="BD14" s="2">
        <v>255</v>
      </c>
      <c r="BE14" s="2">
        <v>246</v>
      </c>
      <c r="BF14" s="2">
        <v>339</v>
      </c>
    </row>
    <row r="15" spans="1:91" x14ac:dyDescent="0.2">
      <c r="A15" s="2" t="s">
        <v>70</v>
      </c>
      <c r="C15" s="2">
        <v>0</v>
      </c>
      <c r="D15" s="2">
        <v>0</v>
      </c>
      <c r="E15" s="2">
        <v>0</v>
      </c>
      <c r="F15" s="2">
        <v>0</v>
      </c>
      <c r="G15" s="2">
        <v>64</v>
      </c>
      <c r="H15" s="2">
        <v>116</v>
      </c>
      <c r="I15" s="2">
        <v>0</v>
      </c>
      <c r="J15" s="2">
        <v>116</v>
      </c>
      <c r="K15" s="2">
        <v>55</v>
      </c>
      <c r="L15" s="2">
        <v>112</v>
      </c>
      <c r="N15" s="2">
        <v>118</v>
      </c>
      <c r="O15" s="2">
        <v>124</v>
      </c>
      <c r="P15" s="2">
        <v>116</v>
      </c>
      <c r="Q15" s="2">
        <v>124</v>
      </c>
      <c r="R15" s="2">
        <v>125</v>
      </c>
      <c r="S15" s="2">
        <v>90</v>
      </c>
      <c r="T15" s="2">
        <v>119</v>
      </c>
      <c r="U15" s="2">
        <v>129</v>
      </c>
      <c r="V15" s="2">
        <v>131</v>
      </c>
      <c r="W15" s="2">
        <v>110</v>
      </c>
      <c r="X15" s="2">
        <v>93</v>
      </c>
      <c r="Y15" s="2">
        <v>96</v>
      </c>
      <c r="Z15" s="2">
        <v>86</v>
      </c>
      <c r="AA15" s="2">
        <v>72</v>
      </c>
      <c r="AB15" s="2">
        <v>117</v>
      </c>
      <c r="AC15" s="2">
        <f>229-108</f>
        <v>121</v>
      </c>
      <c r="AD15" s="2">
        <v>99</v>
      </c>
      <c r="AE15" s="2">
        <v>82</v>
      </c>
      <c r="AF15" s="2">
        <v>110</v>
      </c>
      <c r="AG15" s="2">
        <v>85</v>
      </c>
      <c r="AH15" s="2">
        <v>76</v>
      </c>
      <c r="AI15" s="2">
        <v>64</v>
      </c>
      <c r="AJ15" s="2">
        <v>90</v>
      </c>
      <c r="AK15" s="2">
        <v>78</v>
      </c>
      <c r="AL15" s="2">
        <v>76</v>
      </c>
      <c r="AM15" s="2">
        <v>61</v>
      </c>
      <c r="AN15" s="2">
        <v>98</v>
      </c>
      <c r="AO15" s="2">
        <v>99</v>
      </c>
      <c r="AP15" s="2">
        <v>94</v>
      </c>
      <c r="AQ15" s="2">
        <v>65</v>
      </c>
      <c r="AR15" s="2">
        <v>88</v>
      </c>
      <c r="AS15" s="2">
        <v>88</v>
      </c>
      <c r="AT15" s="2">
        <v>88</v>
      </c>
      <c r="AU15" s="2">
        <v>69</v>
      </c>
      <c r="AV15" s="2">
        <v>96</v>
      </c>
      <c r="AW15" s="9">
        <v>96</v>
      </c>
      <c r="AX15" s="9">
        <v>94</v>
      </c>
      <c r="AY15" s="2">
        <v>66</v>
      </c>
      <c r="AZ15" s="2">
        <v>95</v>
      </c>
      <c r="BA15" s="2">
        <v>124</v>
      </c>
      <c r="BB15" s="2">
        <v>101</v>
      </c>
      <c r="BC15" s="2">
        <v>45</v>
      </c>
      <c r="BD15" s="2">
        <v>95</v>
      </c>
      <c r="BE15" s="2">
        <v>124</v>
      </c>
      <c r="BF15" s="2">
        <v>101</v>
      </c>
    </row>
    <row r="16" spans="1:91" x14ac:dyDescent="0.2">
      <c r="A16" s="2" t="s">
        <v>43</v>
      </c>
      <c r="C16" s="2">
        <v>2310</v>
      </c>
      <c r="D16" s="2">
        <v>2180</v>
      </c>
      <c r="E16" s="2">
        <v>1940</v>
      </c>
      <c r="F16" s="2">
        <v>2150</v>
      </c>
      <c r="G16" s="2">
        <v>2375</v>
      </c>
      <c r="H16" s="2">
        <v>2270</v>
      </c>
      <c r="I16" s="2">
        <v>1960</v>
      </c>
      <c r="J16" s="2">
        <v>2190</v>
      </c>
      <c r="K16" s="2">
        <v>2630</v>
      </c>
      <c r="L16" s="2">
        <v>2590</v>
      </c>
      <c r="N16" s="2">
        <v>2830</v>
      </c>
      <c r="O16" s="2">
        <v>3630</v>
      </c>
      <c r="P16" s="2">
        <v>3530</v>
      </c>
      <c r="Q16" s="2">
        <v>2860</v>
      </c>
      <c r="R16" s="2">
        <v>2850</v>
      </c>
      <c r="S16" s="2">
        <v>3500</v>
      </c>
      <c r="T16" s="2">
        <v>3470</v>
      </c>
      <c r="U16" s="2">
        <v>2830</v>
      </c>
      <c r="V16" s="2">
        <v>2770</v>
      </c>
      <c r="W16" s="2">
        <v>3160</v>
      </c>
      <c r="X16" s="2">
        <v>3010</v>
      </c>
      <c r="Y16" s="2">
        <v>2630</v>
      </c>
      <c r="Z16" s="2">
        <v>2570</v>
      </c>
      <c r="AA16" s="2">
        <v>2800</v>
      </c>
      <c r="AB16" s="2">
        <v>2330</v>
      </c>
      <c r="AC16" s="2">
        <f>4510-2640</f>
        <v>1870</v>
      </c>
      <c r="AD16" s="2">
        <v>2770</v>
      </c>
      <c r="AE16" s="2">
        <v>3090</v>
      </c>
      <c r="AF16" s="2">
        <v>2740</v>
      </c>
      <c r="AG16" s="2">
        <v>2300</v>
      </c>
      <c r="AH16" s="2">
        <v>2920</v>
      </c>
      <c r="AI16" s="2">
        <v>3400</v>
      </c>
      <c r="AJ16" s="2">
        <v>3190</v>
      </c>
      <c r="AK16" s="2">
        <v>2790</v>
      </c>
      <c r="AL16" s="2">
        <v>2940</v>
      </c>
      <c r="AM16" s="2">
        <v>3500</v>
      </c>
      <c r="AN16" s="2">
        <v>3330</v>
      </c>
      <c r="AO16" s="2">
        <v>2920</v>
      </c>
      <c r="AP16" s="2">
        <v>2990</v>
      </c>
      <c r="AQ16" s="2">
        <v>3450</v>
      </c>
      <c r="AR16" s="2">
        <v>3200</v>
      </c>
      <c r="AS16" s="2">
        <v>2750</v>
      </c>
      <c r="AT16" s="2">
        <v>2690</v>
      </c>
      <c r="AU16" s="2">
        <v>2950</v>
      </c>
      <c r="AV16" s="2">
        <v>2710</v>
      </c>
      <c r="AW16" s="2">
        <v>2470</v>
      </c>
      <c r="AX16" s="2">
        <v>3200</v>
      </c>
      <c r="AY16" s="2">
        <v>3520</v>
      </c>
      <c r="AZ16" s="2">
        <v>3240</v>
      </c>
      <c r="BA16" s="2">
        <v>3010</v>
      </c>
      <c r="BB16" s="2">
        <v>3540</v>
      </c>
      <c r="BC16" s="8">
        <v>4020</v>
      </c>
      <c r="BD16" s="8">
        <v>3810</v>
      </c>
      <c r="BE16" s="14">
        <v>3330</v>
      </c>
      <c r="BF16" s="14">
        <v>3370</v>
      </c>
      <c r="BG16" s="11">
        <v>3540</v>
      </c>
      <c r="BH16" s="11">
        <v>3020</v>
      </c>
      <c r="BI16" s="11">
        <v>2810</v>
      </c>
      <c r="BJ16" s="2">
        <v>3450</v>
      </c>
      <c r="BK16" s="2">
        <v>3520</v>
      </c>
      <c r="BL16" s="2">
        <v>3340</v>
      </c>
      <c r="BM16" s="2">
        <v>3100</v>
      </c>
      <c r="BN16" s="2">
        <v>3490</v>
      </c>
      <c r="BO16" s="2">
        <v>3940</v>
      </c>
      <c r="BP16" s="2">
        <v>3680</v>
      </c>
      <c r="BQ16" s="2">
        <v>3550</v>
      </c>
      <c r="BR16" s="2">
        <v>3730</v>
      </c>
      <c r="BS16" s="2">
        <v>4010</v>
      </c>
      <c r="BT16" s="2">
        <v>3680</v>
      </c>
      <c r="BU16" s="2">
        <v>3580</v>
      </c>
      <c r="BV16" s="2">
        <v>3980</v>
      </c>
      <c r="BW16" s="2">
        <v>3890</v>
      </c>
      <c r="BX16" s="2">
        <v>3530</v>
      </c>
      <c r="BY16" s="2">
        <v>3440</v>
      </c>
      <c r="BZ16" s="2">
        <v>3490</v>
      </c>
      <c r="CA16" s="2">
        <v>3440</v>
      </c>
      <c r="CB16" s="2">
        <v>3150</v>
      </c>
    </row>
    <row r="17" spans="1:80" x14ac:dyDescent="0.2">
      <c r="A17" s="2" t="s">
        <v>44</v>
      </c>
      <c r="C17" s="2">
        <v>1310</v>
      </c>
      <c r="D17" s="2">
        <v>1020</v>
      </c>
      <c r="E17" s="2">
        <v>1670</v>
      </c>
      <c r="F17" s="2">
        <v>1620</v>
      </c>
      <c r="G17" s="2">
        <v>1280</v>
      </c>
      <c r="H17" s="2">
        <v>930</v>
      </c>
      <c r="I17" s="2">
        <v>1450</v>
      </c>
      <c r="J17" s="2">
        <v>1280</v>
      </c>
      <c r="K17" s="2">
        <v>870</v>
      </c>
      <c r="L17" s="2">
        <v>910</v>
      </c>
      <c r="N17" s="2">
        <v>1010</v>
      </c>
      <c r="O17" s="2">
        <v>820</v>
      </c>
      <c r="P17" s="2">
        <v>910</v>
      </c>
      <c r="Q17" s="2">
        <v>1430</v>
      </c>
      <c r="R17" s="2">
        <v>1240</v>
      </c>
      <c r="S17" s="2">
        <v>950</v>
      </c>
      <c r="T17" s="2">
        <v>960</v>
      </c>
      <c r="U17" s="2">
        <v>1230</v>
      </c>
      <c r="V17" s="2">
        <v>1070</v>
      </c>
      <c r="W17" s="2">
        <v>850</v>
      </c>
      <c r="X17" s="2">
        <v>1040</v>
      </c>
      <c r="Y17" s="2">
        <v>1365</v>
      </c>
      <c r="Z17" s="2">
        <v>1210</v>
      </c>
      <c r="AA17" s="2">
        <v>845</v>
      </c>
      <c r="AB17" s="2">
        <v>890</v>
      </c>
      <c r="AC17" s="2">
        <f>1820-850</f>
        <v>970</v>
      </c>
      <c r="AD17" s="2">
        <v>820</v>
      </c>
      <c r="AE17" s="2">
        <v>660</v>
      </c>
      <c r="AF17" s="2">
        <v>1170</v>
      </c>
      <c r="AG17" s="2">
        <v>1920</v>
      </c>
      <c r="AH17" s="2">
        <v>1440</v>
      </c>
      <c r="AI17" s="2">
        <v>950</v>
      </c>
      <c r="AJ17" s="2">
        <v>1070</v>
      </c>
      <c r="AK17" s="2">
        <v>1320</v>
      </c>
      <c r="AL17" s="2">
        <v>1270</v>
      </c>
      <c r="AM17" s="2">
        <v>1120</v>
      </c>
      <c r="AN17" s="2">
        <v>1400</v>
      </c>
      <c r="AO17" s="2">
        <v>2280</v>
      </c>
      <c r="AP17" s="2">
        <v>1650</v>
      </c>
      <c r="AQ17" s="2">
        <v>1240</v>
      </c>
      <c r="AR17" s="2">
        <v>1370</v>
      </c>
      <c r="AS17" s="11">
        <v>1910</v>
      </c>
      <c r="AT17" s="11">
        <v>1660</v>
      </c>
      <c r="AU17" s="2">
        <v>1260</v>
      </c>
      <c r="AV17" s="2">
        <v>1310</v>
      </c>
      <c r="AW17" s="13">
        <v>1530</v>
      </c>
      <c r="AX17" s="13">
        <v>1300</v>
      </c>
      <c r="AY17" s="2">
        <v>870</v>
      </c>
      <c r="AZ17" s="11">
        <v>1008</v>
      </c>
      <c r="BA17" s="11">
        <v>1562</v>
      </c>
      <c r="BB17" s="11">
        <v>1306</v>
      </c>
      <c r="BC17" s="8">
        <v>996</v>
      </c>
      <c r="BD17" s="8">
        <v>1196</v>
      </c>
      <c r="BE17" s="14">
        <v>1720</v>
      </c>
      <c r="BF17" s="14">
        <v>1480</v>
      </c>
      <c r="BG17" s="11">
        <v>1205</v>
      </c>
      <c r="BH17" s="11">
        <v>1545</v>
      </c>
      <c r="BI17" s="2">
        <v>2280</v>
      </c>
      <c r="BJ17" s="2">
        <v>1450</v>
      </c>
      <c r="BK17" s="2">
        <v>1250</v>
      </c>
      <c r="BL17" s="2">
        <v>1500</v>
      </c>
      <c r="BM17" s="2">
        <v>1810</v>
      </c>
      <c r="BN17" s="2">
        <v>1290</v>
      </c>
      <c r="BO17" s="2">
        <v>1082</v>
      </c>
      <c r="BP17" s="2">
        <v>1350</v>
      </c>
      <c r="BQ17" s="2">
        <v>2080</v>
      </c>
      <c r="BR17" s="2">
        <v>1548</v>
      </c>
      <c r="BS17" s="2">
        <v>1279</v>
      </c>
      <c r="BT17" s="2">
        <v>1595</v>
      </c>
      <c r="BU17" s="2">
        <v>2170</v>
      </c>
      <c r="BV17" s="2">
        <v>1590</v>
      </c>
      <c r="BW17" s="2">
        <v>1178</v>
      </c>
      <c r="BX17" s="2">
        <v>1182</v>
      </c>
      <c r="BY17" s="2">
        <v>1530</v>
      </c>
      <c r="BZ17" s="2">
        <v>1160</v>
      </c>
      <c r="CA17" s="2">
        <v>828</v>
      </c>
      <c r="CB17" s="2">
        <v>1012</v>
      </c>
    </row>
    <row r="18" spans="1:80" x14ac:dyDescent="0.2">
      <c r="A18" s="2" t="s">
        <v>45</v>
      </c>
      <c r="AN18" s="2">
        <v>37</v>
      </c>
      <c r="AO18" s="2">
        <v>44</v>
      </c>
      <c r="AP18" s="2">
        <v>106</v>
      </c>
      <c r="AQ18" s="2">
        <v>93</v>
      </c>
      <c r="AR18" s="2">
        <v>60</v>
      </c>
      <c r="AS18" s="2">
        <v>55</v>
      </c>
      <c r="AT18" s="2">
        <v>110</v>
      </c>
      <c r="AU18" s="2">
        <v>115</v>
      </c>
      <c r="AV18" s="2">
        <v>74</v>
      </c>
      <c r="AW18" s="2">
        <v>73</v>
      </c>
      <c r="AX18" s="2">
        <v>110</v>
      </c>
      <c r="AY18" s="2">
        <v>117</v>
      </c>
      <c r="AZ18" s="11">
        <v>75</v>
      </c>
      <c r="BA18" s="11">
        <v>73</v>
      </c>
      <c r="BB18" s="11">
        <v>112</v>
      </c>
      <c r="BC18" s="8">
        <v>111</v>
      </c>
      <c r="BD18" s="8">
        <v>71</v>
      </c>
      <c r="BE18" s="14">
        <v>71</v>
      </c>
      <c r="BF18" s="14">
        <v>112</v>
      </c>
      <c r="BG18" s="8">
        <v>111</v>
      </c>
      <c r="BH18" s="8">
        <v>71</v>
      </c>
    </row>
    <row r="19" spans="1:80" x14ac:dyDescent="0.2">
      <c r="A19" s="2" t="s">
        <v>47</v>
      </c>
      <c r="C19" s="2">
        <v>512</v>
      </c>
      <c r="D19" s="2">
        <v>446</v>
      </c>
      <c r="E19" s="2">
        <v>556</v>
      </c>
      <c r="F19" s="2">
        <v>494</v>
      </c>
      <c r="G19" s="2">
        <v>555</v>
      </c>
      <c r="H19" s="2">
        <v>496</v>
      </c>
      <c r="I19" s="2">
        <v>505</v>
      </c>
      <c r="J19" s="2">
        <v>503</v>
      </c>
      <c r="K19" s="2">
        <v>576</v>
      </c>
      <c r="L19" s="2">
        <v>480</v>
      </c>
      <c r="N19" s="2">
        <v>537</v>
      </c>
      <c r="O19" s="2">
        <v>593</v>
      </c>
      <c r="P19" s="2">
        <v>542</v>
      </c>
      <c r="Q19" s="2">
        <v>567</v>
      </c>
      <c r="R19" s="2">
        <v>522</v>
      </c>
      <c r="S19" s="2">
        <v>565</v>
      </c>
      <c r="T19" s="2">
        <v>522</v>
      </c>
      <c r="U19" s="2">
        <v>558</v>
      </c>
      <c r="V19" s="2">
        <v>516</v>
      </c>
      <c r="W19" s="2">
        <v>532</v>
      </c>
      <c r="X19" s="2">
        <v>509</v>
      </c>
      <c r="Y19" s="2">
        <v>522</v>
      </c>
      <c r="Z19" s="2">
        <v>521</v>
      </c>
      <c r="AA19" s="2">
        <v>522</v>
      </c>
      <c r="AB19" s="2">
        <v>514</v>
      </c>
      <c r="AC19" s="2">
        <f>1037-500</f>
        <v>537</v>
      </c>
      <c r="AD19" s="2">
        <v>500</v>
      </c>
      <c r="AE19" s="2">
        <v>545</v>
      </c>
      <c r="AF19" s="2">
        <v>552</v>
      </c>
      <c r="AG19" s="2">
        <v>586</v>
      </c>
      <c r="AH19" s="2">
        <v>560</v>
      </c>
      <c r="AI19" s="2">
        <v>584</v>
      </c>
      <c r="AJ19" s="2">
        <v>529</v>
      </c>
      <c r="AK19" s="2">
        <v>572</v>
      </c>
      <c r="AL19" s="2">
        <v>556</v>
      </c>
      <c r="AM19" s="2">
        <v>598</v>
      </c>
      <c r="AN19" s="2">
        <v>545</v>
      </c>
      <c r="AO19" s="2">
        <v>582</v>
      </c>
      <c r="AP19" s="2">
        <v>566</v>
      </c>
      <c r="AQ19" s="2">
        <v>579</v>
      </c>
      <c r="AR19" s="2">
        <v>517</v>
      </c>
      <c r="AS19" s="2">
        <v>560</v>
      </c>
      <c r="AT19" s="2">
        <v>518</v>
      </c>
      <c r="AU19" s="2">
        <v>581</v>
      </c>
      <c r="AV19" s="2">
        <v>545</v>
      </c>
      <c r="AW19" s="2">
        <v>581</v>
      </c>
      <c r="AX19" s="2">
        <v>516</v>
      </c>
      <c r="AY19" s="2">
        <v>597</v>
      </c>
      <c r="AZ19" s="2">
        <v>493</v>
      </c>
      <c r="BA19" s="11">
        <v>559</v>
      </c>
      <c r="BB19" s="11">
        <v>532</v>
      </c>
      <c r="BC19" s="8">
        <v>581</v>
      </c>
      <c r="BD19" s="8">
        <v>542</v>
      </c>
      <c r="BE19" s="8">
        <v>578</v>
      </c>
      <c r="BF19" s="8">
        <v>576</v>
      </c>
      <c r="BG19" s="11">
        <v>600</v>
      </c>
      <c r="BH19" s="11">
        <v>547</v>
      </c>
      <c r="BI19" s="11">
        <v>644</v>
      </c>
      <c r="BJ19" s="11">
        <v>551</v>
      </c>
      <c r="BK19" s="11">
        <v>607</v>
      </c>
    </row>
    <row r="20" spans="1:80" x14ac:dyDescent="0.2">
      <c r="A20" s="2" t="s">
        <v>66</v>
      </c>
      <c r="C20" s="2">
        <v>82</v>
      </c>
      <c r="D20" s="2">
        <v>79</v>
      </c>
      <c r="E20" s="2">
        <v>123</v>
      </c>
      <c r="F20" s="2">
        <v>117</v>
      </c>
      <c r="G20" s="2">
        <v>68</v>
      </c>
      <c r="H20" s="2">
        <v>61</v>
      </c>
      <c r="I20" s="2">
        <v>128</v>
      </c>
      <c r="J20" s="2">
        <v>87</v>
      </c>
      <c r="K20" s="2">
        <v>55</v>
      </c>
      <c r="L20" s="2">
        <v>64</v>
      </c>
      <c r="N20" s="2">
        <v>146</v>
      </c>
      <c r="O20" s="2">
        <v>140</v>
      </c>
      <c r="P20" s="2">
        <v>139</v>
      </c>
      <c r="Q20" s="2">
        <v>217</v>
      </c>
      <c r="R20" s="2">
        <v>187</v>
      </c>
      <c r="S20" s="2">
        <v>138</v>
      </c>
      <c r="T20" s="2">
        <v>132</v>
      </c>
      <c r="U20" s="2">
        <v>202</v>
      </c>
      <c r="V20" s="2">
        <v>152</v>
      </c>
      <c r="W20" s="2">
        <v>94</v>
      </c>
      <c r="X20" s="2">
        <v>135</v>
      </c>
      <c r="Y20" s="2">
        <v>225</v>
      </c>
      <c r="Z20" s="2">
        <v>190</v>
      </c>
      <c r="AA20" s="2">
        <v>141</v>
      </c>
      <c r="AB20" s="2">
        <v>177</v>
      </c>
      <c r="AC20" s="2">
        <f>470-235</f>
        <v>235</v>
      </c>
      <c r="AD20" s="2">
        <v>220</v>
      </c>
      <c r="AE20" s="2">
        <v>245</v>
      </c>
      <c r="AF20" s="2">
        <v>248</v>
      </c>
      <c r="AG20" s="2">
        <v>205</v>
      </c>
      <c r="AH20" s="2">
        <v>160</v>
      </c>
      <c r="AI20" s="2">
        <v>160</v>
      </c>
      <c r="AJ20" s="2">
        <v>227</v>
      </c>
      <c r="AK20" s="2">
        <v>231</v>
      </c>
      <c r="AL20" s="2">
        <v>250</v>
      </c>
      <c r="AM20" s="2">
        <v>213</v>
      </c>
      <c r="AN20" s="2">
        <v>237</v>
      </c>
      <c r="AO20" s="2">
        <v>273</v>
      </c>
      <c r="AP20" s="2">
        <v>250</v>
      </c>
      <c r="AQ20" s="2">
        <v>185</v>
      </c>
      <c r="AR20" s="2">
        <v>254</v>
      </c>
      <c r="AS20" s="2">
        <v>285</v>
      </c>
      <c r="AT20" s="2">
        <v>275</v>
      </c>
      <c r="AU20" s="2">
        <v>279</v>
      </c>
      <c r="AV20" s="2">
        <v>253</v>
      </c>
      <c r="AW20" s="9">
        <v>215</v>
      </c>
      <c r="AX20" s="9">
        <v>265</v>
      </c>
      <c r="AY20" s="2">
        <v>94</v>
      </c>
      <c r="AZ20" s="2">
        <v>205</v>
      </c>
      <c r="BA20" s="11">
        <v>285</v>
      </c>
      <c r="BB20" s="11">
        <v>216</v>
      </c>
      <c r="BC20" s="11">
        <v>123</v>
      </c>
      <c r="BD20" s="2">
        <v>238</v>
      </c>
      <c r="BE20" s="2">
        <v>287</v>
      </c>
      <c r="BF20" s="2">
        <v>242</v>
      </c>
    </row>
    <row r="21" spans="1:80" x14ac:dyDescent="0.2">
      <c r="A21" s="2" t="s">
        <v>52</v>
      </c>
      <c r="AN21" s="2">
        <v>17</v>
      </c>
      <c r="AO21" s="2">
        <v>62</v>
      </c>
      <c r="AP21" s="2">
        <v>37</v>
      </c>
      <c r="AQ21" s="2">
        <v>64</v>
      </c>
      <c r="AR21" s="2">
        <v>23</v>
      </c>
      <c r="AS21" s="2">
        <v>19</v>
      </c>
      <c r="AT21" s="2">
        <v>115</v>
      </c>
      <c r="AU21" s="2">
        <v>107</v>
      </c>
      <c r="AV21" s="2">
        <v>36</v>
      </c>
      <c r="AW21" s="9">
        <v>77</v>
      </c>
      <c r="AX21" s="9">
        <v>120</v>
      </c>
      <c r="AY21" s="2">
        <v>64</v>
      </c>
      <c r="AZ21" s="2">
        <v>20</v>
      </c>
      <c r="BA21" s="11">
        <v>43</v>
      </c>
      <c r="BB21" s="11">
        <v>70</v>
      </c>
      <c r="BC21" s="11">
        <v>69</v>
      </c>
      <c r="BD21" s="2">
        <v>64</v>
      </c>
      <c r="BE21" s="2">
        <v>42</v>
      </c>
      <c r="BF21" s="2">
        <v>110</v>
      </c>
    </row>
    <row r="22" spans="1:80" x14ac:dyDescent="0.2">
      <c r="A22" s="2" t="s">
        <v>71</v>
      </c>
      <c r="AN22" s="2">
        <v>100</v>
      </c>
      <c r="AO22" s="2">
        <v>105</v>
      </c>
      <c r="AP22" s="2">
        <v>85</v>
      </c>
      <c r="AQ22" s="2">
        <v>118</v>
      </c>
      <c r="AR22" s="2">
        <v>87</v>
      </c>
      <c r="AS22" s="2">
        <v>39</v>
      </c>
      <c r="AT22" s="2">
        <v>142</v>
      </c>
      <c r="AU22" s="2">
        <v>119</v>
      </c>
      <c r="AV22" s="2">
        <v>148</v>
      </c>
      <c r="AW22" s="9">
        <v>62</v>
      </c>
      <c r="AX22" s="9">
        <v>186</v>
      </c>
      <c r="AY22" s="2">
        <v>195</v>
      </c>
      <c r="AZ22" s="2">
        <v>165</v>
      </c>
      <c r="BA22" s="11">
        <v>121</v>
      </c>
      <c r="BB22" s="11">
        <v>119</v>
      </c>
      <c r="BC22" s="11">
        <v>125</v>
      </c>
      <c r="BD22" s="2">
        <v>163</v>
      </c>
      <c r="BE22" s="2">
        <v>100</v>
      </c>
      <c r="BF22" s="2">
        <v>112</v>
      </c>
    </row>
    <row r="23" spans="1:80" x14ac:dyDescent="0.2">
      <c r="A23" s="2" t="s">
        <v>67</v>
      </c>
      <c r="C23" s="2">
        <v>44</v>
      </c>
      <c r="D23" s="2">
        <v>87</v>
      </c>
      <c r="E23" s="2">
        <v>69</v>
      </c>
      <c r="F23" s="2">
        <v>57</v>
      </c>
      <c r="G23" s="2">
        <v>57</v>
      </c>
      <c r="H23" s="2">
        <v>96</v>
      </c>
      <c r="I23" s="2">
        <v>83</v>
      </c>
      <c r="J23" s="2">
        <v>67</v>
      </c>
      <c r="K23" s="2">
        <v>70</v>
      </c>
      <c r="L23" s="2">
        <v>128</v>
      </c>
      <c r="N23" s="2">
        <v>83</v>
      </c>
      <c r="O23" s="2">
        <v>70</v>
      </c>
      <c r="P23" s="2">
        <v>119</v>
      </c>
      <c r="Q23" s="2">
        <v>114</v>
      </c>
      <c r="R23" s="2">
        <v>81</v>
      </c>
      <c r="S23" s="2">
        <v>72</v>
      </c>
      <c r="T23" s="2">
        <v>109</v>
      </c>
      <c r="U23" s="2">
        <v>98</v>
      </c>
      <c r="V23" s="2">
        <v>84</v>
      </c>
      <c r="W23" s="2">
        <v>79</v>
      </c>
      <c r="X23" s="2">
        <v>113</v>
      </c>
      <c r="Y23" s="2">
        <v>104</v>
      </c>
      <c r="Z23" s="2">
        <v>77</v>
      </c>
      <c r="AA23" s="2">
        <v>69</v>
      </c>
      <c r="AB23" s="2">
        <v>107</v>
      </c>
      <c r="AC23" s="2">
        <f>164-67</f>
        <v>97</v>
      </c>
      <c r="AD23" s="2">
        <v>67</v>
      </c>
      <c r="AE23" s="2">
        <v>77</v>
      </c>
      <c r="AF23" s="2">
        <v>125</v>
      </c>
      <c r="AG23" s="2">
        <v>115</v>
      </c>
      <c r="AH23" s="2">
        <v>95</v>
      </c>
      <c r="AI23" s="2">
        <v>94</v>
      </c>
      <c r="AJ23" s="2">
        <v>136</v>
      </c>
      <c r="AK23" s="2">
        <v>137</v>
      </c>
      <c r="AL23" s="2">
        <v>128</v>
      </c>
      <c r="AM23" s="2">
        <v>106</v>
      </c>
      <c r="AN23" s="2">
        <v>134</v>
      </c>
      <c r="AO23" s="2">
        <v>128</v>
      </c>
      <c r="AP23" s="2">
        <v>117</v>
      </c>
      <c r="AQ23" s="2">
        <v>101</v>
      </c>
      <c r="AR23" s="2">
        <v>115</v>
      </c>
      <c r="AS23" s="2">
        <v>118</v>
      </c>
      <c r="AT23" s="2">
        <v>98</v>
      </c>
      <c r="AU23" s="2">
        <v>104</v>
      </c>
      <c r="AV23" s="2">
        <v>156</v>
      </c>
      <c r="AW23" s="9">
        <v>164</v>
      </c>
      <c r="AX23" s="9">
        <v>126</v>
      </c>
      <c r="AY23" s="2">
        <v>136</v>
      </c>
      <c r="AZ23" s="2">
        <v>184</v>
      </c>
      <c r="BA23" s="11">
        <v>177</v>
      </c>
      <c r="BB23" s="11">
        <v>144</v>
      </c>
      <c r="BC23" s="11">
        <v>145</v>
      </c>
      <c r="BD23" s="2">
        <v>192</v>
      </c>
      <c r="BE23" s="2">
        <v>192</v>
      </c>
      <c r="BF23" s="2">
        <v>156</v>
      </c>
    </row>
    <row r="24" spans="1:80" x14ac:dyDescent="0.2">
      <c r="A24" s="2" t="s">
        <v>53</v>
      </c>
      <c r="C24" s="2">
        <v>84</v>
      </c>
      <c r="D24" s="2">
        <v>137</v>
      </c>
      <c r="E24" s="2">
        <v>136</v>
      </c>
      <c r="F24" s="2">
        <v>137</v>
      </c>
      <c r="G24" s="2">
        <v>36</v>
      </c>
      <c r="H24" s="2">
        <v>35</v>
      </c>
      <c r="I24" s="2">
        <v>149</v>
      </c>
      <c r="J24" s="2">
        <v>47</v>
      </c>
      <c r="K24" s="2">
        <v>62</v>
      </c>
      <c r="L24" s="2">
        <v>61</v>
      </c>
      <c r="N24" s="2">
        <v>52</v>
      </c>
      <c r="O24" s="2">
        <v>89</v>
      </c>
      <c r="P24" s="2">
        <v>69</v>
      </c>
      <c r="Q24" s="2">
        <v>77</v>
      </c>
      <c r="R24" s="2">
        <v>75</v>
      </c>
      <c r="S24" s="2">
        <v>74</v>
      </c>
      <c r="T24" s="2">
        <v>67</v>
      </c>
      <c r="U24" s="2">
        <v>54</v>
      </c>
      <c r="V24" s="2">
        <v>92</v>
      </c>
      <c r="W24" s="2">
        <v>106</v>
      </c>
      <c r="X24" s="2">
        <v>82</v>
      </c>
      <c r="Y24" s="2">
        <v>59</v>
      </c>
      <c r="Z24" s="2">
        <v>106</v>
      </c>
      <c r="AA24" s="2">
        <v>113</v>
      </c>
      <c r="AB24" s="2">
        <v>94</v>
      </c>
      <c r="AC24" s="2">
        <f>158-90</f>
        <v>68</v>
      </c>
      <c r="AD24" s="2">
        <v>66</v>
      </c>
      <c r="AE24" s="2">
        <v>108</v>
      </c>
      <c r="AF24" s="2">
        <v>72</v>
      </c>
      <c r="AG24" s="2">
        <v>52</v>
      </c>
      <c r="AH24" s="2">
        <v>103</v>
      </c>
      <c r="AI24" s="2">
        <f>164-16</f>
        <v>148</v>
      </c>
      <c r="AJ24" s="2">
        <f>133-16</f>
        <v>117</v>
      </c>
      <c r="AK24" s="2">
        <f>102-13</f>
        <v>89</v>
      </c>
      <c r="AL24" s="2">
        <f>142-23</f>
        <v>119</v>
      </c>
      <c r="AM24" s="2">
        <v>231</v>
      </c>
      <c r="AN24" s="2">
        <v>193</v>
      </c>
      <c r="AO24" s="2">
        <v>148</v>
      </c>
      <c r="AP24" s="2">
        <v>204</v>
      </c>
      <c r="AQ24" s="2">
        <v>234</v>
      </c>
      <c r="AR24" s="2">
        <v>214</v>
      </c>
      <c r="AS24" s="2">
        <v>158</v>
      </c>
      <c r="AT24" s="2">
        <v>253</v>
      </c>
      <c r="AU24" s="2">
        <v>415</v>
      </c>
      <c r="AV24" s="2">
        <v>331</v>
      </c>
      <c r="AW24" s="9">
        <v>201</v>
      </c>
      <c r="AX24" s="9">
        <v>374</v>
      </c>
      <c r="AY24" s="2">
        <f>475-117</f>
        <v>358</v>
      </c>
      <c r="AZ24" s="2">
        <f>355-75</f>
        <v>280</v>
      </c>
      <c r="BA24" s="11">
        <f>326-73</f>
        <v>253</v>
      </c>
      <c r="BB24" s="11">
        <f>391-112</f>
        <v>279</v>
      </c>
      <c r="BC24" s="11">
        <f>465-116</f>
        <v>349</v>
      </c>
      <c r="BD24" s="2">
        <f>416-74</f>
        <v>342</v>
      </c>
      <c r="BE24" s="2">
        <f>437-73</f>
        <v>364</v>
      </c>
      <c r="BF24" s="2">
        <f>461-112</f>
        <v>349</v>
      </c>
    </row>
    <row r="25" spans="1:80" x14ac:dyDescent="0.2">
      <c r="A25" s="2" t="s">
        <v>54</v>
      </c>
      <c r="C25" s="2">
        <f t="shared" ref="C25:L25" si="0">SUM(C6:C24)</f>
        <v>7376</v>
      </c>
      <c r="D25" s="2">
        <f t="shared" si="0"/>
        <v>6848</v>
      </c>
      <c r="E25" s="2">
        <f t="shared" si="0"/>
        <v>7465</v>
      </c>
      <c r="F25" s="2">
        <f t="shared" si="0"/>
        <v>8100</v>
      </c>
      <c r="G25" s="2">
        <f t="shared" si="0"/>
        <v>8248</v>
      </c>
      <c r="H25" s="2">
        <f t="shared" si="0"/>
        <v>7596</v>
      </c>
      <c r="I25" s="2">
        <f t="shared" si="0"/>
        <v>7128</v>
      </c>
      <c r="J25" s="2">
        <f t="shared" si="0"/>
        <v>8381</v>
      </c>
      <c r="K25" s="2">
        <f t="shared" si="0"/>
        <v>8302</v>
      </c>
      <c r="L25" s="2">
        <f t="shared" si="0"/>
        <v>8198</v>
      </c>
      <c r="N25" s="2">
        <f t="shared" ref="N25:BF25" si="1">SUM(N6:N24)</f>
        <v>8767</v>
      </c>
      <c r="O25" s="2">
        <f t="shared" si="1"/>
        <v>9667</v>
      </c>
      <c r="P25" s="2">
        <f t="shared" si="1"/>
        <v>9624</v>
      </c>
      <c r="Q25" s="2">
        <f t="shared" si="1"/>
        <v>8836</v>
      </c>
      <c r="R25" s="2">
        <f t="shared" si="1"/>
        <v>9018</v>
      </c>
      <c r="S25" s="2">
        <f t="shared" si="1"/>
        <v>9600</v>
      </c>
      <c r="T25" s="2">
        <f t="shared" si="1"/>
        <v>9395</v>
      </c>
      <c r="U25" s="2">
        <f t="shared" si="1"/>
        <v>8435</v>
      </c>
      <c r="V25" s="2">
        <f t="shared" si="1"/>
        <v>8345</v>
      </c>
      <c r="W25" s="2">
        <f t="shared" si="1"/>
        <v>8793</v>
      </c>
      <c r="X25" s="2">
        <f t="shared" si="1"/>
        <v>8655</v>
      </c>
      <c r="Y25" s="2">
        <f t="shared" si="1"/>
        <v>8205</v>
      </c>
      <c r="Z25" s="2">
        <f t="shared" si="1"/>
        <v>8536</v>
      </c>
      <c r="AA25" s="2">
        <f t="shared" si="1"/>
        <v>8365</v>
      </c>
      <c r="AB25" s="2">
        <f t="shared" si="1"/>
        <v>7884</v>
      </c>
      <c r="AC25" s="2">
        <f t="shared" si="1"/>
        <v>6848</v>
      </c>
      <c r="AD25" s="2">
        <f t="shared" si="1"/>
        <v>8309</v>
      </c>
      <c r="AE25" s="2">
        <f t="shared" si="1"/>
        <v>9062</v>
      </c>
      <c r="AF25" s="2">
        <f t="shared" si="1"/>
        <v>9032</v>
      </c>
      <c r="AG25" s="2">
        <f t="shared" si="1"/>
        <v>8864</v>
      </c>
      <c r="AH25" s="2">
        <f t="shared" si="1"/>
        <v>9678</v>
      </c>
      <c r="AI25" s="2">
        <f t="shared" si="1"/>
        <v>10362</v>
      </c>
      <c r="AJ25" s="2">
        <f t="shared" si="1"/>
        <v>10146</v>
      </c>
      <c r="AK25" s="2">
        <f t="shared" si="1"/>
        <v>9619</v>
      </c>
      <c r="AL25" s="2">
        <f t="shared" si="1"/>
        <v>10012</v>
      </c>
      <c r="AM25" s="2">
        <f t="shared" si="1"/>
        <v>11271</v>
      </c>
      <c r="AN25" s="2">
        <f t="shared" si="1"/>
        <v>11434</v>
      </c>
      <c r="AO25" s="2">
        <f t="shared" si="1"/>
        <v>11847</v>
      </c>
      <c r="AP25" s="2">
        <f t="shared" si="1"/>
        <v>11248</v>
      </c>
      <c r="AQ25" s="2">
        <f t="shared" si="1"/>
        <v>12039</v>
      </c>
      <c r="AR25" s="2">
        <f t="shared" si="1"/>
        <v>11365</v>
      </c>
      <c r="AS25" s="2">
        <f t="shared" si="1"/>
        <v>11302</v>
      </c>
      <c r="AT25" s="2">
        <f t="shared" si="1"/>
        <v>11853</v>
      </c>
      <c r="AU25" s="2">
        <f t="shared" si="1"/>
        <v>12915</v>
      </c>
      <c r="AV25" s="2">
        <f t="shared" si="1"/>
        <v>12184</v>
      </c>
      <c r="AW25" s="2">
        <f t="shared" si="1"/>
        <v>11494</v>
      </c>
      <c r="AX25" s="2">
        <f t="shared" si="1"/>
        <v>12919</v>
      </c>
      <c r="AY25" s="2">
        <f t="shared" si="1"/>
        <v>13654</v>
      </c>
      <c r="AZ25" s="2">
        <f t="shared" si="1"/>
        <v>12820</v>
      </c>
      <c r="BA25" s="2">
        <f t="shared" si="1"/>
        <v>12645</v>
      </c>
      <c r="BB25" s="2">
        <f t="shared" si="1"/>
        <v>13347</v>
      </c>
      <c r="BC25" s="2">
        <f t="shared" si="1"/>
        <v>14725</v>
      </c>
      <c r="BD25" s="2">
        <f t="shared" si="1"/>
        <v>14726</v>
      </c>
      <c r="BE25" s="2">
        <f t="shared" si="1"/>
        <v>14152</v>
      </c>
      <c r="BF25" s="2">
        <f t="shared" si="1"/>
        <v>14358</v>
      </c>
    </row>
    <row r="26" spans="1:80" x14ac:dyDescent="0.2">
      <c r="C26" s="2">
        <v>7377</v>
      </c>
      <c r="D26" s="2">
        <v>6847</v>
      </c>
      <c r="E26" s="2">
        <v>7465</v>
      </c>
      <c r="F26" s="2">
        <v>8101</v>
      </c>
      <c r="G26" s="2">
        <v>8247</v>
      </c>
      <c r="H26" s="2">
        <v>7595</v>
      </c>
      <c r="I26" s="2">
        <v>7128</v>
      </c>
      <c r="J26" s="2">
        <v>8381</v>
      </c>
      <c r="K26" s="2">
        <v>8302</v>
      </c>
      <c r="L26" s="2">
        <v>8197</v>
      </c>
      <c r="N26" s="2">
        <v>8769</v>
      </c>
      <c r="O26" s="2">
        <v>9668</v>
      </c>
      <c r="P26" s="2">
        <v>9623</v>
      </c>
      <c r="Q26" s="2">
        <v>8835</v>
      </c>
      <c r="R26" s="2">
        <v>9018</v>
      </c>
      <c r="S26" s="2">
        <v>9600</v>
      </c>
      <c r="T26" s="2">
        <v>9394</v>
      </c>
      <c r="U26" s="2">
        <v>8436</v>
      </c>
      <c r="V26" s="2">
        <v>8343</v>
      </c>
      <c r="W26" s="2">
        <v>8793</v>
      </c>
      <c r="X26" s="2">
        <v>8655</v>
      </c>
      <c r="Y26" s="2">
        <v>8204</v>
      </c>
      <c r="Z26" s="2">
        <v>8535</v>
      </c>
      <c r="AA26" s="2">
        <v>8365</v>
      </c>
      <c r="AB26" s="2">
        <v>7885</v>
      </c>
      <c r="AC26" s="2">
        <f>15057-8212</f>
        <v>6845</v>
      </c>
      <c r="AD26" s="2">
        <v>8310</v>
      </c>
      <c r="AE26" s="2">
        <v>9061</v>
      </c>
      <c r="AF26" s="2">
        <v>9031</v>
      </c>
      <c r="AG26" s="2">
        <v>8863</v>
      </c>
      <c r="AH26" s="2">
        <v>9677</v>
      </c>
      <c r="AI26" s="2">
        <v>10363</v>
      </c>
      <c r="AJ26" s="2">
        <v>10146</v>
      </c>
      <c r="AK26" s="2">
        <v>9618</v>
      </c>
      <c r="AL26" s="2">
        <v>10011</v>
      </c>
      <c r="AM26" s="2">
        <v>11271</v>
      </c>
      <c r="AN26" s="2">
        <v>11434</v>
      </c>
      <c r="AO26" s="2">
        <v>11847</v>
      </c>
      <c r="AP26" s="2">
        <v>11248</v>
      </c>
      <c r="AQ26" s="2">
        <v>12038</v>
      </c>
      <c r="AR26" s="2">
        <v>11365</v>
      </c>
      <c r="AS26" s="2">
        <v>11300</v>
      </c>
      <c r="AT26" s="2">
        <v>11852</v>
      </c>
      <c r="AU26" s="2">
        <v>12800</v>
      </c>
      <c r="AV26" s="2">
        <v>12110</v>
      </c>
      <c r="AW26" s="2">
        <v>11517</v>
      </c>
      <c r="AX26" s="2">
        <v>12640</v>
      </c>
      <c r="AY26" s="2">
        <v>13645</v>
      </c>
      <c r="AZ26" s="2">
        <v>12832</v>
      </c>
      <c r="BA26" s="2">
        <v>12649</v>
      </c>
      <c r="BB26" s="2">
        <v>13333</v>
      </c>
      <c r="BC26" s="8">
        <v>14641</v>
      </c>
      <c r="BD26" s="8">
        <v>14750</v>
      </c>
      <c r="BE26" s="8">
        <v>14412</v>
      </c>
      <c r="BF26" s="8">
        <v>14603</v>
      </c>
      <c r="BG26" s="8">
        <v>14965</v>
      </c>
      <c r="BH26" s="8">
        <v>14076</v>
      </c>
    </row>
    <row r="28" spans="1:80" x14ac:dyDescent="0.2">
      <c r="A28" s="2" t="s">
        <v>56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6D22-432B-4AE2-96F8-119DEDA01A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AC10 Crush</vt:lpstr>
      <vt:lpstr>Soybeans</vt:lpstr>
      <vt:lpstr>Sunseed</vt:lpstr>
      <vt:lpstr>Rapeseed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2025-07-17T08:32:02Z</dcterms:created>
  <dcterms:modified xsi:type="dcterms:W3CDTF">2025-07-17T08:32:22Z</dcterms:modified>
</cp:coreProperties>
</file>